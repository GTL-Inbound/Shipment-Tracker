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1"/>
  <workbookPr defaultThemeVersion="166925"/>
  <mc:AlternateContent xmlns:mc="http://schemas.openxmlformats.org/markup-compatibility/2006">
    <mc:Choice Requires="x15">
      <x15ac:absPath xmlns:x15ac="http://schemas.microsoft.com/office/spreadsheetml/2010/11/ac" url="C:\Users\dlewsaz\Downloads\"/>
    </mc:Choice>
  </mc:AlternateContent>
  <xr:revisionPtr revIDLastSave="0" documentId="8_{F5C8D3AB-403F-442F-A23E-028AEE194A3B}" xr6:coauthVersionLast="47" xr6:coauthVersionMax="47" xr10:uidLastSave="{00000000-0000-0000-0000-000000000000}"/>
  <bookViews>
    <workbookView xWindow="-14280" yWindow="-19815" windowWidth="26310" windowHeight="17025" activeTab="1" xr2:uid="{00000000-000D-0000-FFFF-FFFF00000000}"/>
  </bookViews>
  <sheets>
    <sheet name="2026 Metrics" sheetId="3" state="hidden" r:id="rId1"/>
    <sheet name="2026 IB Shipments" sheetId="1" r:id="rId2"/>
    <sheet name="2026 Dashboard" sheetId="24" r:id="rId3"/>
    <sheet name="_ChartData" sheetId="26" state="hidden" r:id="rId4"/>
    <sheet name="_BarChartData" sheetId="27" state="hidden" r:id="rId5"/>
  </sheets>
  <definedNames>
    <definedName name="_xlnm._FilterDatabase" localSheetId="1" hidden="1">'2026 IB Shipments'!$A$1:$AM$1114</definedName>
    <definedName name="MonthSlicer">#N/A</definedName>
    <definedName name="SupplierSlicer">#N/A</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1050" i="1" l="1"/>
  <c r="AG1050" i="1"/>
  <c r="AH1050" i="1"/>
  <c r="AC1050" i="1"/>
  <c r="AD1050" i="1"/>
  <c r="O1050" i="1"/>
  <c r="AF1049" i="1"/>
  <c r="AG1049" i="1"/>
  <c r="AH1049" i="1"/>
  <c r="AC1049" i="1"/>
  <c r="AD1049" i="1"/>
  <c r="O1049" i="1"/>
  <c r="AC1025" i="1"/>
  <c r="AF1048" i="1"/>
  <c r="AG1048" i="1"/>
  <c r="AH1048" i="1"/>
  <c r="AC1048" i="1"/>
  <c r="AD1048" i="1"/>
  <c r="O1048" i="1"/>
  <c r="O1047" i="1"/>
  <c r="AH1047" i="1"/>
  <c r="AF1047" i="1"/>
  <c r="AG1047" i="1"/>
  <c r="AC1047" i="1"/>
  <c r="AD1047" i="1" s="1"/>
  <c r="AC1046" i="1"/>
  <c r="AD1046" i="1"/>
  <c r="AF1046" i="1"/>
  <c r="AG1046" i="1"/>
  <c r="AH1046" i="1"/>
  <c r="O1046" i="1"/>
  <c r="AC1045" i="1"/>
  <c r="AD1045" i="1"/>
  <c r="AC1044" i="1"/>
  <c r="AF1045" i="1"/>
  <c r="AG1045" i="1"/>
  <c r="AH1045" i="1"/>
  <c r="O1045" i="1"/>
  <c r="O1044" i="1"/>
  <c r="AD1044" i="1"/>
  <c r="AF1044" i="1"/>
  <c r="AG1044" i="1"/>
  <c r="AH1044" i="1"/>
  <c r="AC1043" i="1"/>
  <c r="AD1043" i="1"/>
  <c r="AF1043" i="1"/>
  <c r="AG1043" i="1"/>
  <c r="AH1043" i="1"/>
  <c r="O1043" i="1"/>
  <c r="AF959" i="1"/>
  <c r="AG959" i="1"/>
  <c r="AH959" i="1"/>
  <c r="AF960" i="1"/>
  <c r="AG960" i="1"/>
  <c r="AH960" i="1"/>
  <c r="AF961" i="1"/>
  <c r="AG961" i="1"/>
  <c r="AH961" i="1"/>
  <c r="AF962" i="1"/>
  <c r="AG962" i="1"/>
  <c r="AH962" i="1"/>
  <c r="AF963" i="1"/>
  <c r="AG963" i="1"/>
  <c r="AH963" i="1"/>
  <c r="AF964" i="1"/>
  <c r="AG964" i="1"/>
  <c r="AH964" i="1"/>
  <c r="AF965" i="1"/>
  <c r="AG965" i="1"/>
  <c r="AH965" i="1"/>
  <c r="AF966" i="1"/>
  <c r="AG966" i="1"/>
  <c r="AH966" i="1"/>
  <c r="AF967" i="1"/>
  <c r="AG967" i="1"/>
  <c r="AH967" i="1"/>
  <c r="AF968" i="1"/>
  <c r="AG968" i="1"/>
  <c r="AH968" i="1"/>
  <c r="AF969" i="1"/>
  <c r="AG969" i="1"/>
  <c r="AH969" i="1"/>
  <c r="AF970" i="1"/>
  <c r="AG970" i="1"/>
  <c r="AH970" i="1"/>
  <c r="AF971" i="1"/>
  <c r="AG971" i="1"/>
  <c r="AH971" i="1"/>
  <c r="AF972" i="1"/>
  <c r="AG972" i="1"/>
  <c r="AH972" i="1"/>
  <c r="AF973" i="1"/>
  <c r="AG973" i="1"/>
  <c r="AH973" i="1"/>
  <c r="AF974" i="1"/>
  <c r="AG974" i="1"/>
  <c r="AH974" i="1"/>
  <c r="AF975" i="1"/>
  <c r="AG975" i="1"/>
  <c r="AH975" i="1"/>
  <c r="AF976" i="1"/>
  <c r="AG976" i="1"/>
  <c r="AH976" i="1"/>
  <c r="AF977" i="1"/>
  <c r="AG977" i="1"/>
  <c r="AH977" i="1"/>
  <c r="AF978" i="1"/>
  <c r="AG978" i="1"/>
  <c r="AH978" i="1"/>
  <c r="AF979" i="1"/>
  <c r="AG979" i="1"/>
  <c r="AH979" i="1"/>
  <c r="AF980" i="1"/>
  <c r="AG980" i="1"/>
  <c r="AH980" i="1"/>
  <c r="AF981" i="1"/>
  <c r="AG981" i="1"/>
  <c r="AH981" i="1"/>
  <c r="AF982" i="1"/>
  <c r="AG982" i="1"/>
  <c r="AH982" i="1"/>
  <c r="AF983" i="1"/>
  <c r="AG983" i="1"/>
  <c r="AH983" i="1"/>
  <c r="AF984" i="1"/>
  <c r="AG984" i="1"/>
  <c r="AH984" i="1"/>
  <c r="AF985" i="1"/>
  <c r="AG985" i="1"/>
  <c r="AH985" i="1"/>
  <c r="AF986" i="1"/>
  <c r="AG986" i="1"/>
  <c r="AH986" i="1"/>
  <c r="AF987" i="1"/>
  <c r="AG987" i="1"/>
  <c r="AH987" i="1"/>
  <c r="AF988" i="1"/>
  <c r="AG988" i="1"/>
  <c r="AH988" i="1"/>
  <c r="AF989" i="1"/>
  <c r="AG989" i="1"/>
  <c r="AH989" i="1"/>
  <c r="AF990" i="1"/>
  <c r="AG990" i="1"/>
  <c r="AH990" i="1"/>
  <c r="AF991" i="1"/>
  <c r="AG991" i="1"/>
  <c r="AH991" i="1"/>
  <c r="AF992" i="1"/>
  <c r="AG992" i="1"/>
  <c r="AH992" i="1"/>
  <c r="AF993" i="1"/>
  <c r="AG993" i="1"/>
  <c r="AH993" i="1"/>
  <c r="AF994" i="1"/>
  <c r="AG994" i="1"/>
  <c r="AH994" i="1"/>
  <c r="AF995" i="1"/>
  <c r="AG995" i="1"/>
  <c r="AH995" i="1"/>
  <c r="AF996" i="1"/>
  <c r="AG996" i="1"/>
  <c r="AH996" i="1"/>
  <c r="AF997" i="1"/>
  <c r="AG997" i="1"/>
  <c r="AH997" i="1"/>
  <c r="AF998" i="1"/>
  <c r="AG998" i="1"/>
  <c r="AH998" i="1"/>
  <c r="AF999" i="1"/>
  <c r="AG999" i="1"/>
  <c r="AH999" i="1"/>
  <c r="AF1000" i="1"/>
  <c r="AG1000" i="1"/>
  <c r="AH1000" i="1"/>
  <c r="AF1001" i="1"/>
  <c r="AG1001" i="1"/>
  <c r="AH1001" i="1"/>
  <c r="AF1002" i="1"/>
  <c r="AG1002" i="1"/>
  <c r="AH1002" i="1"/>
  <c r="AF1003" i="1"/>
  <c r="AG1003" i="1"/>
  <c r="AH1003" i="1"/>
  <c r="AF1004" i="1"/>
  <c r="AG1004" i="1"/>
  <c r="AH1004" i="1"/>
  <c r="AF1005" i="1"/>
  <c r="AG1005" i="1"/>
  <c r="AH1005" i="1"/>
  <c r="AF1006" i="1"/>
  <c r="AG1006" i="1"/>
  <c r="AH1006" i="1"/>
  <c r="AF1007" i="1"/>
  <c r="AG1007" i="1"/>
  <c r="AH1007" i="1"/>
  <c r="AF1008" i="1"/>
  <c r="AG1008" i="1"/>
  <c r="AH1008" i="1"/>
  <c r="AF1009" i="1"/>
  <c r="AG1009" i="1"/>
  <c r="AH1009" i="1"/>
  <c r="AF1010" i="1"/>
  <c r="AG1010" i="1"/>
  <c r="AH1010" i="1"/>
  <c r="AF1011" i="1"/>
  <c r="AG1011" i="1"/>
  <c r="AH1011" i="1"/>
  <c r="AF1012" i="1"/>
  <c r="AG1012" i="1"/>
  <c r="AH1012" i="1"/>
  <c r="AF1013" i="1"/>
  <c r="AG1013" i="1"/>
  <c r="AH1013" i="1"/>
  <c r="AF1014" i="1"/>
  <c r="AG1014" i="1"/>
  <c r="AH1014" i="1"/>
  <c r="AF1015" i="1"/>
  <c r="AG1015" i="1"/>
  <c r="AH1015" i="1"/>
  <c r="AF1016" i="1"/>
  <c r="AG1016" i="1"/>
  <c r="AH1016" i="1"/>
  <c r="AF1017" i="1"/>
  <c r="AG1017" i="1"/>
  <c r="AH1017" i="1"/>
  <c r="AF1018" i="1"/>
  <c r="AG1018" i="1"/>
  <c r="AH1018" i="1"/>
  <c r="AF1019" i="1"/>
  <c r="AG1019" i="1"/>
  <c r="AH1019" i="1"/>
  <c r="AF1020" i="1"/>
  <c r="AG1020" i="1"/>
  <c r="AH1020" i="1"/>
  <c r="AF1021" i="1"/>
  <c r="AG1021" i="1"/>
  <c r="AH1021" i="1"/>
  <c r="AF1022" i="1"/>
  <c r="AG1022" i="1"/>
  <c r="AH1022" i="1"/>
  <c r="AF1023" i="1"/>
  <c r="AG1023" i="1"/>
  <c r="AH1023" i="1"/>
  <c r="AF1024" i="1"/>
  <c r="AG1024" i="1"/>
  <c r="AH1024" i="1"/>
  <c r="AF1025" i="1"/>
  <c r="AG1025" i="1"/>
  <c r="AH1025" i="1"/>
  <c r="AF1026" i="1"/>
  <c r="AG1026" i="1"/>
  <c r="AH1026" i="1"/>
  <c r="AF1027" i="1"/>
  <c r="AG1027" i="1"/>
  <c r="AH1027" i="1"/>
  <c r="AF1028" i="1"/>
  <c r="AG1028" i="1"/>
  <c r="AH1028" i="1"/>
  <c r="AF1029" i="1"/>
  <c r="AG1029" i="1"/>
  <c r="AH1029" i="1"/>
  <c r="AF1030" i="1"/>
  <c r="AG1030" i="1"/>
  <c r="AH1030" i="1"/>
  <c r="AF1031" i="1"/>
  <c r="AG1031" i="1"/>
  <c r="AH1031" i="1"/>
  <c r="AF1032" i="1"/>
  <c r="AG1032" i="1"/>
  <c r="AH1032" i="1"/>
  <c r="AF1033" i="1"/>
  <c r="AG1033" i="1"/>
  <c r="AH1033" i="1"/>
  <c r="AF1034" i="1"/>
  <c r="AG1034" i="1"/>
  <c r="AH1034" i="1"/>
  <c r="AF1035" i="1"/>
  <c r="AG1035" i="1"/>
  <c r="AH1035" i="1"/>
  <c r="AF1036" i="1"/>
  <c r="AG1036" i="1"/>
  <c r="AH1036" i="1"/>
  <c r="AF1037" i="1"/>
  <c r="AG1037" i="1"/>
  <c r="AH1037" i="1"/>
  <c r="AF1038" i="1"/>
  <c r="AG1038" i="1"/>
  <c r="AH1038" i="1"/>
  <c r="AF1039" i="1"/>
  <c r="AG1039" i="1"/>
  <c r="AH1039" i="1"/>
  <c r="AF1040" i="1"/>
  <c r="AG1040" i="1"/>
  <c r="AH1040" i="1"/>
  <c r="AF1041" i="1"/>
  <c r="AG1041" i="1"/>
  <c r="AH1041" i="1"/>
  <c r="AF1042" i="1"/>
  <c r="AG1042" i="1"/>
  <c r="AH1042" i="1"/>
  <c r="AC1042" i="1"/>
  <c r="AD1042" i="1"/>
  <c r="O1042" i="1"/>
  <c r="AF215" i="1"/>
  <c r="AG215" i="1"/>
  <c r="AH215" i="1"/>
  <c r="AF248" i="1"/>
  <c r="AG248" i="1"/>
  <c r="AH248" i="1"/>
  <c r="AH490" i="1"/>
  <c r="AH592" i="1"/>
  <c r="AH724" i="1"/>
  <c r="AH746" i="1"/>
  <c r="AC1041" i="1"/>
  <c r="AD1041" i="1"/>
  <c r="O1041" i="1"/>
  <c r="O1040" i="1"/>
  <c r="AC1040" i="1"/>
  <c r="AD1040" i="1"/>
  <c r="O1035" i="1"/>
  <c r="O1036" i="1"/>
  <c r="O1037" i="1"/>
  <c r="O1038" i="1"/>
  <c r="O1039" i="1"/>
  <c r="AC1035" i="1"/>
  <c r="AD1035" i="1"/>
  <c r="AC1036" i="1"/>
  <c r="AD1036" i="1"/>
  <c r="AC1037" i="1"/>
  <c r="AD1037" i="1"/>
  <c r="AC1038" i="1"/>
  <c r="AD1038" i="1"/>
  <c r="AC1039" i="1"/>
  <c r="AD1039" i="1"/>
  <c r="AC1034" i="1"/>
  <c r="AD1034" i="1"/>
  <c r="O1034" i="1"/>
  <c r="AC1031" i="1"/>
  <c r="AD1031" i="1"/>
  <c r="AC1032" i="1"/>
  <c r="AD1032" i="1"/>
  <c r="AC1033" i="1"/>
  <c r="AD1033" i="1"/>
  <c r="O1032" i="1"/>
  <c r="O1033" i="1"/>
  <c r="O1031" i="1"/>
  <c r="AC1029" i="1"/>
  <c r="AD1029" i="1"/>
  <c r="AC1030" i="1"/>
  <c r="AD1030" i="1"/>
  <c r="O1029" i="1"/>
  <c r="O1030" i="1"/>
  <c r="AC1028" i="1"/>
  <c r="AD1028" i="1"/>
  <c r="O1028" i="1"/>
  <c r="AC1027" i="1"/>
  <c r="AD1027" i="1"/>
  <c r="O1027" i="1"/>
  <c r="AC1026" i="1"/>
  <c r="AD1026" i="1"/>
  <c r="O1026" i="1"/>
  <c r="O1025" i="1"/>
  <c r="AC1024" i="1"/>
  <c r="AD1024" i="1"/>
  <c r="AC1023" i="1"/>
  <c r="AD1023" i="1"/>
  <c r="O1023" i="1"/>
  <c r="O1024" i="1"/>
  <c r="AC1022" i="1"/>
  <c r="AD1022" i="1"/>
  <c r="O1022" i="1"/>
  <c r="O974" i="1"/>
  <c r="O985" i="1"/>
  <c r="O988" i="1"/>
  <c r="O990" i="1"/>
  <c r="O995" i="1"/>
  <c r="O997" i="1"/>
  <c r="O1007" i="1"/>
  <c r="O1009" i="1"/>
  <c r="O1010" i="1"/>
  <c r="O1011" i="1"/>
  <c r="O1018" i="1"/>
  <c r="O1019" i="1"/>
  <c r="AC1021" i="1"/>
  <c r="AD1021" i="1"/>
  <c r="O1021" i="1"/>
  <c r="AC1020" i="1"/>
  <c r="AD1020" i="1"/>
  <c r="O1020" i="1"/>
  <c r="AC1019" i="1"/>
  <c r="AD1019" i="1" s="1"/>
  <c r="AC1017" i="1"/>
  <c r="AD1017" i="1"/>
  <c r="AC1018" i="1"/>
  <c r="AD1018" i="1"/>
  <c r="O1012" i="1"/>
  <c r="O1013" i="1"/>
  <c r="O1014" i="1"/>
  <c r="O1015" i="1"/>
  <c r="O1016" i="1"/>
  <c r="O1017" i="1"/>
  <c r="AC1011" i="1"/>
  <c r="AD1011" i="1"/>
  <c r="AC1010" i="1"/>
  <c r="AD1010" i="1" s="1"/>
  <c r="AC1009" i="1"/>
  <c r="AD1009" i="1"/>
  <c r="AC1008" i="1"/>
  <c r="AD1008" i="1"/>
  <c r="O1008" i="1"/>
  <c r="AC1007" i="1"/>
  <c r="AD1007" i="1"/>
  <c r="AC1006" i="1"/>
  <c r="AD1006" i="1"/>
  <c r="O1006" i="1"/>
  <c r="AC1004" i="1"/>
  <c r="AD1004" i="1"/>
  <c r="AC1005" i="1"/>
  <c r="AD1005" i="1"/>
  <c r="O1005" i="1"/>
  <c r="AC928" i="1"/>
  <c r="O1004" i="1"/>
  <c r="AC999" i="1"/>
  <c r="AD999" i="1"/>
  <c r="AC1000" i="1"/>
  <c r="AD1000" i="1"/>
  <c r="AC1001" i="1"/>
  <c r="AD1001" i="1"/>
  <c r="AC1002" i="1"/>
  <c r="AD1002" i="1"/>
  <c r="O1001" i="1"/>
  <c r="O1002" i="1"/>
  <c r="O1003" i="1"/>
  <c r="O1000" i="1"/>
  <c r="O999" i="1"/>
  <c r="O998" i="1"/>
  <c r="AC998" i="1"/>
  <c r="AD998" i="1"/>
  <c r="AC997" i="1"/>
  <c r="AD997" i="1"/>
  <c r="AC996" i="1"/>
  <c r="AD996" i="1" s="1"/>
  <c r="O996" i="1"/>
  <c r="AC995" i="1"/>
  <c r="AD995" i="1"/>
  <c r="O992" i="1"/>
  <c r="O993" i="1"/>
  <c r="O994" i="1"/>
  <c r="AC991" i="1"/>
  <c r="AD991" i="1"/>
  <c r="AC992" i="1"/>
  <c r="AD992" i="1"/>
  <c r="O986" i="1"/>
  <c r="O987" i="1"/>
  <c r="O989" i="1"/>
  <c r="O991" i="1"/>
  <c r="AC985" i="1"/>
  <c r="AD985" i="1"/>
  <c r="AC975" i="1"/>
  <c r="AD975" i="1"/>
  <c r="O975" i="1"/>
  <c r="O976" i="1"/>
  <c r="O977" i="1"/>
  <c r="O978" i="1"/>
  <c r="O979" i="1"/>
  <c r="O980" i="1"/>
  <c r="O981" i="1"/>
  <c r="O982" i="1"/>
  <c r="O983" i="1"/>
  <c r="O984" i="1"/>
  <c r="AC974" i="1"/>
  <c r="AD974" i="1" s="1"/>
  <c r="AC973" i="1"/>
  <c r="AD973" i="1" s="1"/>
  <c r="O973" i="1"/>
  <c r="AC972" i="1"/>
  <c r="AD972" i="1" s="1"/>
  <c r="O972" i="1"/>
  <c r="AC971" i="1"/>
  <c r="AD971" i="1" s="1"/>
  <c r="O971" i="1"/>
  <c r="AC970" i="1"/>
  <c r="AD970" i="1"/>
  <c r="O970" i="1"/>
  <c r="AC969" i="1"/>
  <c r="AD969" i="1" s="1"/>
  <c r="O969" i="1"/>
  <c r="AC966" i="1"/>
  <c r="AD966" i="1"/>
  <c r="AC967" i="1"/>
  <c r="AD967" i="1"/>
  <c r="AC968" i="1"/>
  <c r="AD968" i="1"/>
  <c r="O967" i="1"/>
  <c r="O968" i="1"/>
  <c r="AC965" i="1"/>
  <c r="AD965" i="1" s="1"/>
  <c r="O965" i="1"/>
  <c r="O966" i="1"/>
  <c r="AC964" i="1"/>
  <c r="AD964" i="1" s="1"/>
  <c r="O964" i="1"/>
  <c r="AC963" i="1"/>
  <c r="AD963" i="1"/>
  <c r="O963" i="1"/>
  <c r="AC956" i="1"/>
  <c r="O962" i="1"/>
  <c r="O961" i="1"/>
  <c r="AC960" i="1"/>
  <c r="AD960" i="1"/>
  <c r="O960" i="1"/>
  <c r="O957" i="1"/>
  <c r="O958" i="1"/>
  <c r="O959" i="1"/>
  <c r="AF957" i="1"/>
  <c r="AG957" i="1"/>
  <c r="AH957" i="1"/>
  <c r="AF958" i="1"/>
  <c r="AG958" i="1"/>
  <c r="AH958" i="1"/>
  <c r="AD956" i="1"/>
  <c r="AC957" i="1"/>
  <c r="AD957" i="1"/>
  <c r="AC958" i="1"/>
  <c r="AD958" i="1"/>
  <c r="AF956" i="1"/>
  <c r="AG956" i="1"/>
  <c r="AH956" i="1"/>
  <c r="O954" i="1"/>
  <c r="O955" i="1"/>
  <c r="O956" i="1"/>
  <c r="AF954" i="1"/>
  <c r="AG954" i="1"/>
  <c r="AH954" i="1"/>
  <c r="AF955" i="1"/>
  <c r="AG955" i="1"/>
  <c r="AH955" i="1"/>
  <c r="AC954" i="1"/>
  <c r="AD954" i="1"/>
  <c r="AC955" i="1"/>
  <c r="AD955" i="1"/>
  <c r="O953" i="1"/>
  <c r="AC952" i="1"/>
  <c r="AD952" i="1"/>
  <c r="AC953" i="1"/>
  <c r="AD953" i="1"/>
  <c r="AF952" i="1"/>
  <c r="AG952" i="1"/>
  <c r="AH952" i="1"/>
  <c r="AF953" i="1"/>
  <c r="AG953" i="1"/>
  <c r="AH953" i="1"/>
  <c r="O952" i="1"/>
  <c r="O951" i="1"/>
  <c r="O950" i="1"/>
  <c r="AF948" i="1"/>
  <c r="AG948" i="1"/>
  <c r="AH948" i="1"/>
  <c r="AF949" i="1"/>
  <c r="AG949" i="1"/>
  <c r="AH949" i="1"/>
  <c r="AF950" i="1"/>
  <c r="AG950" i="1"/>
  <c r="AH950" i="1"/>
  <c r="AF951" i="1"/>
  <c r="AG951" i="1"/>
  <c r="AH951" i="1"/>
  <c r="AC948" i="1"/>
  <c r="AD948" i="1"/>
  <c r="AC949" i="1"/>
  <c r="AD949" i="1"/>
  <c r="O948" i="1"/>
  <c r="O949" i="1"/>
  <c r="O947" i="1"/>
  <c r="O946" i="1"/>
  <c r="O945" i="1"/>
  <c r="AF944" i="1"/>
  <c r="AG944" i="1"/>
  <c r="AH944" i="1"/>
  <c r="AF945" i="1"/>
  <c r="AG945" i="1"/>
  <c r="AH945" i="1"/>
  <c r="AF946" i="1"/>
  <c r="AG946" i="1"/>
  <c r="AH946" i="1"/>
  <c r="AF947" i="1"/>
  <c r="AG947" i="1"/>
  <c r="AH947" i="1"/>
  <c r="AC944" i="1"/>
  <c r="AD944" i="1"/>
  <c r="O944" i="1"/>
  <c r="O942" i="1"/>
  <c r="O943" i="1"/>
  <c r="AF940" i="1"/>
  <c r="AG940" i="1"/>
  <c r="AH940" i="1"/>
  <c r="AF941" i="1"/>
  <c r="AG941" i="1"/>
  <c r="AH941" i="1"/>
  <c r="AF942" i="1"/>
  <c r="AG942" i="1"/>
  <c r="AH942" i="1"/>
  <c r="AF943" i="1"/>
  <c r="AG943" i="1"/>
  <c r="AH943" i="1"/>
  <c r="AC940" i="1"/>
  <c r="AD940" i="1"/>
  <c r="AC941" i="1"/>
  <c r="AD941" i="1"/>
  <c r="O940" i="1"/>
  <c r="O941" i="1"/>
  <c r="O939" i="1"/>
  <c r="AF939" i="1"/>
  <c r="AG939" i="1"/>
  <c r="AH939" i="1"/>
  <c r="AC939" i="1"/>
  <c r="AD939" i="1"/>
  <c r="AF938" i="1"/>
  <c r="AG938" i="1"/>
  <c r="AH938" i="1"/>
  <c r="AC938" i="1"/>
  <c r="AD938" i="1"/>
  <c r="O938" i="1"/>
  <c r="AH937" i="1"/>
  <c r="AG937" i="1"/>
  <c r="AF937" i="1"/>
  <c r="AC937" i="1"/>
  <c r="AD937" i="1" s="1"/>
  <c r="O937" i="1"/>
  <c r="AC936" i="1"/>
  <c r="AD936" i="1"/>
  <c r="AF936" i="1"/>
  <c r="AG936" i="1"/>
  <c r="AH936" i="1"/>
  <c r="O936" i="1"/>
  <c r="O935" i="1"/>
  <c r="AF933" i="1"/>
  <c r="AG933" i="1"/>
  <c r="AH933" i="1"/>
  <c r="AF934" i="1"/>
  <c r="AG934" i="1"/>
  <c r="AH934" i="1"/>
  <c r="AF935" i="1"/>
  <c r="AG935" i="1"/>
  <c r="AH935" i="1"/>
  <c r="AC934" i="1"/>
  <c r="AD934" i="1"/>
  <c r="AC933" i="1"/>
  <c r="AD933" i="1"/>
  <c r="O932" i="1"/>
  <c r="O933" i="1"/>
  <c r="O934" i="1"/>
  <c r="AF930" i="1"/>
  <c r="AG930" i="1"/>
  <c r="AH930" i="1"/>
  <c r="AF931" i="1"/>
  <c r="AG931" i="1"/>
  <c r="AH931" i="1"/>
  <c r="AF932" i="1"/>
  <c r="AG932" i="1"/>
  <c r="AH932" i="1"/>
  <c r="AC930" i="1"/>
  <c r="AD930" i="1"/>
  <c r="AC931" i="1"/>
  <c r="AD931" i="1"/>
  <c r="O930" i="1"/>
  <c r="O931" i="1"/>
  <c r="AD928" i="1"/>
  <c r="AC929" i="1"/>
  <c r="AD929" i="1"/>
  <c r="AF928" i="1"/>
  <c r="AG928" i="1"/>
  <c r="AH928" i="1"/>
  <c r="AF929" i="1"/>
  <c r="AG929" i="1"/>
  <c r="AH929" i="1"/>
  <c r="O927" i="1"/>
  <c r="O928" i="1"/>
  <c r="O929" i="1"/>
  <c r="AG925" i="1"/>
  <c r="AG926" i="1"/>
  <c r="AG927" i="1"/>
  <c r="AF927" i="1"/>
  <c r="AH927" i="1"/>
  <c r="O926" i="1"/>
  <c r="AF925" i="1"/>
  <c r="AH925" i="1"/>
  <c r="AF926" i="1"/>
  <c r="AH926" i="1"/>
  <c r="AC925" i="1"/>
  <c r="AD925" i="1"/>
  <c r="O925" i="1"/>
  <c r="O924" i="1"/>
  <c r="AF922" i="1"/>
  <c r="AG922" i="1"/>
  <c r="AH922" i="1"/>
  <c r="AF923" i="1"/>
  <c r="AG923" i="1"/>
  <c r="AH923" i="1"/>
  <c r="AF924" i="1"/>
  <c r="AG924" i="1"/>
  <c r="AH924" i="1"/>
  <c r="AC922" i="1"/>
  <c r="AD922" i="1"/>
  <c r="AC923" i="1"/>
  <c r="AD923" i="1"/>
  <c r="AC924" i="1"/>
  <c r="AD924" i="1"/>
  <c r="O922" i="1"/>
  <c r="O923" i="1"/>
  <c r="O920" i="1"/>
  <c r="O921" i="1"/>
  <c r="AF921" i="1"/>
  <c r="AG921" i="1"/>
  <c r="AH921" i="1"/>
  <c r="AC921" i="1"/>
  <c r="AD921" i="1"/>
  <c r="AC920" i="1"/>
  <c r="AD920" i="1"/>
  <c r="AF920" i="1"/>
  <c r="AG920" i="1"/>
  <c r="AH920" i="1"/>
  <c r="AF919" i="1"/>
  <c r="AG919" i="1"/>
  <c r="AH919" i="1"/>
  <c r="AC919" i="1"/>
  <c r="AD919" i="1"/>
  <c r="O919" i="1"/>
  <c r="AC917" i="1"/>
  <c r="AD917" i="1"/>
  <c r="AC918" i="1"/>
  <c r="AD918" i="1"/>
  <c r="AF917" i="1"/>
  <c r="AG917" i="1"/>
  <c r="AH917" i="1"/>
  <c r="AF918" i="1"/>
  <c r="AG918" i="1"/>
  <c r="AH918" i="1"/>
  <c r="O917" i="1"/>
  <c r="O918" i="1"/>
  <c r="O916" i="1"/>
  <c r="AF916" i="1"/>
  <c r="AG916" i="1"/>
  <c r="AH916" i="1"/>
  <c r="AC916" i="1"/>
  <c r="AD916" i="1"/>
  <c r="AC915" i="1"/>
  <c r="AD915" i="1"/>
  <c r="AF915" i="1"/>
  <c r="AG915" i="1"/>
  <c r="AH915" i="1"/>
  <c r="O915" i="1"/>
  <c r="AH914" i="1"/>
  <c r="AG914" i="1"/>
  <c r="AF914" i="1"/>
  <c r="AC914" i="1"/>
  <c r="AD914" i="1" s="1"/>
  <c r="O914" i="1"/>
  <c r="AC913" i="1"/>
  <c r="AD913" i="1"/>
  <c r="AF913" i="1"/>
  <c r="AG913" i="1"/>
  <c r="AH913" i="1"/>
  <c r="O913" i="1"/>
  <c r="O912" i="1"/>
  <c r="AH912" i="1"/>
  <c r="AG912" i="1"/>
  <c r="AF912" i="1"/>
  <c r="AC912" i="1"/>
  <c r="AD912" i="1" s="1"/>
  <c r="O911" i="1"/>
  <c r="AF906" i="1"/>
  <c r="AG906" i="1"/>
  <c r="AH906" i="1"/>
  <c r="AF907" i="1"/>
  <c r="AG907" i="1"/>
  <c r="AH907" i="1"/>
  <c r="AF908" i="1"/>
  <c r="AG908" i="1"/>
  <c r="AH908" i="1"/>
  <c r="AF909" i="1"/>
  <c r="AG909" i="1"/>
  <c r="AH909" i="1"/>
  <c r="AF910" i="1"/>
  <c r="AG910" i="1"/>
  <c r="AH910" i="1"/>
  <c r="AF911" i="1"/>
  <c r="AG911" i="1"/>
  <c r="AH911" i="1"/>
  <c r="AC906" i="1"/>
  <c r="AD906" i="1"/>
  <c r="AH905" i="1"/>
  <c r="AG905" i="1"/>
  <c r="AF905" i="1"/>
  <c r="AC905" i="1"/>
  <c r="AD905" i="1" s="1"/>
  <c r="O905" i="1"/>
  <c r="O906" i="1"/>
  <c r="O907" i="1"/>
  <c r="O908" i="1"/>
  <c r="O909" i="1"/>
  <c r="O910" i="1"/>
  <c r="AF904" i="1"/>
  <c r="AG904" i="1"/>
  <c r="AH904" i="1"/>
  <c r="AC903" i="1"/>
  <c r="AD903" i="1"/>
  <c r="AC904" i="1"/>
  <c r="AD904" i="1"/>
  <c r="O904" i="1"/>
  <c r="AF903" i="1"/>
  <c r="AG903" i="1"/>
  <c r="AH903" i="1"/>
  <c r="O903" i="1"/>
  <c r="AF901" i="1"/>
  <c r="AG901" i="1"/>
  <c r="AH901" i="1"/>
  <c r="AF902" i="1"/>
  <c r="AG902" i="1"/>
  <c r="AH902" i="1"/>
  <c r="AC901" i="1"/>
  <c r="AD901" i="1"/>
  <c r="AC902" i="1"/>
  <c r="AD902" i="1"/>
  <c r="O901" i="1"/>
  <c r="O902" i="1"/>
  <c r="AF899" i="1"/>
  <c r="AG899" i="1"/>
  <c r="AH899" i="1"/>
  <c r="AF900" i="1"/>
  <c r="AG900" i="1"/>
  <c r="AH900" i="1"/>
  <c r="AC900" i="1"/>
  <c r="AD900" i="1"/>
  <c r="AC899" i="1"/>
  <c r="AD899" i="1"/>
  <c r="O899" i="1"/>
  <c r="O900" i="1"/>
  <c r="AF897" i="1"/>
  <c r="AG897" i="1"/>
  <c r="AH897" i="1"/>
  <c r="AF898" i="1"/>
  <c r="AG898" i="1"/>
  <c r="AH898" i="1"/>
  <c r="AC897" i="1"/>
  <c r="AD897" i="1"/>
  <c r="AC898" i="1"/>
  <c r="AD898" i="1"/>
  <c r="O897" i="1"/>
  <c r="O898" i="1"/>
  <c r="AC896" i="1"/>
  <c r="AD896" i="1"/>
  <c r="AF896" i="1"/>
  <c r="AG896" i="1"/>
  <c r="AH896" i="1"/>
  <c r="O896" i="1"/>
  <c r="AC884" i="1"/>
  <c r="AC885" i="1"/>
  <c r="AC886" i="1"/>
  <c r="AC895" i="1"/>
  <c r="AD895" i="1"/>
  <c r="AF895" i="1"/>
  <c r="AG895" i="1"/>
  <c r="AH895" i="1"/>
  <c r="O895" i="1"/>
  <c r="AF894" i="1"/>
  <c r="AG894" i="1"/>
  <c r="AH894" i="1"/>
  <c r="O894" i="1"/>
  <c r="AF893" i="1"/>
  <c r="AG893" i="1"/>
  <c r="AH893" i="1"/>
  <c r="AC893" i="1"/>
  <c r="AD893" i="1"/>
  <c r="O893" i="1"/>
  <c r="O892" i="1"/>
  <c r="O891" i="1"/>
  <c r="AF891" i="1"/>
  <c r="AG891" i="1"/>
  <c r="AH891" i="1"/>
  <c r="AF892" i="1"/>
  <c r="AG892" i="1"/>
  <c r="AH892" i="1"/>
  <c r="AC891" i="1"/>
  <c r="AD891" i="1"/>
  <c r="O890" i="1"/>
  <c r="AF890" i="1"/>
  <c r="AG890" i="1"/>
  <c r="AH890" i="1"/>
  <c r="AC890" i="1"/>
  <c r="AD890" i="1"/>
  <c r="AF887" i="1"/>
  <c r="AG887" i="1"/>
  <c r="AH887" i="1"/>
  <c r="AF888" i="1"/>
  <c r="AG888" i="1"/>
  <c r="AH888" i="1"/>
  <c r="AF889" i="1"/>
  <c r="AG889" i="1"/>
  <c r="AH889" i="1"/>
  <c r="AC887" i="1"/>
  <c r="AD887" i="1"/>
  <c r="AC888" i="1"/>
  <c r="AD888" i="1"/>
  <c r="AC889" i="1"/>
  <c r="AD889" i="1"/>
  <c r="O887" i="1"/>
  <c r="O888" i="1"/>
  <c r="O889" i="1"/>
  <c r="AF886" i="1"/>
  <c r="AG886" i="1"/>
  <c r="AH886" i="1"/>
  <c r="AD886" i="1"/>
  <c r="O886" i="1"/>
  <c r="O885" i="1"/>
  <c r="AD885" i="1"/>
  <c r="AF885" i="1"/>
  <c r="AG885" i="1"/>
  <c r="AH885" i="1"/>
  <c r="AF884" i="1"/>
  <c r="AG884" i="1"/>
  <c r="AH884" i="1"/>
  <c r="AD884" i="1"/>
  <c r="O883" i="1"/>
  <c r="O884" i="1"/>
  <c r="AF883" i="1"/>
  <c r="AG883" i="1"/>
  <c r="AH883" i="1"/>
  <c r="AC883" i="1"/>
  <c r="AD883" i="1"/>
  <c r="O882" i="1"/>
  <c r="AC882" i="1"/>
  <c r="AD882" i="1"/>
  <c r="AF882" i="1"/>
  <c r="AG882" i="1"/>
  <c r="AH882" i="1"/>
  <c r="O880" i="1"/>
  <c r="O881" i="1"/>
  <c r="AF879" i="1"/>
  <c r="AG879" i="1"/>
  <c r="AH879" i="1"/>
  <c r="AF880" i="1"/>
  <c r="AG880" i="1"/>
  <c r="AH880" i="1"/>
  <c r="AF881" i="1"/>
  <c r="AG881" i="1"/>
  <c r="AH881" i="1"/>
  <c r="AC879" i="1"/>
  <c r="AD879" i="1"/>
  <c r="AC880" i="1"/>
  <c r="AD880" i="1"/>
  <c r="AC881" i="1"/>
  <c r="AD881" i="1"/>
  <c r="O879" i="1"/>
  <c r="O877" i="1"/>
  <c r="O878" i="1"/>
  <c r="AF874" i="1"/>
  <c r="AG874" i="1"/>
  <c r="AH874" i="1"/>
  <c r="AF875" i="1"/>
  <c r="AG875" i="1"/>
  <c r="AH875" i="1"/>
  <c r="AF876" i="1"/>
  <c r="AG876" i="1"/>
  <c r="AH876" i="1"/>
  <c r="AF877" i="1"/>
  <c r="AG877" i="1"/>
  <c r="AH877" i="1"/>
  <c r="AF878" i="1"/>
  <c r="AG878" i="1"/>
  <c r="AH878" i="1"/>
  <c r="AC876" i="1"/>
  <c r="AD876" i="1"/>
  <c r="AC877" i="1"/>
  <c r="AD877" i="1"/>
  <c r="AC878" i="1"/>
  <c r="AD878" i="1"/>
  <c r="O876" i="1"/>
  <c r="O875" i="1"/>
  <c r="O874" i="1"/>
  <c r="AG873" i="1"/>
  <c r="AF873" i="1"/>
  <c r="AC873" i="1"/>
  <c r="AD873" i="1" s="1"/>
  <c r="O872" i="1"/>
  <c r="O873" i="1"/>
  <c r="AH873" i="1"/>
  <c r="O870" i="1"/>
  <c r="O871" i="1"/>
  <c r="AC869" i="1"/>
  <c r="AD869" i="1" s="1"/>
  <c r="AF869" i="1"/>
  <c r="AG869" i="1"/>
  <c r="AH869" i="1"/>
  <c r="AF870" i="1"/>
  <c r="AG870" i="1"/>
  <c r="AH870" i="1"/>
  <c r="AF871" i="1"/>
  <c r="AG871" i="1"/>
  <c r="AH871" i="1"/>
  <c r="AF872" i="1"/>
  <c r="AG872" i="1"/>
  <c r="AH872" i="1"/>
  <c r="O869" i="1"/>
  <c r="AH868" i="1"/>
  <c r="AH864" i="1"/>
  <c r="AH863" i="1"/>
  <c r="AG868" i="1"/>
  <c r="AF868" i="1"/>
  <c r="AC868" i="1"/>
  <c r="AD868" i="1" s="1"/>
  <c r="O868" i="1"/>
  <c r="AC862" i="1"/>
  <c r="AC863" i="1"/>
  <c r="AC852" i="1"/>
  <c r="AC620" i="1"/>
  <c r="AC604" i="1"/>
  <c r="AC579" i="1"/>
  <c r="AC577" i="1"/>
  <c r="AC578" i="1"/>
  <c r="AC864" i="1"/>
  <c r="AC865" i="1"/>
  <c r="AC866" i="1"/>
  <c r="AC867" i="1"/>
  <c r="AC856" i="1"/>
  <c r="AC857" i="1"/>
  <c r="AC858" i="1"/>
  <c r="AC859" i="1"/>
  <c r="AC860" i="1"/>
  <c r="AD865" i="1"/>
  <c r="AD866" i="1"/>
  <c r="AD867" i="1"/>
  <c r="AF865" i="1"/>
  <c r="AG865" i="1"/>
  <c r="AH865" i="1"/>
  <c r="AF866" i="1"/>
  <c r="AG866" i="1"/>
  <c r="AH866" i="1"/>
  <c r="AF867" i="1"/>
  <c r="AG867" i="1"/>
  <c r="AH867" i="1"/>
  <c r="O865" i="1"/>
  <c r="O866" i="1"/>
  <c r="O867" i="1"/>
  <c r="AD864" i="1"/>
  <c r="O864" i="1"/>
  <c r="AG864" i="1"/>
  <c r="AF864" i="1"/>
  <c r="AD863" i="1"/>
  <c r="O863" i="1"/>
  <c r="AF855" i="1"/>
  <c r="AG855" i="1"/>
  <c r="AH855" i="1"/>
  <c r="AF856" i="1"/>
  <c r="AG856" i="1"/>
  <c r="AH856" i="1"/>
  <c r="AF857" i="1"/>
  <c r="AG857" i="1"/>
  <c r="AH857" i="1"/>
  <c r="AF858" i="1"/>
  <c r="AG858" i="1"/>
  <c r="AH858" i="1"/>
  <c r="AF859" i="1"/>
  <c r="AG859" i="1"/>
  <c r="AH859" i="1"/>
  <c r="AF860" i="1"/>
  <c r="AG860" i="1"/>
  <c r="AH860" i="1"/>
  <c r="AF861" i="1"/>
  <c r="AG861" i="1"/>
  <c r="AH861" i="1"/>
  <c r="AF862" i="1"/>
  <c r="AG862" i="1"/>
  <c r="AH862" i="1"/>
  <c r="AF863" i="1"/>
  <c r="AG863" i="1"/>
  <c r="AD862" i="1"/>
  <c r="O862" i="1"/>
  <c r="AD861" i="1"/>
  <c r="O861" i="1"/>
  <c r="AF508" i="1"/>
  <c r="AG508" i="1"/>
  <c r="AH508" i="1"/>
  <c r="AD508" i="1"/>
  <c r="O508" i="1"/>
  <c r="AF162" i="1"/>
  <c r="AG162" i="1"/>
  <c r="AH162" i="1"/>
  <c r="AD162" i="1"/>
  <c r="O162" i="1"/>
  <c r="AD528" i="1"/>
  <c r="AD529" i="1"/>
  <c r="AD531" i="1"/>
  <c r="AD532" i="1"/>
  <c r="AD533" i="1"/>
  <c r="AD534" i="1"/>
  <c r="AD578" i="1"/>
  <c r="AD579" i="1"/>
  <c r="AD592" i="1"/>
  <c r="AD593" i="1"/>
  <c r="AD594" i="1"/>
  <c r="AD604" i="1"/>
  <c r="AD618" i="1"/>
  <c r="AD620" i="1"/>
  <c r="AD657" i="1"/>
  <c r="AD668" i="1"/>
  <c r="AD669" i="1"/>
  <c r="AD670" i="1"/>
  <c r="AD717" i="1"/>
  <c r="AD718" i="1"/>
  <c r="AD719" i="1"/>
  <c r="AD720" i="1"/>
  <c r="AD721" i="1"/>
  <c r="AD722" i="1"/>
  <c r="AD723" i="1"/>
  <c r="AD763" i="1"/>
  <c r="AD769" i="1"/>
  <c r="AD791" i="1"/>
  <c r="AD822" i="1"/>
  <c r="AD833" i="1"/>
  <c r="AD852" i="1"/>
  <c r="AD853" i="1"/>
  <c r="AD854" i="1"/>
  <c r="AD856" i="1"/>
  <c r="AD857" i="1"/>
  <c r="AD858" i="1"/>
  <c r="AD859" i="1"/>
  <c r="AD860" i="1"/>
  <c r="AB823" i="1"/>
  <c r="AD823" i="1" s="1"/>
  <c r="AC843" i="1"/>
  <c r="AD843" i="1" s="1"/>
  <c r="O847" i="1"/>
  <c r="AC855" i="1"/>
  <c r="AD855" i="1" s="1"/>
  <c r="AC851" i="1"/>
  <c r="AD851" i="1" s="1"/>
  <c r="AC850" i="1"/>
  <c r="AD850" i="1" s="1"/>
  <c r="AC849" i="1"/>
  <c r="AD849" i="1" s="1"/>
  <c r="AC848" i="1"/>
  <c r="AD848" i="1" s="1"/>
  <c r="AC847" i="1"/>
  <c r="AD847" i="1" s="1"/>
  <c r="AC846" i="1"/>
  <c r="AD846" i="1" s="1"/>
  <c r="AC845" i="1"/>
  <c r="AD845" i="1" s="1"/>
  <c r="AC844" i="1"/>
  <c r="AD844" i="1" s="1"/>
  <c r="AC842" i="1"/>
  <c r="AD842" i="1" s="1"/>
  <c r="AC841" i="1"/>
  <c r="AD841" i="1" s="1"/>
  <c r="AC840" i="1"/>
  <c r="AD840" i="1" s="1"/>
  <c r="AC839" i="1"/>
  <c r="AD839" i="1" s="1"/>
  <c r="AC838" i="1"/>
  <c r="AD838" i="1" s="1"/>
  <c r="AC837" i="1"/>
  <c r="AD837" i="1" s="1"/>
  <c r="AC836" i="1"/>
  <c r="AD836" i="1" s="1"/>
  <c r="AC835" i="1"/>
  <c r="AD835" i="1" s="1"/>
  <c r="AC834" i="1"/>
  <c r="AD834" i="1" s="1"/>
  <c r="AC832" i="1"/>
  <c r="AD832" i="1" s="1"/>
  <c r="AC831" i="1"/>
  <c r="AD831" i="1" s="1"/>
  <c r="AC830" i="1"/>
  <c r="AD830" i="1" s="1"/>
  <c r="AC829" i="1"/>
  <c r="AD829" i="1" s="1"/>
  <c r="AC828" i="1"/>
  <c r="AD828" i="1" s="1"/>
  <c r="AC827" i="1"/>
  <c r="AD827" i="1" s="1"/>
  <c r="AC826" i="1"/>
  <c r="AD826" i="1" s="1"/>
  <c r="AC825" i="1"/>
  <c r="AD825" i="1" s="1"/>
  <c r="AC824" i="1"/>
  <c r="AD824" i="1" s="1"/>
  <c r="AC821" i="1"/>
  <c r="AD821" i="1" s="1"/>
  <c r="AC820" i="1"/>
  <c r="AD820" i="1" s="1"/>
  <c r="AC819" i="1"/>
  <c r="AD819" i="1" s="1"/>
  <c r="AC818" i="1"/>
  <c r="AD818" i="1" s="1"/>
  <c r="AC817" i="1"/>
  <c r="AD817" i="1" s="1"/>
  <c r="AC816" i="1"/>
  <c r="AD816" i="1" s="1"/>
  <c r="AC815" i="1"/>
  <c r="AD815" i="1" s="1"/>
  <c r="AC814" i="1"/>
  <c r="AD814" i="1" s="1"/>
  <c r="AC813" i="1"/>
  <c r="AD813" i="1" s="1"/>
  <c r="AC812" i="1"/>
  <c r="AD812" i="1" s="1"/>
  <c r="AC811" i="1"/>
  <c r="AD811" i="1" s="1"/>
  <c r="AC810" i="1"/>
  <c r="AD810" i="1" s="1"/>
  <c r="AC809" i="1"/>
  <c r="AD809" i="1" s="1"/>
  <c r="AC808" i="1"/>
  <c r="AD808" i="1" s="1"/>
  <c r="AC807" i="1"/>
  <c r="AD807" i="1" s="1"/>
  <c r="AC806" i="1"/>
  <c r="AD806" i="1" s="1"/>
  <c r="AC805" i="1"/>
  <c r="AD805" i="1" s="1"/>
  <c r="AC804" i="1"/>
  <c r="AD804" i="1" s="1"/>
  <c r="AC803" i="1"/>
  <c r="AD803" i="1" s="1"/>
  <c r="AC802" i="1"/>
  <c r="AD802" i="1" s="1"/>
  <c r="AC801" i="1"/>
  <c r="AD801" i="1" s="1"/>
  <c r="AC800" i="1"/>
  <c r="AD800" i="1" s="1"/>
  <c r="AC799" i="1"/>
  <c r="AD799" i="1" s="1"/>
  <c r="AC798" i="1"/>
  <c r="AD798" i="1" s="1"/>
  <c r="AC797" i="1"/>
  <c r="AD797" i="1" s="1"/>
  <c r="AC796" i="1"/>
  <c r="AD796" i="1" s="1"/>
  <c r="AC795" i="1"/>
  <c r="AD795" i="1" s="1"/>
  <c r="AC794" i="1"/>
  <c r="AD794" i="1" s="1"/>
  <c r="AC793" i="1"/>
  <c r="AD793" i="1" s="1"/>
  <c r="AC792" i="1"/>
  <c r="AD792" i="1" s="1"/>
  <c r="AC790" i="1"/>
  <c r="AD790" i="1" s="1"/>
  <c r="AC789" i="1"/>
  <c r="AD789" i="1" s="1"/>
  <c r="AC788" i="1"/>
  <c r="AD788" i="1" s="1"/>
  <c r="AC787" i="1"/>
  <c r="AD787" i="1" s="1"/>
  <c r="AC786" i="1"/>
  <c r="AD786" i="1" s="1"/>
  <c r="AC785" i="1"/>
  <c r="AD785" i="1" s="1"/>
  <c r="AC784" i="1"/>
  <c r="AD784" i="1" s="1"/>
  <c r="AC783" i="1"/>
  <c r="AD783" i="1" s="1"/>
  <c r="AC782" i="1"/>
  <c r="AD782" i="1" s="1"/>
  <c r="AC781" i="1"/>
  <c r="AD781" i="1" s="1"/>
  <c r="AC780" i="1"/>
  <c r="AD780" i="1" s="1"/>
  <c r="AC779" i="1"/>
  <c r="AD779" i="1" s="1"/>
  <c r="AC778" i="1"/>
  <c r="AD778" i="1" s="1"/>
  <c r="AC777" i="1"/>
  <c r="AD777" i="1" s="1"/>
  <c r="AC776" i="1"/>
  <c r="AD776" i="1" s="1"/>
  <c r="AC775" i="1"/>
  <c r="AD775" i="1" s="1"/>
  <c r="AC774" i="1"/>
  <c r="AD774" i="1" s="1"/>
  <c r="AC773" i="1"/>
  <c r="AD773" i="1" s="1"/>
  <c r="AC772" i="1"/>
  <c r="AD772" i="1" s="1"/>
  <c r="AC771" i="1"/>
  <c r="AD771" i="1" s="1"/>
  <c r="AC770" i="1"/>
  <c r="AD770" i="1" s="1"/>
  <c r="AC768" i="1"/>
  <c r="AD768" i="1" s="1"/>
  <c r="AC767" i="1"/>
  <c r="AD767" i="1" s="1"/>
  <c r="AC766" i="1"/>
  <c r="AD766" i="1" s="1"/>
  <c r="AC765" i="1"/>
  <c r="AD765" i="1" s="1"/>
  <c r="AC764" i="1"/>
  <c r="AD764" i="1" s="1"/>
  <c r="AC762" i="1"/>
  <c r="AD762" i="1" s="1"/>
  <c r="AC761" i="1"/>
  <c r="AD761" i="1" s="1"/>
  <c r="AC760" i="1"/>
  <c r="AD760" i="1" s="1"/>
  <c r="AC759" i="1"/>
  <c r="AD759" i="1" s="1"/>
  <c r="AC758" i="1"/>
  <c r="AD758" i="1" s="1"/>
  <c r="AC757" i="1"/>
  <c r="AD757" i="1" s="1"/>
  <c r="AC756" i="1"/>
  <c r="AD756" i="1" s="1"/>
  <c r="AC755" i="1"/>
  <c r="AD755" i="1" s="1"/>
  <c r="AC754" i="1"/>
  <c r="AD754" i="1" s="1"/>
  <c r="AC753" i="1"/>
  <c r="AD753" i="1" s="1"/>
  <c r="AC752" i="1"/>
  <c r="AD752" i="1" s="1"/>
  <c r="AC751" i="1"/>
  <c r="AD751" i="1" s="1"/>
  <c r="AC750" i="1"/>
  <c r="AD750" i="1" s="1"/>
  <c r="AC749" i="1"/>
  <c r="AD749" i="1" s="1"/>
  <c r="AC748" i="1"/>
  <c r="AD748" i="1" s="1"/>
  <c r="AC747" i="1"/>
  <c r="AD747" i="1" s="1"/>
  <c r="AC746" i="1"/>
  <c r="AD746" i="1" s="1"/>
  <c r="AC745" i="1"/>
  <c r="AD745" i="1" s="1"/>
  <c r="AC744" i="1"/>
  <c r="AD744" i="1" s="1"/>
  <c r="AC743" i="1"/>
  <c r="AD743" i="1" s="1"/>
  <c r="AC742" i="1"/>
  <c r="AD742" i="1" s="1"/>
  <c r="AC741" i="1"/>
  <c r="AD741" i="1" s="1"/>
  <c r="AC740" i="1"/>
  <c r="AD740" i="1" s="1"/>
  <c r="AC739" i="1"/>
  <c r="AD739" i="1" s="1"/>
  <c r="AC738" i="1"/>
  <c r="AD738" i="1" s="1"/>
  <c r="AC737" i="1"/>
  <c r="AD737" i="1" s="1"/>
  <c r="AC736" i="1"/>
  <c r="AD736" i="1" s="1"/>
  <c r="AC735" i="1"/>
  <c r="AD735" i="1" s="1"/>
  <c r="AC734" i="1"/>
  <c r="AD734" i="1" s="1"/>
  <c r="AC733" i="1"/>
  <c r="AD733" i="1" s="1"/>
  <c r="AC732" i="1"/>
  <c r="AD732" i="1" s="1"/>
  <c r="AC731" i="1"/>
  <c r="AD731" i="1" s="1"/>
  <c r="AC730" i="1"/>
  <c r="AD730" i="1" s="1"/>
  <c r="AC729" i="1"/>
  <c r="AD729" i="1" s="1"/>
  <c r="AC728" i="1"/>
  <c r="AD728" i="1" s="1"/>
  <c r="AC727" i="1"/>
  <c r="AD727" i="1" s="1"/>
  <c r="AC726" i="1"/>
  <c r="AD726" i="1" s="1"/>
  <c r="AC725" i="1"/>
  <c r="AD725" i="1" s="1"/>
  <c r="AC724" i="1"/>
  <c r="AD724" i="1" s="1"/>
  <c r="AC716" i="1"/>
  <c r="AD716" i="1" s="1"/>
  <c r="AC715" i="1"/>
  <c r="AD715" i="1" s="1"/>
  <c r="AC714" i="1"/>
  <c r="AD714" i="1" s="1"/>
  <c r="AC713" i="1"/>
  <c r="AD713" i="1" s="1"/>
  <c r="AC712" i="1"/>
  <c r="AD712" i="1" s="1"/>
  <c r="AC711" i="1"/>
  <c r="AD711" i="1" s="1"/>
  <c r="AC710" i="1"/>
  <c r="AD710" i="1" s="1"/>
  <c r="AC709" i="1"/>
  <c r="AD709" i="1" s="1"/>
  <c r="AC708" i="1"/>
  <c r="AD708" i="1" s="1"/>
  <c r="AC707" i="1"/>
  <c r="AD707" i="1" s="1"/>
  <c r="AC706" i="1"/>
  <c r="AD706" i="1" s="1"/>
  <c r="AC705" i="1"/>
  <c r="AD705" i="1" s="1"/>
  <c r="AC704" i="1"/>
  <c r="AD704" i="1" s="1"/>
  <c r="AC703" i="1"/>
  <c r="AD703" i="1" s="1"/>
  <c r="AC702" i="1"/>
  <c r="AD702" i="1" s="1"/>
  <c r="AC701" i="1"/>
  <c r="AD701" i="1" s="1"/>
  <c r="AC700" i="1"/>
  <c r="AD700" i="1" s="1"/>
  <c r="AC699" i="1"/>
  <c r="AD699" i="1" s="1"/>
  <c r="AC698" i="1"/>
  <c r="AD698" i="1" s="1"/>
  <c r="AC697" i="1"/>
  <c r="AD697" i="1" s="1"/>
  <c r="AC696" i="1"/>
  <c r="AD696" i="1" s="1"/>
  <c r="AC695" i="1"/>
  <c r="AD695" i="1" s="1"/>
  <c r="AC694" i="1"/>
  <c r="AD694" i="1" s="1"/>
  <c r="AC693" i="1"/>
  <c r="AD693" i="1" s="1"/>
  <c r="AC692" i="1"/>
  <c r="AD692" i="1" s="1"/>
  <c r="AC691" i="1"/>
  <c r="AD691" i="1" s="1"/>
  <c r="AC690" i="1"/>
  <c r="AD690" i="1" s="1"/>
  <c r="AC689" i="1"/>
  <c r="AD689" i="1" s="1"/>
  <c r="AC688" i="1"/>
  <c r="AD688" i="1" s="1"/>
  <c r="AC687" i="1"/>
  <c r="AD687" i="1" s="1"/>
  <c r="AC686" i="1"/>
  <c r="AD686" i="1" s="1"/>
  <c r="AC685" i="1"/>
  <c r="AD685" i="1" s="1"/>
  <c r="AC684" i="1"/>
  <c r="AD684" i="1" s="1"/>
  <c r="AC683" i="1"/>
  <c r="AD683" i="1" s="1"/>
  <c r="AC682" i="1"/>
  <c r="AD682" i="1" s="1"/>
  <c r="AC681" i="1"/>
  <c r="AD681" i="1" s="1"/>
  <c r="AC680" i="1"/>
  <c r="AD680" i="1" s="1"/>
  <c r="AC679" i="1"/>
  <c r="AD679" i="1" s="1"/>
  <c r="AC678" i="1"/>
  <c r="AD678" i="1" s="1"/>
  <c r="AC677" i="1"/>
  <c r="AD677" i="1" s="1"/>
  <c r="AC676" i="1"/>
  <c r="AD676" i="1" s="1"/>
  <c r="AC675" i="1"/>
  <c r="AD675" i="1" s="1"/>
  <c r="AC674" i="1"/>
  <c r="AD674" i="1" s="1"/>
  <c r="AC673" i="1"/>
  <c r="AD673" i="1" s="1"/>
  <c r="AC672" i="1"/>
  <c r="AD672" i="1" s="1"/>
  <c r="AC671" i="1"/>
  <c r="AD671" i="1" s="1"/>
  <c r="AC667" i="1"/>
  <c r="AD667" i="1" s="1"/>
  <c r="AC666" i="1"/>
  <c r="AD666" i="1" s="1"/>
  <c r="AC665" i="1"/>
  <c r="AD665" i="1" s="1"/>
  <c r="AC664" i="1"/>
  <c r="AD664" i="1" s="1"/>
  <c r="AC663" i="1"/>
  <c r="AD663" i="1" s="1"/>
  <c r="AC662" i="1"/>
  <c r="AD662" i="1" s="1"/>
  <c r="AC661" i="1"/>
  <c r="AD661" i="1" s="1"/>
  <c r="AC660" i="1"/>
  <c r="AD660" i="1" s="1"/>
  <c r="AC659" i="1"/>
  <c r="AD659" i="1" s="1"/>
  <c r="AC658" i="1"/>
  <c r="AD658" i="1" s="1"/>
  <c r="AC656" i="1"/>
  <c r="AD656" i="1" s="1"/>
  <c r="AC655" i="1"/>
  <c r="AD655" i="1" s="1"/>
  <c r="AC654" i="1"/>
  <c r="AD654" i="1" s="1"/>
  <c r="AC653" i="1"/>
  <c r="AD653" i="1" s="1"/>
  <c r="AC652" i="1"/>
  <c r="AD652" i="1" s="1"/>
  <c r="AC651" i="1"/>
  <c r="AD651" i="1" s="1"/>
  <c r="AC650" i="1"/>
  <c r="AD650" i="1" s="1"/>
  <c r="AC649" i="1"/>
  <c r="AD649" i="1" s="1"/>
  <c r="AC648" i="1"/>
  <c r="AD648" i="1" s="1"/>
  <c r="AC647" i="1"/>
  <c r="AD647" i="1" s="1"/>
  <c r="AC646" i="1"/>
  <c r="AD646" i="1" s="1"/>
  <c r="AC645" i="1"/>
  <c r="AD645" i="1" s="1"/>
  <c r="AC644" i="1"/>
  <c r="AD644" i="1" s="1"/>
  <c r="AC643" i="1"/>
  <c r="AD643" i="1" s="1"/>
  <c r="AC642" i="1"/>
  <c r="AD642" i="1" s="1"/>
  <c r="AC641" i="1"/>
  <c r="AD641" i="1" s="1"/>
  <c r="AC640" i="1"/>
  <c r="AD640" i="1" s="1"/>
  <c r="AC639" i="1"/>
  <c r="AD639" i="1" s="1"/>
  <c r="AC638" i="1"/>
  <c r="AD638" i="1" s="1"/>
  <c r="AC637" i="1"/>
  <c r="AD637" i="1" s="1"/>
  <c r="AC636" i="1"/>
  <c r="AD636" i="1" s="1"/>
  <c r="AC635" i="1"/>
  <c r="AD635" i="1" s="1"/>
  <c r="AC634" i="1"/>
  <c r="AD634" i="1" s="1"/>
  <c r="AC633" i="1"/>
  <c r="AD633" i="1" s="1"/>
  <c r="AC632" i="1"/>
  <c r="AD632" i="1" s="1"/>
  <c r="AC631" i="1"/>
  <c r="AD631" i="1" s="1"/>
  <c r="AC630" i="1"/>
  <c r="AD630" i="1" s="1"/>
  <c r="AC629" i="1"/>
  <c r="AD629" i="1" s="1"/>
  <c r="AC628" i="1"/>
  <c r="AD628" i="1" s="1"/>
  <c r="AC627" i="1"/>
  <c r="AD627" i="1" s="1"/>
  <c r="AC626" i="1"/>
  <c r="AD626" i="1" s="1"/>
  <c r="AC625" i="1"/>
  <c r="AD625" i="1" s="1"/>
  <c r="AC624" i="1"/>
  <c r="AD624" i="1" s="1"/>
  <c r="AC623" i="1"/>
  <c r="AD623" i="1" s="1"/>
  <c r="AC622" i="1"/>
  <c r="AD622" i="1" s="1"/>
  <c r="AC621" i="1"/>
  <c r="AD621" i="1" s="1"/>
  <c r="AC619" i="1"/>
  <c r="AD619" i="1" s="1"/>
  <c r="AC617" i="1"/>
  <c r="AD617" i="1" s="1"/>
  <c r="AC616" i="1"/>
  <c r="AD616" i="1" s="1"/>
  <c r="AC615" i="1"/>
  <c r="AD615" i="1" s="1"/>
  <c r="AC614" i="1"/>
  <c r="AD614" i="1" s="1"/>
  <c r="AC613" i="1"/>
  <c r="AD613" i="1" s="1"/>
  <c r="AC612" i="1"/>
  <c r="AD612" i="1" s="1"/>
  <c r="AC611" i="1"/>
  <c r="AD611" i="1" s="1"/>
  <c r="AC610" i="1"/>
  <c r="AD610" i="1" s="1"/>
  <c r="AC609" i="1"/>
  <c r="AD609" i="1" s="1"/>
  <c r="AC608" i="1"/>
  <c r="AD608" i="1" s="1"/>
  <c r="AC607" i="1"/>
  <c r="AD607" i="1" s="1"/>
  <c r="AC606" i="1"/>
  <c r="AD606" i="1" s="1"/>
  <c r="AC605" i="1"/>
  <c r="AD605" i="1" s="1"/>
  <c r="AC603" i="1"/>
  <c r="AD603" i="1" s="1"/>
  <c r="AC602" i="1"/>
  <c r="AD602" i="1" s="1"/>
  <c r="AC601" i="1"/>
  <c r="AD601" i="1" s="1"/>
  <c r="AC600" i="1"/>
  <c r="AD600" i="1" s="1"/>
  <c r="AC599" i="1"/>
  <c r="AD599" i="1" s="1"/>
  <c r="AC598" i="1"/>
  <c r="AD598" i="1" s="1"/>
  <c r="AC597" i="1"/>
  <c r="AD597" i="1" s="1"/>
  <c r="AC596" i="1"/>
  <c r="AD596" i="1" s="1"/>
  <c r="AC595" i="1"/>
  <c r="AD595" i="1" s="1"/>
  <c r="AC591" i="1"/>
  <c r="AD591" i="1" s="1"/>
  <c r="AC590" i="1"/>
  <c r="AD590" i="1" s="1"/>
  <c r="AC589" i="1"/>
  <c r="AD589" i="1" s="1"/>
  <c r="AC588" i="1"/>
  <c r="AD588" i="1" s="1"/>
  <c r="AC587" i="1"/>
  <c r="AD587" i="1" s="1"/>
  <c r="AC586" i="1"/>
  <c r="AD586" i="1" s="1"/>
  <c r="AC585" i="1"/>
  <c r="AD585" i="1" s="1"/>
  <c r="AC584" i="1"/>
  <c r="AD584" i="1" s="1"/>
  <c r="AC583" i="1"/>
  <c r="AD583" i="1" s="1"/>
  <c r="AC582" i="1"/>
  <c r="AD582" i="1" s="1"/>
  <c r="AC581" i="1"/>
  <c r="AD581" i="1" s="1"/>
  <c r="AC580" i="1"/>
  <c r="AD580" i="1" s="1"/>
  <c r="AD577" i="1"/>
  <c r="AC576" i="1"/>
  <c r="AD576" i="1" s="1"/>
  <c r="AC575" i="1"/>
  <c r="AD575" i="1" s="1"/>
  <c r="AC574" i="1"/>
  <c r="AD574" i="1" s="1"/>
  <c r="AC573" i="1"/>
  <c r="AD573" i="1" s="1"/>
  <c r="AC572" i="1"/>
  <c r="AD572" i="1" s="1"/>
  <c r="AC571" i="1"/>
  <c r="AD571" i="1" s="1"/>
  <c r="AC570" i="1"/>
  <c r="AD570" i="1" s="1"/>
  <c r="AC569" i="1"/>
  <c r="AD569" i="1" s="1"/>
  <c r="AC568" i="1"/>
  <c r="AD568" i="1" s="1"/>
  <c r="AC567" i="1"/>
  <c r="AD567" i="1" s="1"/>
  <c r="AC566" i="1"/>
  <c r="AD566" i="1" s="1"/>
  <c r="AC565" i="1"/>
  <c r="AD565" i="1" s="1"/>
  <c r="AC564" i="1"/>
  <c r="AD564" i="1" s="1"/>
  <c r="AC563" i="1"/>
  <c r="AD563" i="1" s="1"/>
  <c r="AC562" i="1"/>
  <c r="AD562" i="1" s="1"/>
  <c r="AC561" i="1"/>
  <c r="AD561" i="1" s="1"/>
  <c r="AC560" i="1"/>
  <c r="AD560" i="1" s="1"/>
  <c r="AC559" i="1"/>
  <c r="AD559" i="1" s="1"/>
  <c r="AC558" i="1"/>
  <c r="AD558" i="1" s="1"/>
  <c r="AC557" i="1"/>
  <c r="AD557" i="1" s="1"/>
  <c r="AC556" i="1"/>
  <c r="AD556" i="1" s="1"/>
  <c r="AC555" i="1"/>
  <c r="AD555" i="1" s="1"/>
  <c r="AC554" i="1"/>
  <c r="AD554" i="1" s="1"/>
  <c r="AC553" i="1"/>
  <c r="AD553" i="1" s="1"/>
  <c r="AC552" i="1"/>
  <c r="AD552" i="1" s="1"/>
  <c r="AC551" i="1"/>
  <c r="AD551" i="1" s="1"/>
  <c r="AC550" i="1"/>
  <c r="AD550" i="1" s="1"/>
  <c r="AC549" i="1"/>
  <c r="AD549" i="1" s="1"/>
  <c r="AC548" i="1"/>
  <c r="AD548" i="1" s="1"/>
  <c r="AC547" i="1"/>
  <c r="AD547" i="1" s="1"/>
  <c r="AC546" i="1"/>
  <c r="AD546" i="1" s="1"/>
  <c r="AC545" i="1"/>
  <c r="AD545" i="1" s="1"/>
  <c r="AC544" i="1"/>
  <c r="AD544" i="1" s="1"/>
  <c r="AC543" i="1"/>
  <c r="AD543" i="1" s="1"/>
  <c r="AC542" i="1"/>
  <c r="AD542" i="1" s="1"/>
  <c r="AC541" i="1"/>
  <c r="AD541" i="1" s="1"/>
  <c r="AC540" i="1"/>
  <c r="AD540" i="1" s="1"/>
  <c r="AC539" i="1"/>
  <c r="AD539" i="1" s="1"/>
  <c r="AC538" i="1"/>
  <c r="AD538" i="1" s="1"/>
  <c r="AC537" i="1"/>
  <c r="AD537" i="1" s="1"/>
  <c r="AC536" i="1"/>
  <c r="AD536" i="1" s="1"/>
  <c r="AC535" i="1"/>
  <c r="AD535" i="1" s="1"/>
  <c r="AC530" i="1"/>
  <c r="AD530" i="1" s="1"/>
  <c r="AC527" i="1"/>
  <c r="AD527" i="1" s="1"/>
  <c r="AC526" i="1"/>
  <c r="AD526" i="1" s="1"/>
  <c r="AC525" i="1"/>
  <c r="AD525" i="1" s="1"/>
  <c r="AC524" i="1"/>
  <c r="AD524" i="1" s="1"/>
  <c r="AC523" i="1"/>
  <c r="AD523" i="1" s="1"/>
  <c r="AC522" i="1"/>
  <c r="AD522" i="1" s="1"/>
  <c r="AC521" i="1"/>
  <c r="AD521" i="1" s="1"/>
  <c r="AC520" i="1"/>
  <c r="AD520" i="1" s="1"/>
  <c r="AC519" i="1"/>
  <c r="AD519" i="1" s="1"/>
  <c r="AC518" i="1"/>
  <c r="AD518" i="1" s="1"/>
  <c r="AC517" i="1"/>
  <c r="AD517" i="1" s="1"/>
  <c r="AC516" i="1"/>
  <c r="AD516" i="1" s="1"/>
  <c r="AC515" i="1"/>
  <c r="AD515" i="1" s="1"/>
  <c r="AC514" i="1"/>
  <c r="AD514" i="1" s="1"/>
  <c r="AC513" i="1"/>
  <c r="AD513" i="1" s="1"/>
  <c r="AC512" i="1"/>
  <c r="AD512" i="1" s="1"/>
  <c r="AC511" i="1"/>
  <c r="AD511" i="1" s="1"/>
  <c r="AC510" i="1"/>
  <c r="AD510" i="1" s="1"/>
  <c r="AC509" i="1"/>
  <c r="AD509" i="1" s="1"/>
  <c r="AC507" i="1"/>
  <c r="AD507" i="1" s="1"/>
  <c r="AC506" i="1"/>
  <c r="AD506" i="1" s="1"/>
  <c r="AC505" i="1"/>
  <c r="AD505" i="1" s="1"/>
  <c r="AC504" i="1"/>
  <c r="AD504" i="1" s="1"/>
  <c r="AC503" i="1"/>
  <c r="AD503" i="1" s="1"/>
  <c r="AC502" i="1"/>
  <c r="AD502" i="1" s="1"/>
  <c r="AC501" i="1"/>
  <c r="AD501" i="1" s="1"/>
  <c r="AC500" i="1"/>
  <c r="AD500" i="1" s="1"/>
  <c r="AC499" i="1"/>
  <c r="AD499" i="1" s="1"/>
  <c r="AC498" i="1"/>
  <c r="AD498" i="1" s="1"/>
  <c r="AC497" i="1"/>
  <c r="AD497" i="1" s="1"/>
  <c r="AC496" i="1"/>
  <c r="AD496" i="1" s="1"/>
  <c r="AC495" i="1"/>
  <c r="AD495" i="1" s="1"/>
  <c r="AC494" i="1"/>
  <c r="AD494" i="1" s="1"/>
  <c r="AC493" i="1"/>
  <c r="AD493" i="1" s="1"/>
  <c r="AC492" i="1"/>
  <c r="AD492" i="1" s="1"/>
  <c r="AC491" i="1"/>
  <c r="AD491" i="1" s="1"/>
  <c r="AC490" i="1"/>
  <c r="AD490" i="1" s="1"/>
  <c r="AC489" i="1"/>
  <c r="AD489" i="1" s="1"/>
  <c r="AC488" i="1"/>
  <c r="AD488" i="1" s="1"/>
  <c r="AC487" i="1"/>
  <c r="AD487" i="1" s="1"/>
  <c r="AC486" i="1"/>
  <c r="AD486" i="1" s="1"/>
  <c r="AC485" i="1"/>
  <c r="AD485" i="1" s="1"/>
  <c r="AC484" i="1"/>
  <c r="AD484" i="1" s="1"/>
  <c r="AC483" i="1"/>
  <c r="AD483" i="1" s="1"/>
  <c r="AC482" i="1"/>
  <c r="AD482" i="1" s="1"/>
  <c r="AC481" i="1"/>
  <c r="AD481" i="1" s="1"/>
  <c r="AC480" i="1"/>
  <c r="AD480" i="1" s="1"/>
  <c r="AC479" i="1"/>
  <c r="AD479" i="1" s="1"/>
  <c r="AC478" i="1"/>
  <c r="AD478" i="1" s="1"/>
  <c r="AC477" i="1"/>
  <c r="AD477" i="1" s="1"/>
  <c r="AC476" i="1"/>
  <c r="AD476" i="1" s="1"/>
  <c r="AC475" i="1"/>
  <c r="AD475" i="1" s="1"/>
  <c r="AC474" i="1"/>
  <c r="AD474" i="1" s="1"/>
  <c r="AC473" i="1"/>
  <c r="AD473" i="1" s="1"/>
  <c r="AC472" i="1"/>
  <c r="AD472" i="1" s="1"/>
  <c r="AC471" i="1"/>
  <c r="AD471" i="1" s="1"/>
  <c r="AC470" i="1"/>
  <c r="AD470" i="1" s="1"/>
  <c r="AC469" i="1"/>
  <c r="AD469" i="1" s="1"/>
  <c r="AC468" i="1"/>
  <c r="AD468" i="1" s="1"/>
  <c r="AC467" i="1"/>
  <c r="AD467" i="1" s="1"/>
  <c r="AC466" i="1"/>
  <c r="AD466" i="1" s="1"/>
  <c r="AC465" i="1"/>
  <c r="AD465" i="1" s="1"/>
  <c r="AC464" i="1"/>
  <c r="AD464" i="1" s="1"/>
  <c r="AC463" i="1"/>
  <c r="AD463" i="1" s="1"/>
  <c r="AC462" i="1"/>
  <c r="AD462" i="1" s="1"/>
  <c r="AC461" i="1"/>
  <c r="AD461" i="1" s="1"/>
  <c r="AC460" i="1"/>
  <c r="AD460" i="1" s="1"/>
  <c r="AC459" i="1"/>
  <c r="AD459" i="1" s="1"/>
  <c r="AC458" i="1"/>
  <c r="AD458" i="1" s="1"/>
  <c r="AC457" i="1"/>
  <c r="AD457" i="1" s="1"/>
  <c r="AC456" i="1"/>
  <c r="AD456" i="1" s="1"/>
  <c r="AC455" i="1"/>
  <c r="AD455" i="1" s="1"/>
  <c r="AC454" i="1"/>
  <c r="AD454" i="1" s="1"/>
  <c r="AC453" i="1"/>
  <c r="AD453" i="1" s="1"/>
  <c r="AC452" i="1"/>
  <c r="AD452" i="1" s="1"/>
  <c r="AC451" i="1"/>
  <c r="AD451" i="1" s="1"/>
  <c r="AC450" i="1"/>
  <c r="AD450" i="1" s="1"/>
  <c r="AC449" i="1"/>
  <c r="AD449" i="1" s="1"/>
  <c r="AC448" i="1"/>
  <c r="AD448" i="1" s="1"/>
  <c r="AC447" i="1"/>
  <c r="AD447" i="1" s="1"/>
  <c r="AC446" i="1"/>
  <c r="AD446" i="1" s="1"/>
  <c r="AC445" i="1"/>
  <c r="AD445" i="1" s="1"/>
  <c r="AC444" i="1"/>
  <c r="AD444" i="1" s="1"/>
  <c r="AC443" i="1"/>
  <c r="AD443" i="1" s="1"/>
  <c r="AC442" i="1"/>
  <c r="AD442" i="1" s="1"/>
  <c r="AC441" i="1"/>
  <c r="AD441" i="1" s="1"/>
  <c r="AC440" i="1"/>
  <c r="AD440" i="1" s="1"/>
  <c r="AC439" i="1"/>
  <c r="AD439" i="1" s="1"/>
  <c r="AC438" i="1"/>
  <c r="AD438" i="1" s="1"/>
  <c r="AC437" i="1"/>
  <c r="AD437" i="1" s="1"/>
  <c r="AC436" i="1"/>
  <c r="AD436" i="1" s="1"/>
  <c r="AC435" i="1"/>
  <c r="AD435" i="1" s="1"/>
  <c r="AC434" i="1"/>
  <c r="AD434" i="1" s="1"/>
  <c r="AC433" i="1"/>
  <c r="AD433" i="1" s="1"/>
  <c r="AC432" i="1"/>
  <c r="AD432" i="1" s="1"/>
  <c r="AC431" i="1"/>
  <c r="AD431" i="1" s="1"/>
  <c r="AC430" i="1"/>
  <c r="AD430" i="1" s="1"/>
  <c r="AC429" i="1"/>
  <c r="AD429" i="1" s="1"/>
  <c r="AC428" i="1"/>
  <c r="AD428" i="1" s="1"/>
  <c r="AC427" i="1"/>
  <c r="AD427" i="1" s="1"/>
  <c r="AC426" i="1"/>
  <c r="AD426" i="1" s="1"/>
  <c r="AC425" i="1"/>
  <c r="AD425" i="1" s="1"/>
  <c r="AC424" i="1"/>
  <c r="AD424" i="1" s="1"/>
  <c r="AC423" i="1"/>
  <c r="AD423" i="1" s="1"/>
  <c r="AC422" i="1"/>
  <c r="AD422" i="1" s="1"/>
  <c r="AC421" i="1"/>
  <c r="AD421" i="1" s="1"/>
  <c r="AC420" i="1"/>
  <c r="AD420" i="1" s="1"/>
  <c r="AC419" i="1"/>
  <c r="AD419" i="1" s="1"/>
  <c r="AC418" i="1"/>
  <c r="AD418" i="1" s="1"/>
  <c r="AC417" i="1"/>
  <c r="AD417" i="1" s="1"/>
  <c r="AC416" i="1"/>
  <c r="AD416" i="1" s="1"/>
  <c r="AC415" i="1"/>
  <c r="AD415" i="1" s="1"/>
  <c r="AC414" i="1"/>
  <c r="AD414" i="1" s="1"/>
  <c r="AC413" i="1"/>
  <c r="AD413" i="1" s="1"/>
  <c r="AC412" i="1"/>
  <c r="AD412" i="1" s="1"/>
  <c r="AC411" i="1"/>
  <c r="AD411" i="1" s="1"/>
  <c r="AC410" i="1"/>
  <c r="AD410" i="1" s="1"/>
  <c r="AC409" i="1"/>
  <c r="AD409" i="1" s="1"/>
  <c r="AC408" i="1"/>
  <c r="AD408" i="1" s="1"/>
  <c r="AC407" i="1"/>
  <c r="AD407" i="1" s="1"/>
  <c r="AC406" i="1"/>
  <c r="AD406" i="1" s="1"/>
  <c r="AC405" i="1"/>
  <c r="AD405" i="1" s="1"/>
  <c r="AC404" i="1"/>
  <c r="AD404" i="1" s="1"/>
  <c r="AC403" i="1"/>
  <c r="AD403" i="1" s="1"/>
  <c r="AC402" i="1"/>
  <c r="AD402" i="1" s="1"/>
  <c r="AC401" i="1"/>
  <c r="AD401" i="1" s="1"/>
  <c r="AC400" i="1"/>
  <c r="AD400" i="1" s="1"/>
  <c r="AC399" i="1"/>
  <c r="AD399" i="1" s="1"/>
  <c r="AC398" i="1"/>
  <c r="AD398" i="1" s="1"/>
  <c r="AC397" i="1"/>
  <c r="AD397" i="1" s="1"/>
  <c r="AC396" i="1"/>
  <c r="AD396" i="1" s="1"/>
  <c r="AC395" i="1"/>
  <c r="AD395" i="1" s="1"/>
  <c r="AC394" i="1"/>
  <c r="AD394" i="1" s="1"/>
  <c r="AC393" i="1"/>
  <c r="AD393" i="1" s="1"/>
  <c r="AC392" i="1"/>
  <c r="AD392" i="1" s="1"/>
  <c r="AC391" i="1"/>
  <c r="AD391" i="1" s="1"/>
  <c r="AC390" i="1"/>
  <c r="AD390" i="1" s="1"/>
  <c r="AC389" i="1"/>
  <c r="AD389" i="1" s="1"/>
  <c r="AC388" i="1"/>
  <c r="AD388" i="1" s="1"/>
  <c r="AC387" i="1"/>
  <c r="AD387" i="1" s="1"/>
  <c r="AC386" i="1"/>
  <c r="AD386" i="1" s="1"/>
  <c r="AC385" i="1"/>
  <c r="AD385" i="1" s="1"/>
  <c r="AC384" i="1"/>
  <c r="AD384" i="1" s="1"/>
  <c r="AC383" i="1"/>
  <c r="AD383" i="1" s="1"/>
  <c r="AC382" i="1"/>
  <c r="AD382" i="1" s="1"/>
  <c r="AC381" i="1"/>
  <c r="AD381" i="1" s="1"/>
  <c r="AC380" i="1"/>
  <c r="AD380" i="1" s="1"/>
  <c r="AC379" i="1"/>
  <c r="AD379" i="1" s="1"/>
  <c r="AC378" i="1"/>
  <c r="AD378" i="1" s="1"/>
  <c r="AC377" i="1"/>
  <c r="AD377" i="1" s="1"/>
  <c r="AC376" i="1"/>
  <c r="AD376" i="1" s="1"/>
  <c r="AC375" i="1"/>
  <c r="AD375" i="1" s="1"/>
  <c r="AC374" i="1"/>
  <c r="AD374" i="1" s="1"/>
  <c r="AC373" i="1"/>
  <c r="AD373" i="1" s="1"/>
  <c r="AC372" i="1"/>
  <c r="AD372" i="1" s="1"/>
  <c r="AC371" i="1"/>
  <c r="AD371" i="1" s="1"/>
  <c r="AC370" i="1"/>
  <c r="AD370" i="1" s="1"/>
  <c r="AC369" i="1"/>
  <c r="AD369" i="1" s="1"/>
  <c r="AC368" i="1"/>
  <c r="AD368" i="1" s="1"/>
  <c r="AC367" i="1"/>
  <c r="AD367" i="1" s="1"/>
  <c r="AC366" i="1"/>
  <c r="AD366" i="1" s="1"/>
  <c r="AC365" i="1"/>
  <c r="AD365" i="1" s="1"/>
  <c r="AC364" i="1"/>
  <c r="AD364" i="1" s="1"/>
  <c r="AC363" i="1"/>
  <c r="AD363" i="1" s="1"/>
  <c r="AC362" i="1"/>
  <c r="AD362" i="1" s="1"/>
  <c r="AC361" i="1"/>
  <c r="AD361" i="1" s="1"/>
  <c r="AC360" i="1"/>
  <c r="AD360" i="1" s="1"/>
  <c r="AC359" i="1"/>
  <c r="AD359" i="1" s="1"/>
  <c r="AC358" i="1"/>
  <c r="AD358" i="1" s="1"/>
  <c r="AC357" i="1"/>
  <c r="AD357" i="1" s="1"/>
  <c r="AC356" i="1"/>
  <c r="AD356" i="1" s="1"/>
  <c r="AC355" i="1"/>
  <c r="AD355" i="1" s="1"/>
  <c r="AC354" i="1"/>
  <c r="AD354" i="1" s="1"/>
  <c r="AC353" i="1"/>
  <c r="AD353" i="1" s="1"/>
  <c r="AC352" i="1"/>
  <c r="AD352" i="1" s="1"/>
  <c r="AC351" i="1"/>
  <c r="AD351" i="1" s="1"/>
  <c r="AC350" i="1"/>
  <c r="AD350" i="1" s="1"/>
  <c r="AC349" i="1"/>
  <c r="AD349" i="1" s="1"/>
  <c r="AC348" i="1"/>
  <c r="AD348" i="1" s="1"/>
  <c r="AC347" i="1"/>
  <c r="AD347" i="1" s="1"/>
  <c r="AC346" i="1"/>
  <c r="AD346" i="1" s="1"/>
  <c r="AC345" i="1"/>
  <c r="AD345" i="1" s="1"/>
  <c r="AC344" i="1"/>
  <c r="AD344" i="1" s="1"/>
  <c r="AC343" i="1"/>
  <c r="AD343" i="1" s="1"/>
  <c r="AC342" i="1"/>
  <c r="AD342" i="1" s="1"/>
  <c r="AC341" i="1"/>
  <c r="AD341" i="1" s="1"/>
  <c r="AC340" i="1"/>
  <c r="AD340" i="1" s="1"/>
  <c r="AC339" i="1"/>
  <c r="AD339" i="1" s="1"/>
  <c r="AC338" i="1"/>
  <c r="AD338" i="1" s="1"/>
  <c r="AC337" i="1"/>
  <c r="AD337" i="1" s="1"/>
  <c r="AC336" i="1"/>
  <c r="AD336" i="1" s="1"/>
  <c r="AC335" i="1"/>
  <c r="AD335" i="1" s="1"/>
  <c r="AC334" i="1"/>
  <c r="AD334" i="1" s="1"/>
  <c r="AC333" i="1"/>
  <c r="AD333" i="1" s="1"/>
  <c r="AC332" i="1"/>
  <c r="AD332" i="1" s="1"/>
  <c r="AC331" i="1"/>
  <c r="AD331" i="1" s="1"/>
  <c r="AC330" i="1"/>
  <c r="AD330" i="1" s="1"/>
  <c r="AC329" i="1"/>
  <c r="AD329" i="1" s="1"/>
  <c r="AC328" i="1"/>
  <c r="AD328" i="1" s="1"/>
  <c r="AC327" i="1"/>
  <c r="AD327" i="1" s="1"/>
  <c r="AC326" i="1"/>
  <c r="AD326" i="1" s="1"/>
  <c r="AC325" i="1"/>
  <c r="AD325" i="1" s="1"/>
  <c r="AC324" i="1"/>
  <c r="AD324" i="1" s="1"/>
  <c r="AC323" i="1"/>
  <c r="AD323" i="1" s="1"/>
  <c r="AC322" i="1"/>
  <c r="AD322" i="1" s="1"/>
  <c r="AC321" i="1"/>
  <c r="AD321" i="1" s="1"/>
  <c r="AC320" i="1"/>
  <c r="AD320" i="1" s="1"/>
  <c r="AC319" i="1"/>
  <c r="AD319" i="1" s="1"/>
  <c r="AC318" i="1"/>
  <c r="AD318" i="1" s="1"/>
  <c r="AC317" i="1"/>
  <c r="AD317" i="1" s="1"/>
  <c r="AC316" i="1"/>
  <c r="AD316" i="1" s="1"/>
  <c r="AC315" i="1"/>
  <c r="AD315" i="1" s="1"/>
  <c r="AC314" i="1"/>
  <c r="AD314" i="1" s="1"/>
  <c r="AC313" i="1"/>
  <c r="AD313" i="1" s="1"/>
  <c r="AC312" i="1"/>
  <c r="AD312" i="1" s="1"/>
  <c r="AC311" i="1"/>
  <c r="AD311" i="1" s="1"/>
  <c r="AC310" i="1"/>
  <c r="AD310" i="1" s="1"/>
  <c r="AC309" i="1"/>
  <c r="AD309" i="1" s="1"/>
  <c r="AC308" i="1"/>
  <c r="AD308" i="1" s="1"/>
  <c r="AC307" i="1"/>
  <c r="AD307" i="1" s="1"/>
  <c r="AC306" i="1"/>
  <c r="AD306" i="1" s="1"/>
  <c r="AC305" i="1"/>
  <c r="AD305" i="1" s="1"/>
  <c r="AC304" i="1"/>
  <c r="AD304" i="1" s="1"/>
  <c r="AC303" i="1"/>
  <c r="AD303" i="1" s="1"/>
  <c r="AC302" i="1"/>
  <c r="AD302" i="1" s="1"/>
  <c r="AC301" i="1"/>
  <c r="AD301" i="1" s="1"/>
  <c r="AC300" i="1"/>
  <c r="AD300" i="1" s="1"/>
  <c r="AC299" i="1"/>
  <c r="AD299" i="1" s="1"/>
  <c r="AC298" i="1"/>
  <c r="AD298" i="1" s="1"/>
  <c r="AC297" i="1"/>
  <c r="AD297" i="1" s="1"/>
  <c r="AC296" i="1"/>
  <c r="AD296" i="1" s="1"/>
  <c r="AC295" i="1"/>
  <c r="AD295" i="1" s="1"/>
  <c r="AC294" i="1"/>
  <c r="AD294" i="1" s="1"/>
  <c r="AC293" i="1"/>
  <c r="AD293" i="1" s="1"/>
  <c r="AC292" i="1"/>
  <c r="AD292" i="1" s="1"/>
  <c r="AC291" i="1"/>
  <c r="AD291" i="1" s="1"/>
  <c r="AC290" i="1"/>
  <c r="AD290" i="1" s="1"/>
  <c r="AC289" i="1"/>
  <c r="AD289" i="1" s="1"/>
  <c r="AC288" i="1"/>
  <c r="AD288" i="1" s="1"/>
  <c r="AC287" i="1"/>
  <c r="AD287" i="1" s="1"/>
  <c r="AC286" i="1"/>
  <c r="AD286" i="1" s="1"/>
  <c r="AC285" i="1"/>
  <c r="AD285" i="1" s="1"/>
  <c r="AC284" i="1"/>
  <c r="AD284" i="1" s="1"/>
  <c r="AC283" i="1"/>
  <c r="AD283" i="1" s="1"/>
  <c r="AC282" i="1"/>
  <c r="AD282" i="1" s="1"/>
  <c r="AC281" i="1"/>
  <c r="AD281" i="1" s="1"/>
  <c r="AC280" i="1"/>
  <c r="AD280" i="1" s="1"/>
  <c r="AC279" i="1"/>
  <c r="AD279" i="1" s="1"/>
  <c r="AC278" i="1"/>
  <c r="AD278" i="1" s="1"/>
  <c r="AC277" i="1"/>
  <c r="AD277" i="1" s="1"/>
  <c r="AC276" i="1"/>
  <c r="AD276" i="1" s="1"/>
  <c r="AC275" i="1"/>
  <c r="AD275" i="1" s="1"/>
  <c r="AC274" i="1"/>
  <c r="AD274" i="1" s="1"/>
  <c r="AC273" i="1"/>
  <c r="AD273" i="1" s="1"/>
  <c r="AC272" i="1"/>
  <c r="AD272" i="1" s="1"/>
  <c r="AC271" i="1"/>
  <c r="AD271" i="1" s="1"/>
  <c r="AC270" i="1"/>
  <c r="AD270" i="1" s="1"/>
  <c r="AC269" i="1"/>
  <c r="AD269" i="1" s="1"/>
  <c r="AC268" i="1"/>
  <c r="AD268" i="1" s="1"/>
  <c r="AC267" i="1"/>
  <c r="AD267" i="1" s="1"/>
  <c r="AC266" i="1"/>
  <c r="AD266" i="1" s="1"/>
  <c r="AC265" i="1"/>
  <c r="AD265" i="1" s="1"/>
  <c r="AC264" i="1"/>
  <c r="AD264" i="1" s="1"/>
  <c r="AC263" i="1"/>
  <c r="AD263" i="1" s="1"/>
  <c r="AC262" i="1"/>
  <c r="AD262" i="1" s="1"/>
  <c r="AC261" i="1"/>
  <c r="AD261" i="1" s="1"/>
  <c r="AC260" i="1"/>
  <c r="AD260" i="1" s="1"/>
  <c r="AC259" i="1"/>
  <c r="AD259" i="1" s="1"/>
  <c r="AC258" i="1"/>
  <c r="AD258" i="1" s="1"/>
  <c r="AC257" i="1"/>
  <c r="AD257" i="1" s="1"/>
  <c r="AC256" i="1"/>
  <c r="AD256" i="1" s="1"/>
  <c r="AC255" i="1"/>
  <c r="AD255" i="1" s="1"/>
  <c r="AC254" i="1"/>
  <c r="AD254" i="1" s="1"/>
  <c r="AC253" i="1"/>
  <c r="AD253" i="1" s="1"/>
  <c r="AC252" i="1"/>
  <c r="AD252" i="1" s="1"/>
  <c r="AC251" i="1"/>
  <c r="AD251" i="1" s="1"/>
  <c r="AC250" i="1"/>
  <c r="AD250" i="1" s="1"/>
  <c r="AC249" i="1"/>
  <c r="AD249" i="1" s="1"/>
  <c r="AC248" i="1"/>
  <c r="AD248" i="1" s="1"/>
  <c r="AC247" i="1"/>
  <c r="AD247" i="1" s="1"/>
  <c r="AC246" i="1"/>
  <c r="AD246" i="1" s="1"/>
  <c r="AC245" i="1"/>
  <c r="AD245" i="1" s="1"/>
  <c r="AC244" i="1"/>
  <c r="AD244" i="1" s="1"/>
  <c r="AC243" i="1"/>
  <c r="AD243" i="1" s="1"/>
  <c r="AC242" i="1"/>
  <c r="AD242" i="1" s="1"/>
  <c r="AC241" i="1"/>
  <c r="AD241" i="1" s="1"/>
  <c r="AC240" i="1"/>
  <c r="AD240" i="1" s="1"/>
  <c r="AC239" i="1"/>
  <c r="AD239" i="1" s="1"/>
  <c r="AC238" i="1"/>
  <c r="AD238" i="1" s="1"/>
  <c r="AC237" i="1"/>
  <c r="AD237" i="1" s="1"/>
  <c r="AC236" i="1"/>
  <c r="AD236" i="1" s="1"/>
  <c r="AC235" i="1"/>
  <c r="AD235" i="1" s="1"/>
  <c r="AC234" i="1"/>
  <c r="AD234" i="1" s="1"/>
  <c r="AC233" i="1"/>
  <c r="AD233" i="1" s="1"/>
  <c r="AC232" i="1"/>
  <c r="AD232" i="1" s="1"/>
  <c r="AC231" i="1"/>
  <c r="AD231" i="1" s="1"/>
  <c r="AC230" i="1"/>
  <c r="AD230" i="1" s="1"/>
  <c r="AC229" i="1"/>
  <c r="AD229" i="1" s="1"/>
  <c r="AC228" i="1"/>
  <c r="AD228" i="1" s="1"/>
  <c r="AC227" i="1"/>
  <c r="AD227" i="1" s="1"/>
  <c r="AC226" i="1"/>
  <c r="AD226" i="1" s="1"/>
  <c r="AC225" i="1"/>
  <c r="AD225" i="1" s="1"/>
  <c r="AC224" i="1"/>
  <c r="AD224" i="1" s="1"/>
  <c r="AC223" i="1"/>
  <c r="AD223" i="1" s="1"/>
  <c r="AC222" i="1"/>
  <c r="AD222" i="1" s="1"/>
  <c r="AC221" i="1"/>
  <c r="AD221" i="1" s="1"/>
  <c r="AC220" i="1"/>
  <c r="AD220" i="1" s="1"/>
  <c r="AC219" i="1"/>
  <c r="AD219" i="1" s="1"/>
  <c r="AC218" i="1"/>
  <c r="AD218" i="1" s="1"/>
  <c r="AC217" i="1"/>
  <c r="AD217" i="1" s="1"/>
  <c r="AC216" i="1"/>
  <c r="AD216" i="1" s="1"/>
  <c r="AC215" i="1"/>
  <c r="AD215" i="1" s="1"/>
  <c r="AC214" i="1"/>
  <c r="AD214" i="1" s="1"/>
  <c r="AC213" i="1"/>
  <c r="AD213" i="1" s="1"/>
  <c r="AC212" i="1"/>
  <c r="AD212" i="1" s="1"/>
  <c r="AC211" i="1"/>
  <c r="AD211" i="1" s="1"/>
  <c r="AC210" i="1"/>
  <c r="AD210" i="1" s="1"/>
  <c r="AC209" i="1"/>
  <c r="AD209" i="1" s="1"/>
  <c r="AC208" i="1"/>
  <c r="AD208" i="1" s="1"/>
  <c r="AC207" i="1"/>
  <c r="AD207" i="1" s="1"/>
  <c r="AC206" i="1"/>
  <c r="AD206" i="1" s="1"/>
  <c r="AC205" i="1"/>
  <c r="AD205" i="1" s="1"/>
  <c r="AC204" i="1"/>
  <c r="AD204" i="1" s="1"/>
  <c r="AC203" i="1"/>
  <c r="AD203" i="1" s="1"/>
  <c r="AC202" i="1"/>
  <c r="AD202" i="1" s="1"/>
  <c r="AC201" i="1"/>
  <c r="AD201" i="1" s="1"/>
  <c r="AC200" i="1"/>
  <c r="AD200" i="1" s="1"/>
  <c r="AC199" i="1"/>
  <c r="AD199" i="1" s="1"/>
  <c r="AC198" i="1"/>
  <c r="AD198" i="1" s="1"/>
  <c r="AC197" i="1"/>
  <c r="AD197" i="1" s="1"/>
  <c r="AC196" i="1"/>
  <c r="AD196" i="1" s="1"/>
  <c r="AC195" i="1"/>
  <c r="AD195" i="1" s="1"/>
  <c r="AC194" i="1"/>
  <c r="AD194" i="1" s="1"/>
  <c r="AC193" i="1"/>
  <c r="AD193" i="1" s="1"/>
  <c r="AC192" i="1"/>
  <c r="AD192" i="1" s="1"/>
  <c r="AC191" i="1"/>
  <c r="AD191" i="1" s="1"/>
  <c r="AC190" i="1"/>
  <c r="AD190" i="1" s="1"/>
  <c r="AC189" i="1"/>
  <c r="AD189" i="1" s="1"/>
  <c r="AC188" i="1"/>
  <c r="AD188" i="1" s="1"/>
  <c r="AC187" i="1"/>
  <c r="AD187" i="1" s="1"/>
  <c r="AC186" i="1"/>
  <c r="AD186" i="1" s="1"/>
  <c r="AC185" i="1"/>
  <c r="AD185" i="1" s="1"/>
  <c r="AC184" i="1"/>
  <c r="AD184" i="1" s="1"/>
  <c r="AC183" i="1"/>
  <c r="AD183" i="1" s="1"/>
  <c r="AC182" i="1"/>
  <c r="AD182" i="1" s="1"/>
  <c r="AC181" i="1"/>
  <c r="AD181" i="1" s="1"/>
  <c r="AC180" i="1"/>
  <c r="AD180" i="1" s="1"/>
  <c r="AC179" i="1"/>
  <c r="AD179" i="1" s="1"/>
  <c r="AC178" i="1"/>
  <c r="AD178" i="1" s="1"/>
  <c r="AC177" i="1"/>
  <c r="AD177" i="1" s="1"/>
  <c r="AC176" i="1"/>
  <c r="AD176" i="1" s="1"/>
  <c r="AC175" i="1"/>
  <c r="AD175" i="1" s="1"/>
  <c r="AC174" i="1"/>
  <c r="AD174" i="1" s="1"/>
  <c r="AC173" i="1"/>
  <c r="AD173" i="1" s="1"/>
  <c r="AC172" i="1"/>
  <c r="AD172" i="1" s="1"/>
  <c r="AC171" i="1"/>
  <c r="AD171" i="1" s="1"/>
  <c r="AC170" i="1"/>
  <c r="AD170" i="1" s="1"/>
  <c r="AC169" i="1"/>
  <c r="AD169" i="1" s="1"/>
  <c r="AC168" i="1"/>
  <c r="AD168" i="1" s="1"/>
  <c r="AC167" i="1"/>
  <c r="AD167" i="1" s="1"/>
  <c r="AC166" i="1"/>
  <c r="AD166" i="1" s="1"/>
  <c r="AC165" i="1"/>
  <c r="AD165" i="1" s="1"/>
  <c r="AC164" i="1"/>
  <c r="AD164" i="1" s="1"/>
  <c r="AC163" i="1"/>
  <c r="AD163" i="1" s="1"/>
  <c r="AC161" i="1"/>
  <c r="AD161" i="1" s="1"/>
  <c r="AC160" i="1"/>
  <c r="AD160" i="1" s="1"/>
  <c r="AC159" i="1"/>
  <c r="AD159" i="1" s="1"/>
  <c r="AC158" i="1"/>
  <c r="AD158" i="1" s="1"/>
  <c r="AC157" i="1"/>
  <c r="AD157" i="1" s="1"/>
  <c r="AC156" i="1"/>
  <c r="AD156" i="1" s="1"/>
  <c r="AC155" i="1"/>
  <c r="AD155" i="1" s="1"/>
  <c r="AC154" i="1"/>
  <c r="AD154" i="1" s="1"/>
  <c r="AC153" i="1"/>
  <c r="AD153" i="1" s="1"/>
  <c r="AC152" i="1"/>
  <c r="AD152" i="1" s="1"/>
  <c r="AC151" i="1"/>
  <c r="AD151" i="1" s="1"/>
  <c r="AC150" i="1"/>
  <c r="AD150" i="1" s="1"/>
  <c r="AC149" i="1"/>
  <c r="AD149" i="1" s="1"/>
  <c r="AC148" i="1"/>
  <c r="AD148" i="1" s="1"/>
  <c r="AC147" i="1"/>
  <c r="AD147" i="1" s="1"/>
  <c r="AC146" i="1"/>
  <c r="AD146" i="1" s="1"/>
  <c r="AC145" i="1"/>
  <c r="AD145" i="1" s="1"/>
  <c r="AC144" i="1"/>
  <c r="AD144" i="1" s="1"/>
  <c r="AC143" i="1"/>
  <c r="AD143" i="1" s="1"/>
  <c r="AC142" i="1"/>
  <c r="AD142" i="1" s="1"/>
  <c r="AC141" i="1"/>
  <c r="AD141" i="1" s="1"/>
  <c r="AC140" i="1"/>
  <c r="AD140" i="1" s="1"/>
  <c r="AC139" i="1"/>
  <c r="AD139" i="1" s="1"/>
  <c r="AC138" i="1"/>
  <c r="AD138" i="1" s="1"/>
  <c r="AC137" i="1"/>
  <c r="AD137" i="1" s="1"/>
  <c r="AC136" i="1"/>
  <c r="AD136" i="1" s="1"/>
  <c r="AC135" i="1"/>
  <c r="AD135" i="1" s="1"/>
  <c r="AC134" i="1"/>
  <c r="AD134" i="1" s="1"/>
  <c r="AC133" i="1"/>
  <c r="AD133" i="1" s="1"/>
  <c r="AC132" i="1"/>
  <c r="AD132" i="1" s="1"/>
  <c r="AC131" i="1"/>
  <c r="AD131" i="1" s="1"/>
  <c r="AC130" i="1"/>
  <c r="AD130" i="1" s="1"/>
  <c r="AC129" i="1"/>
  <c r="AD129" i="1" s="1"/>
  <c r="AC128" i="1"/>
  <c r="AD128" i="1" s="1"/>
  <c r="AC127" i="1"/>
  <c r="AD127" i="1" s="1"/>
  <c r="AC126" i="1"/>
  <c r="AD126" i="1" s="1"/>
  <c r="AC125" i="1"/>
  <c r="AD125" i="1" s="1"/>
  <c r="AC124" i="1"/>
  <c r="AD124" i="1" s="1"/>
  <c r="AC123" i="1"/>
  <c r="AD123" i="1" s="1"/>
  <c r="AC122" i="1"/>
  <c r="AD122" i="1" s="1"/>
  <c r="AC121" i="1"/>
  <c r="AD121" i="1" s="1"/>
  <c r="AC120" i="1"/>
  <c r="AD120" i="1" s="1"/>
  <c r="AC119" i="1"/>
  <c r="AD119" i="1" s="1"/>
  <c r="AC118" i="1"/>
  <c r="AD118" i="1" s="1"/>
  <c r="AC117" i="1"/>
  <c r="AD117" i="1" s="1"/>
  <c r="AC116" i="1"/>
  <c r="AD116" i="1" s="1"/>
  <c r="AC115" i="1"/>
  <c r="AD115" i="1" s="1"/>
  <c r="AC114" i="1"/>
  <c r="AD114" i="1" s="1"/>
  <c r="AC113" i="1"/>
  <c r="AD113" i="1" s="1"/>
  <c r="AC112" i="1"/>
  <c r="AD112" i="1" s="1"/>
  <c r="AC111" i="1"/>
  <c r="AD111" i="1" s="1"/>
  <c r="AC110" i="1"/>
  <c r="AD110" i="1" s="1"/>
  <c r="AC109" i="1"/>
  <c r="AD109" i="1" s="1"/>
  <c r="AC108" i="1"/>
  <c r="AD108" i="1" s="1"/>
  <c r="AC107" i="1"/>
  <c r="AD107" i="1" s="1"/>
  <c r="AC106" i="1"/>
  <c r="AD106" i="1" s="1"/>
  <c r="AC105" i="1"/>
  <c r="AD105" i="1" s="1"/>
  <c r="AC104" i="1"/>
  <c r="AD104" i="1" s="1"/>
  <c r="AC103" i="1"/>
  <c r="AD103" i="1" s="1"/>
  <c r="AC102" i="1"/>
  <c r="AD102" i="1" s="1"/>
  <c r="AC101" i="1"/>
  <c r="AD101" i="1" s="1"/>
  <c r="AC100" i="1"/>
  <c r="AD100" i="1" s="1"/>
  <c r="AC99" i="1"/>
  <c r="AD99" i="1" s="1"/>
  <c r="AC98" i="1"/>
  <c r="AD98" i="1" s="1"/>
  <c r="AC97" i="1"/>
  <c r="AD97" i="1" s="1"/>
  <c r="AC96" i="1"/>
  <c r="AD96" i="1" s="1"/>
  <c r="AC95" i="1"/>
  <c r="AD95" i="1" s="1"/>
  <c r="AC94" i="1"/>
  <c r="AD94" i="1" s="1"/>
  <c r="AC93" i="1"/>
  <c r="AD93" i="1" s="1"/>
  <c r="AC92" i="1"/>
  <c r="AD92" i="1" s="1"/>
  <c r="AC91" i="1"/>
  <c r="AD91" i="1" s="1"/>
  <c r="AC90" i="1"/>
  <c r="AD90" i="1" s="1"/>
  <c r="AC89" i="1"/>
  <c r="AD89" i="1" s="1"/>
  <c r="AC88" i="1"/>
  <c r="AD88" i="1" s="1"/>
  <c r="AC87" i="1"/>
  <c r="AD87" i="1" s="1"/>
  <c r="AC86" i="1"/>
  <c r="AD86" i="1" s="1"/>
  <c r="AC85" i="1"/>
  <c r="AD85" i="1" s="1"/>
  <c r="AC84" i="1"/>
  <c r="AD84" i="1" s="1"/>
  <c r="AC83" i="1"/>
  <c r="AD83" i="1" s="1"/>
  <c r="AC82" i="1"/>
  <c r="AD82" i="1" s="1"/>
  <c r="AC81" i="1"/>
  <c r="AD81" i="1" s="1"/>
  <c r="AC80" i="1"/>
  <c r="AD80" i="1" s="1"/>
  <c r="AC79" i="1"/>
  <c r="AD79" i="1" s="1"/>
  <c r="AC78" i="1"/>
  <c r="AD78" i="1" s="1"/>
  <c r="AC77" i="1"/>
  <c r="AD77" i="1" s="1"/>
  <c r="AC76" i="1"/>
  <c r="AD76" i="1" s="1"/>
  <c r="AC75" i="1"/>
  <c r="AD75" i="1" s="1"/>
  <c r="AC74" i="1"/>
  <c r="AD74" i="1" s="1"/>
  <c r="AC73" i="1"/>
  <c r="AD73" i="1" s="1"/>
  <c r="AC72" i="1"/>
  <c r="AD72" i="1" s="1"/>
  <c r="AC71" i="1"/>
  <c r="AD71" i="1" s="1"/>
  <c r="AC70" i="1"/>
  <c r="AD70" i="1" s="1"/>
  <c r="AC69" i="1"/>
  <c r="AD69" i="1" s="1"/>
  <c r="AC68" i="1"/>
  <c r="AD68" i="1" s="1"/>
  <c r="AC67" i="1"/>
  <c r="AD67" i="1" s="1"/>
  <c r="AC66" i="1"/>
  <c r="AD66" i="1" s="1"/>
  <c r="AC65" i="1"/>
  <c r="AD65" i="1" s="1"/>
  <c r="AC64" i="1"/>
  <c r="AD64" i="1" s="1"/>
  <c r="AC63" i="1"/>
  <c r="AD63" i="1" s="1"/>
  <c r="AC62" i="1"/>
  <c r="AD62" i="1" s="1"/>
  <c r="AC61" i="1"/>
  <c r="AD61" i="1" s="1"/>
  <c r="AC60" i="1"/>
  <c r="AD60" i="1" s="1"/>
  <c r="AC59" i="1"/>
  <c r="AD59" i="1" s="1"/>
  <c r="AC58" i="1"/>
  <c r="AD58" i="1" s="1"/>
  <c r="AC57" i="1"/>
  <c r="AD57" i="1" s="1"/>
  <c r="AC56" i="1"/>
  <c r="AD56" i="1" s="1"/>
  <c r="AC55" i="1"/>
  <c r="AD55" i="1" s="1"/>
  <c r="AC54" i="1"/>
  <c r="AD54" i="1" s="1"/>
  <c r="AC53" i="1"/>
  <c r="AD53" i="1" s="1"/>
  <c r="AC52" i="1"/>
  <c r="AD52" i="1" s="1"/>
  <c r="AC51" i="1"/>
  <c r="AD51" i="1" s="1"/>
  <c r="AC50" i="1"/>
  <c r="AD50" i="1" s="1"/>
  <c r="AC49" i="1"/>
  <c r="AD49" i="1" s="1"/>
  <c r="AC48" i="1"/>
  <c r="AD48" i="1" s="1"/>
  <c r="AC47" i="1"/>
  <c r="AD47" i="1" s="1"/>
  <c r="AC46" i="1"/>
  <c r="AD46" i="1" s="1"/>
  <c r="AC45" i="1"/>
  <c r="AD45" i="1" s="1"/>
  <c r="AC44" i="1"/>
  <c r="AD44" i="1" s="1"/>
  <c r="AC43" i="1"/>
  <c r="AD43" i="1" s="1"/>
  <c r="AC42" i="1"/>
  <c r="AD42" i="1" s="1"/>
  <c r="AC41" i="1"/>
  <c r="AD41" i="1" s="1"/>
  <c r="AC40" i="1"/>
  <c r="AD40" i="1" s="1"/>
  <c r="AC39" i="1"/>
  <c r="AD39" i="1" s="1"/>
  <c r="AC38" i="1"/>
  <c r="AD38" i="1" s="1"/>
  <c r="AC37" i="1"/>
  <c r="AD37" i="1" s="1"/>
  <c r="AC36" i="1"/>
  <c r="AD36" i="1" s="1"/>
  <c r="AC35" i="1"/>
  <c r="AD35" i="1" s="1"/>
  <c r="AC34" i="1"/>
  <c r="AD34" i="1" s="1"/>
  <c r="AC33" i="1"/>
  <c r="AD33" i="1" s="1"/>
  <c r="AC32" i="1"/>
  <c r="AD32" i="1" s="1"/>
  <c r="AC31" i="1"/>
  <c r="AD31" i="1" s="1"/>
  <c r="AC30" i="1"/>
  <c r="AD30" i="1" s="1"/>
  <c r="AC29" i="1"/>
  <c r="AD29" i="1" s="1"/>
  <c r="AC28" i="1"/>
  <c r="AD28" i="1" s="1"/>
  <c r="AC27" i="1"/>
  <c r="AD27" i="1" s="1"/>
  <c r="AC26" i="1"/>
  <c r="AD26" i="1" s="1"/>
  <c r="AC25" i="1"/>
  <c r="AD25" i="1" s="1"/>
  <c r="AC24" i="1"/>
  <c r="AD24" i="1" s="1"/>
  <c r="AC23" i="1"/>
  <c r="AD23" i="1" s="1"/>
  <c r="AC22" i="1"/>
  <c r="AD22" i="1" s="1"/>
  <c r="AC21" i="1"/>
  <c r="AD21" i="1" s="1"/>
  <c r="AC20" i="1"/>
  <c r="AD20" i="1" s="1"/>
  <c r="AC19" i="1"/>
  <c r="AD19" i="1" s="1"/>
  <c r="AC18" i="1"/>
  <c r="AD18" i="1" s="1"/>
  <c r="AC17" i="1"/>
  <c r="AD17" i="1" s="1"/>
  <c r="AC16" i="1"/>
  <c r="AD16" i="1" s="1"/>
  <c r="AC15" i="1"/>
  <c r="AD15" i="1" s="1"/>
  <c r="AC14" i="1"/>
  <c r="AD14" i="1" s="1"/>
  <c r="AC13" i="1"/>
  <c r="AD13" i="1" s="1"/>
  <c r="AC12" i="1"/>
  <c r="AD12" i="1" s="1"/>
  <c r="AC11" i="1"/>
  <c r="AD11" i="1" s="1"/>
  <c r="AC10" i="1"/>
  <c r="AD10" i="1" s="1"/>
  <c r="AC9" i="1"/>
  <c r="AD9" i="1" s="1"/>
  <c r="AC8" i="1"/>
  <c r="AD8" i="1" s="1"/>
  <c r="AC7" i="1"/>
  <c r="AD7" i="1" s="1"/>
  <c r="AC6" i="1"/>
  <c r="AD6" i="1" s="1"/>
  <c r="AC5" i="1"/>
  <c r="AD5" i="1" s="1"/>
  <c r="AC4" i="1"/>
  <c r="AD4" i="1" s="1"/>
  <c r="AC3" i="1"/>
  <c r="AD3" i="1" s="1"/>
  <c r="AC2" i="1"/>
  <c r="AD2" i="1" s="1"/>
  <c r="C28" i="24" l="1"/>
  <c r="C18" i="24"/>
  <c r="C17" i="24"/>
  <c r="C14" i="24"/>
  <c r="C13" i="24"/>
  <c r="C12" i="24"/>
  <c r="C11" i="24"/>
  <c r="C10" i="24"/>
  <c r="C9" i="24"/>
  <c r="C8" i="24"/>
  <c r="C7" i="24"/>
  <c r="C113" i="24"/>
  <c r="B113" i="24"/>
  <c r="C112" i="24"/>
  <c r="B112" i="24"/>
  <c r="C111" i="24"/>
  <c r="B111" i="24"/>
  <c r="C110" i="24"/>
  <c r="B110" i="24"/>
  <c r="C109" i="24"/>
  <c r="B109" i="24"/>
  <c r="C108" i="24"/>
  <c r="B108" i="24"/>
  <c r="C107" i="24"/>
  <c r="B107" i="24"/>
  <c r="C106" i="24"/>
  <c r="B106" i="24"/>
  <c r="C105" i="24"/>
  <c r="B105" i="24"/>
  <c r="C104" i="24"/>
  <c r="B104" i="24"/>
  <c r="C103" i="24"/>
  <c r="B103" i="24"/>
  <c r="C102" i="24"/>
  <c r="B102" i="24"/>
  <c r="C95" i="24"/>
  <c r="B95" i="24"/>
  <c r="C94" i="24"/>
  <c r="B94" i="24"/>
  <c r="C93" i="24"/>
  <c r="B93" i="24"/>
  <c r="C92" i="24"/>
  <c r="B92" i="24"/>
  <c r="C91" i="24"/>
  <c r="B91" i="24"/>
  <c r="C90" i="24"/>
  <c r="B90" i="24"/>
  <c r="C89" i="24"/>
  <c r="B89" i="24"/>
  <c r="C88" i="24"/>
  <c r="B88" i="24"/>
  <c r="C87" i="24"/>
  <c r="B87" i="24"/>
  <c r="C86" i="24"/>
  <c r="B86" i="24"/>
  <c r="C85" i="24"/>
  <c r="B85" i="24"/>
  <c r="C84" i="24"/>
  <c r="B84" i="24"/>
  <c r="G77" i="24"/>
  <c r="F77" i="24"/>
  <c r="E77" i="24"/>
  <c r="D77" i="24"/>
  <c r="C77" i="24"/>
  <c r="G76" i="24"/>
  <c r="F76" i="24"/>
  <c r="E76" i="24"/>
  <c r="D76" i="24"/>
  <c r="C76" i="24"/>
  <c r="G75" i="24"/>
  <c r="F75" i="24"/>
  <c r="E75" i="24"/>
  <c r="D75" i="24"/>
  <c r="C75" i="24"/>
  <c r="G74" i="24"/>
  <c r="F74" i="24"/>
  <c r="E74" i="24"/>
  <c r="D74" i="24"/>
  <c r="C74" i="24"/>
  <c r="G73" i="24"/>
  <c r="F73" i="24"/>
  <c r="E73" i="24"/>
  <c r="D73" i="24"/>
  <c r="C73" i="24"/>
  <c r="G72" i="24"/>
  <c r="F72" i="24"/>
  <c r="E72" i="24"/>
  <c r="D72" i="24"/>
  <c r="C72" i="24"/>
  <c r="G71" i="24"/>
  <c r="F71" i="24"/>
  <c r="E71" i="24"/>
  <c r="D71" i="24"/>
  <c r="C71" i="24"/>
  <c r="G70" i="24"/>
  <c r="F70" i="24"/>
  <c r="E70" i="24"/>
  <c r="D70" i="24"/>
  <c r="C70" i="24"/>
  <c r="G69" i="24"/>
  <c r="F69" i="24"/>
  <c r="E69" i="24"/>
  <c r="D69" i="24"/>
  <c r="C69" i="24"/>
  <c r="G68" i="24"/>
  <c r="F68" i="24"/>
  <c r="E68" i="24"/>
  <c r="D68" i="24"/>
  <c r="C68" i="24"/>
  <c r="G67" i="24"/>
  <c r="F67" i="24"/>
  <c r="E67" i="24"/>
  <c r="D67" i="24"/>
  <c r="C67" i="24"/>
  <c r="G66" i="24"/>
  <c r="F66" i="24"/>
  <c r="E66" i="24"/>
  <c r="D66" i="24"/>
  <c r="C66" i="24"/>
  <c r="B59" i="24"/>
  <c r="C59" i="24" s="1"/>
  <c r="B58" i="24"/>
  <c r="C58" i="24" s="1"/>
  <c r="B57" i="24"/>
  <c r="C57" i="24" s="1"/>
  <c r="B56" i="24"/>
  <c r="C56" i="24" s="1"/>
  <c r="B55" i="24"/>
  <c r="C55" i="24" s="1"/>
  <c r="B54" i="24"/>
  <c r="C54" i="24" s="1"/>
  <c r="B53" i="24"/>
  <c r="C53" i="24" s="1"/>
  <c r="B52" i="24"/>
  <c r="C52" i="24" s="1"/>
  <c r="B51" i="24"/>
  <c r="C51" i="24" s="1"/>
  <c r="B50" i="24"/>
  <c r="C50" i="24" s="1"/>
  <c r="B49" i="24"/>
  <c r="C49" i="24" s="1"/>
  <c r="B48" i="24"/>
  <c r="G30" i="24"/>
  <c r="F30" i="24"/>
  <c r="E30" i="24"/>
  <c r="D30" i="24"/>
  <c r="B30" i="24"/>
  <c r="G29" i="24"/>
  <c r="F29" i="24"/>
  <c r="E29" i="24"/>
  <c r="D29" i="24"/>
  <c r="B29" i="24"/>
  <c r="G28" i="24"/>
  <c r="F28" i="24"/>
  <c r="E28" i="24"/>
  <c r="D28" i="24"/>
  <c r="B28" i="24"/>
  <c r="G27" i="24"/>
  <c r="F27" i="24"/>
  <c r="E27" i="24"/>
  <c r="D27" i="24"/>
  <c r="B27" i="24"/>
  <c r="G26" i="24"/>
  <c r="F26" i="24"/>
  <c r="E26" i="24"/>
  <c r="D26" i="24"/>
  <c r="B26" i="24"/>
  <c r="G25" i="24"/>
  <c r="F25" i="24"/>
  <c r="E25" i="24"/>
  <c r="D25" i="24"/>
  <c r="B25" i="24"/>
  <c r="H18" i="24"/>
  <c r="G18" i="24"/>
  <c r="F18" i="24"/>
  <c r="E18" i="24"/>
  <c r="D18" i="24"/>
  <c r="B18" i="24"/>
  <c r="I18" i="24" s="1"/>
  <c r="H17" i="24"/>
  <c r="G17" i="24"/>
  <c r="F17" i="24"/>
  <c r="E17" i="24"/>
  <c r="D17" i="24"/>
  <c r="B17" i="24"/>
  <c r="I17" i="24" s="1"/>
  <c r="H16" i="24"/>
  <c r="G16" i="24"/>
  <c r="F16" i="24"/>
  <c r="E16" i="24"/>
  <c r="D16" i="24"/>
  <c r="B16" i="24"/>
  <c r="I16" i="24" s="1"/>
  <c r="H15" i="24"/>
  <c r="G15" i="24"/>
  <c r="F15" i="24"/>
  <c r="E15" i="24"/>
  <c r="D15" i="24"/>
  <c r="B15" i="24"/>
  <c r="I15" i="24" s="1"/>
  <c r="H14" i="24"/>
  <c r="G14" i="24"/>
  <c r="F14" i="24"/>
  <c r="E14" i="24"/>
  <c r="D14" i="24"/>
  <c r="B14" i="24"/>
  <c r="I14" i="24" s="1"/>
  <c r="H13" i="24"/>
  <c r="G13" i="24"/>
  <c r="F13" i="24"/>
  <c r="E13" i="24"/>
  <c r="D13" i="24"/>
  <c r="B13" i="24"/>
  <c r="I13" i="24" s="1"/>
  <c r="H12" i="24"/>
  <c r="G12" i="24"/>
  <c r="F12" i="24"/>
  <c r="E12" i="24"/>
  <c r="D12" i="24"/>
  <c r="B12" i="24"/>
  <c r="I12" i="24" s="1"/>
  <c r="H11" i="24"/>
  <c r="G11" i="24"/>
  <c r="F11" i="24"/>
  <c r="E11" i="24"/>
  <c r="D11" i="24"/>
  <c r="B11" i="24"/>
  <c r="I11" i="24" s="1"/>
  <c r="H10" i="24"/>
  <c r="G10" i="24"/>
  <c r="F10" i="24"/>
  <c r="E10" i="24"/>
  <c r="D10" i="24"/>
  <c r="B10" i="24"/>
  <c r="I10" i="24" s="1"/>
  <c r="H9" i="24"/>
  <c r="G9" i="24"/>
  <c r="F9" i="24"/>
  <c r="E9" i="24"/>
  <c r="D9" i="24"/>
  <c r="B9" i="24"/>
  <c r="I9" i="24" s="1"/>
  <c r="H8" i="24"/>
  <c r="G8" i="24"/>
  <c r="F8" i="24"/>
  <c r="E8" i="24"/>
  <c r="D8" i="24"/>
  <c r="B8" i="24"/>
  <c r="I8" i="24" s="1"/>
  <c r="H7" i="24"/>
  <c r="G7" i="24"/>
  <c r="F7" i="24"/>
  <c r="E7" i="24"/>
  <c r="D7" i="24"/>
  <c r="B7" i="24"/>
  <c r="I7" i="24" s="1"/>
  <c r="D88" i="24" l="1"/>
  <c r="D87" i="24"/>
  <c r="D93" i="24"/>
  <c r="B70" i="24"/>
  <c r="B77" i="24"/>
  <c r="D92" i="24"/>
  <c r="B114" i="24"/>
  <c r="B69" i="24"/>
  <c r="B76" i="24"/>
  <c r="D89" i="24"/>
  <c r="C114" i="24"/>
  <c r="B74" i="24"/>
  <c r="D90" i="24"/>
  <c r="B96" i="24"/>
  <c r="D91" i="24"/>
  <c r="F19" i="24"/>
  <c r="B66" i="24"/>
  <c r="B73" i="24"/>
  <c r="D95" i="24"/>
  <c r="B68" i="24"/>
  <c r="B75" i="24"/>
  <c r="D85" i="24"/>
  <c r="C96" i="24"/>
  <c r="D86" i="24"/>
  <c r="D19" i="24"/>
  <c r="B71" i="24"/>
  <c r="E19" i="24"/>
  <c r="G19" i="24"/>
  <c r="H19" i="24"/>
  <c r="D94" i="24"/>
  <c r="B72" i="24"/>
  <c r="D84" i="24"/>
  <c r="B60" i="24"/>
  <c r="B19" i="24"/>
  <c r="C48" i="24"/>
  <c r="C60" i="24" s="1"/>
  <c r="B67" i="24"/>
  <c r="O860" i="1"/>
  <c r="O859" i="1"/>
  <c r="O857" i="1"/>
  <c r="O858" i="1"/>
  <c r="O855" i="1"/>
  <c r="O856" i="1"/>
  <c r="AG854" i="1"/>
  <c r="AF854" i="1"/>
  <c r="AG853" i="1"/>
  <c r="AF853" i="1"/>
  <c r="O852" i="1"/>
  <c r="O853" i="1"/>
  <c r="O854" i="1"/>
  <c r="AG852" i="1"/>
  <c r="AF852" i="1"/>
  <c r="AG851" i="1"/>
  <c r="AF851" i="1"/>
  <c r="O851" i="1"/>
  <c r="O850" i="1"/>
  <c r="AG850" i="1"/>
  <c r="AF850" i="1"/>
  <c r="AG849" i="1"/>
  <c r="AF849" i="1"/>
  <c r="O849" i="1"/>
  <c r="AF848" i="1"/>
  <c r="AG848" i="1"/>
  <c r="AH848" i="1"/>
  <c r="AF847" i="1"/>
  <c r="AG847" i="1"/>
  <c r="AH847" i="1"/>
  <c r="O846" i="1"/>
  <c r="O848" i="1"/>
  <c r="AF846" i="1"/>
  <c r="AG846" i="1"/>
  <c r="AH846" i="1"/>
  <c r="O845" i="1"/>
  <c r="AF845" i="1"/>
  <c r="AG845" i="1"/>
  <c r="AH845" i="1"/>
  <c r="AF844" i="1"/>
  <c r="AG844" i="1"/>
  <c r="AH844" i="1"/>
  <c r="O844" i="1"/>
  <c r="O842" i="1"/>
  <c r="O843" i="1"/>
  <c r="AF843" i="1"/>
  <c r="AG843" i="1"/>
  <c r="AH843" i="1"/>
  <c r="AF842" i="1"/>
  <c r="AG842" i="1"/>
  <c r="AH842" i="1"/>
  <c r="AF841" i="1"/>
  <c r="AG841" i="1"/>
  <c r="AH841" i="1"/>
  <c r="O841" i="1"/>
  <c r="AF839" i="1"/>
  <c r="AG839" i="1"/>
  <c r="AH839" i="1"/>
  <c r="AF840" i="1"/>
  <c r="AG840" i="1"/>
  <c r="AH840" i="1"/>
  <c r="O839" i="1"/>
  <c r="O840" i="1"/>
  <c r="O838" i="1"/>
  <c r="AF837" i="1"/>
  <c r="AG837" i="1"/>
  <c r="AH837" i="1"/>
  <c r="AF838" i="1"/>
  <c r="AG838" i="1"/>
  <c r="AH838" i="1"/>
  <c r="O837" i="1"/>
  <c r="O836" i="1"/>
  <c r="AF836" i="1"/>
  <c r="AG836" i="1"/>
  <c r="AH836" i="1"/>
  <c r="AF833" i="1"/>
  <c r="AG833" i="1"/>
  <c r="AH833" i="1"/>
  <c r="AF834" i="1"/>
  <c r="AG834" i="1"/>
  <c r="AH834" i="1"/>
  <c r="AF835" i="1"/>
  <c r="AG835" i="1"/>
  <c r="AH835" i="1"/>
  <c r="O835" i="1"/>
  <c r="O834" i="1"/>
  <c r="O833" i="1"/>
  <c r="AH832" i="1"/>
  <c r="AG832" i="1"/>
  <c r="AF832" i="1"/>
  <c r="O832" i="1"/>
  <c r="AF831" i="1"/>
  <c r="AG831" i="1"/>
  <c r="AH831" i="1"/>
  <c r="O831" i="1"/>
  <c r="AF829" i="1"/>
  <c r="AG829" i="1"/>
  <c r="AH829" i="1"/>
  <c r="AF830" i="1"/>
  <c r="AG830" i="1"/>
  <c r="AH830" i="1"/>
  <c r="O829" i="1"/>
  <c r="O830" i="1"/>
  <c r="AF828" i="1"/>
  <c r="AG828" i="1"/>
  <c r="AH828" i="1"/>
  <c r="O828" i="1"/>
  <c r="O827" i="1"/>
  <c r="AF827" i="1"/>
  <c r="AG827" i="1"/>
  <c r="AH827" i="1"/>
  <c r="O807" i="1"/>
  <c r="AF826" i="1"/>
  <c r="AG826" i="1"/>
  <c r="AH826" i="1"/>
  <c r="O826" i="1"/>
  <c r="AF825" i="1"/>
  <c r="AG825" i="1"/>
  <c r="AH825" i="1"/>
  <c r="O825" i="1"/>
  <c r="AF823" i="1"/>
  <c r="AG823" i="1"/>
  <c r="AH823" i="1"/>
  <c r="AF824" i="1"/>
  <c r="AG824" i="1"/>
  <c r="AH824" i="1"/>
  <c r="O824" i="1"/>
  <c r="O823" i="1"/>
  <c r="O822" i="1"/>
  <c r="AF822" i="1"/>
  <c r="AG822" i="1"/>
  <c r="AH822" i="1"/>
  <c r="AF821" i="1"/>
  <c r="AG821" i="1"/>
  <c r="AH821" i="1"/>
  <c r="O821" i="1"/>
  <c r="D96" i="24" l="1"/>
  <c r="B36" i="24"/>
  <c r="I19" i="24" s="1"/>
  <c r="B39" i="24"/>
  <c r="B40" i="24"/>
  <c r="B38" i="24"/>
  <c r="B37" i="24"/>
  <c r="AF3" i="1"/>
  <c r="AG3" i="1"/>
  <c r="AH3" i="1"/>
  <c r="AF4" i="1"/>
  <c r="AG4" i="1"/>
  <c r="AH4" i="1"/>
  <c r="AF5" i="1"/>
  <c r="AG5" i="1"/>
  <c r="AH5" i="1"/>
  <c r="AF6" i="1"/>
  <c r="AG6" i="1"/>
  <c r="AH6" i="1"/>
  <c r="AF7" i="1"/>
  <c r="AG7" i="1"/>
  <c r="AH7" i="1"/>
  <c r="AF8" i="1"/>
  <c r="AG8" i="1"/>
  <c r="AH8" i="1"/>
  <c r="AF9" i="1"/>
  <c r="AG9" i="1"/>
  <c r="AH9" i="1"/>
  <c r="AF10" i="1"/>
  <c r="AG10" i="1"/>
  <c r="AH10" i="1"/>
  <c r="AF11" i="1"/>
  <c r="AG11" i="1"/>
  <c r="AH11" i="1"/>
  <c r="AF12" i="1"/>
  <c r="AG12" i="1"/>
  <c r="AH12" i="1"/>
  <c r="AF13" i="1"/>
  <c r="AG13" i="1"/>
  <c r="AH13" i="1"/>
  <c r="AF14" i="1"/>
  <c r="AG14" i="1"/>
  <c r="AH14" i="1"/>
  <c r="AF15" i="1"/>
  <c r="AG15" i="1"/>
  <c r="AH15" i="1"/>
  <c r="AF16" i="1"/>
  <c r="AG16" i="1"/>
  <c r="AH16" i="1"/>
  <c r="AF17" i="1"/>
  <c r="AG17" i="1"/>
  <c r="AH17" i="1"/>
  <c r="AF18" i="1"/>
  <c r="AG18" i="1"/>
  <c r="AH18" i="1"/>
  <c r="AF19" i="1"/>
  <c r="AG19" i="1"/>
  <c r="AH19" i="1"/>
  <c r="AF20" i="1"/>
  <c r="AG20" i="1"/>
  <c r="AH20" i="1"/>
  <c r="AF21" i="1"/>
  <c r="AG21" i="1"/>
  <c r="AH21" i="1"/>
  <c r="AF22" i="1"/>
  <c r="AG22" i="1"/>
  <c r="AH22" i="1"/>
  <c r="AF23" i="1"/>
  <c r="AG23" i="1"/>
  <c r="AH23" i="1"/>
  <c r="AF24" i="1"/>
  <c r="AG24" i="1"/>
  <c r="AH24" i="1"/>
  <c r="AF25" i="1"/>
  <c r="AG25" i="1"/>
  <c r="AH25" i="1"/>
  <c r="AF26" i="1"/>
  <c r="AG26" i="1"/>
  <c r="AH26" i="1"/>
  <c r="AF27" i="1"/>
  <c r="AG27" i="1"/>
  <c r="AH27" i="1"/>
  <c r="AF28" i="1"/>
  <c r="AG28" i="1"/>
  <c r="AH28" i="1"/>
  <c r="AF29" i="1"/>
  <c r="AG29" i="1"/>
  <c r="AH29" i="1"/>
  <c r="AF30" i="1"/>
  <c r="AG30" i="1"/>
  <c r="AH30" i="1"/>
  <c r="AF31" i="1"/>
  <c r="AG31" i="1"/>
  <c r="AH31" i="1"/>
  <c r="AF32" i="1"/>
  <c r="AG32" i="1"/>
  <c r="AH32" i="1"/>
  <c r="AF33" i="1"/>
  <c r="AG33" i="1"/>
  <c r="AH33" i="1"/>
  <c r="AF34" i="1"/>
  <c r="AG34" i="1"/>
  <c r="AH34" i="1"/>
  <c r="AF35" i="1"/>
  <c r="AG35" i="1"/>
  <c r="AH35" i="1"/>
  <c r="AF36" i="1"/>
  <c r="AG36" i="1"/>
  <c r="AH36" i="1"/>
  <c r="AF37" i="1"/>
  <c r="AG37" i="1"/>
  <c r="AH37" i="1"/>
  <c r="AF38" i="1"/>
  <c r="AG38" i="1"/>
  <c r="AH38" i="1"/>
  <c r="AF39" i="1"/>
  <c r="AG39" i="1"/>
  <c r="AH39" i="1"/>
  <c r="AF40" i="1"/>
  <c r="AG40" i="1"/>
  <c r="AH40" i="1"/>
  <c r="AF41" i="1"/>
  <c r="AG41" i="1"/>
  <c r="AH41" i="1"/>
  <c r="AF42" i="1"/>
  <c r="AG42" i="1"/>
  <c r="AH42" i="1"/>
  <c r="AF43" i="1"/>
  <c r="AG43" i="1"/>
  <c r="AH43" i="1"/>
  <c r="AF44" i="1"/>
  <c r="AG44" i="1"/>
  <c r="AH44" i="1"/>
  <c r="AF45" i="1"/>
  <c r="AG45" i="1"/>
  <c r="AH45" i="1"/>
  <c r="AF46" i="1"/>
  <c r="AG46" i="1"/>
  <c r="AH46" i="1"/>
  <c r="AF47" i="1"/>
  <c r="AG47" i="1"/>
  <c r="AH47" i="1"/>
  <c r="AF48" i="1"/>
  <c r="AG48" i="1"/>
  <c r="AH48" i="1"/>
  <c r="AF49" i="1"/>
  <c r="AG49" i="1"/>
  <c r="AH49" i="1"/>
  <c r="AF50" i="1"/>
  <c r="AG50" i="1"/>
  <c r="AH50" i="1"/>
  <c r="AF51" i="1"/>
  <c r="AG51" i="1"/>
  <c r="AH51" i="1"/>
  <c r="AF52" i="1"/>
  <c r="AG52" i="1"/>
  <c r="AH52" i="1"/>
  <c r="AF53" i="1"/>
  <c r="AG53" i="1"/>
  <c r="AH53" i="1"/>
  <c r="AF54" i="1"/>
  <c r="AG54" i="1"/>
  <c r="AH54" i="1"/>
  <c r="AF55" i="1"/>
  <c r="AG55" i="1"/>
  <c r="AH55" i="1"/>
  <c r="AF56" i="1"/>
  <c r="AG56" i="1"/>
  <c r="AH56" i="1"/>
  <c r="AF57" i="1"/>
  <c r="AG57" i="1"/>
  <c r="AH57" i="1"/>
  <c r="AF58" i="1"/>
  <c r="AG58" i="1"/>
  <c r="AH58" i="1"/>
  <c r="AF59" i="1"/>
  <c r="AG59" i="1"/>
  <c r="AH59" i="1"/>
  <c r="AF60" i="1"/>
  <c r="AG60" i="1"/>
  <c r="AH60" i="1"/>
  <c r="AF61" i="1"/>
  <c r="AG61" i="1"/>
  <c r="AH61" i="1"/>
  <c r="AF62" i="1"/>
  <c r="AG62" i="1"/>
  <c r="AH62" i="1"/>
  <c r="AF63" i="1"/>
  <c r="AG63" i="1"/>
  <c r="AH63" i="1"/>
  <c r="AF64" i="1"/>
  <c r="AG64" i="1"/>
  <c r="AH64" i="1"/>
  <c r="AF65" i="1"/>
  <c r="AG65" i="1"/>
  <c r="AH65" i="1"/>
  <c r="AF66" i="1"/>
  <c r="AG66" i="1"/>
  <c r="AH66" i="1"/>
  <c r="AF67" i="1"/>
  <c r="AG67" i="1"/>
  <c r="AH67" i="1"/>
  <c r="AF68" i="1"/>
  <c r="AG68" i="1"/>
  <c r="AH68" i="1"/>
  <c r="AF69" i="1"/>
  <c r="AG69" i="1"/>
  <c r="AH69" i="1"/>
  <c r="AF70" i="1"/>
  <c r="AG70" i="1"/>
  <c r="AH70" i="1"/>
  <c r="AF71" i="1"/>
  <c r="AG71" i="1"/>
  <c r="AH71" i="1"/>
  <c r="AF72" i="1"/>
  <c r="AG72" i="1"/>
  <c r="AH72" i="1"/>
  <c r="AF73" i="1"/>
  <c r="AG73" i="1"/>
  <c r="AH73" i="1"/>
  <c r="AF74" i="1"/>
  <c r="AG74" i="1"/>
  <c r="AH74" i="1"/>
  <c r="AF75" i="1"/>
  <c r="AG75" i="1"/>
  <c r="AH75" i="1"/>
  <c r="AF76" i="1"/>
  <c r="AG76" i="1"/>
  <c r="AH76" i="1"/>
  <c r="AF77" i="1"/>
  <c r="AG77" i="1"/>
  <c r="AH77" i="1"/>
  <c r="AF78" i="1"/>
  <c r="AG78" i="1"/>
  <c r="AH78" i="1"/>
  <c r="AF79" i="1"/>
  <c r="AG79" i="1"/>
  <c r="AH79" i="1"/>
  <c r="AF80" i="1"/>
  <c r="AG80" i="1"/>
  <c r="AH80" i="1"/>
  <c r="AF81" i="1"/>
  <c r="AG81" i="1"/>
  <c r="AH81" i="1"/>
  <c r="AF82" i="1"/>
  <c r="AG82" i="1"/>
  <c r="AH82" i="1"/>
  <c r="AF83" i="1"/>
  <c r="AG83" i="1"/>
  <c r="AH83" i="1"/>
  <c r="AF84" i="1"/>
  <c r="AG84" i="1"/>
  <c r="AH84" i="1"/>
  <c r="AF85" i="1"/>
  <c r="AG85" i="1"/>
  <c r="AH85" i="1"/>
  <c r="AF86" i="1"/>
  <c r="AG86" i="1"/>
  <c r="AH86" i="1"/>
  <c r="AF87" i="1"/>
  <c r="AG87" i="1"/>
  <c r="AH87" i="1"/>
  <c r="AF88" i="1"/>
  <c r="AG88" i="1"/>
  <c r="AH88" i="1"/>
  <c r="AF89" i="1"/>
  <c r="AG89" i="1"/>
  <c r="AH89" i="1"/>
  <c r="AF90" i="1"/>
  <c r="AG90" i="1"/>
  <c r="AH90" i="1"/>
  <c r="AF91" i="1"/>
  <c r="AG91" i="1"/>
  <c r="AH91" i="1"/>
  <c r="AF92" i="1"/>
  <c r="AG92" i="1"/>
  <c r="AH92" i="1"/>
  <c r="AF93" i="1"/>
  <c r="AG93" i="1"/>
  <c r="AH93" i="1"/>
  <c r="AF94" i="1"/>
  <c r="AG94" i="1"/>
  <c r="AH94" i="1"/>
  <c r="AF95" i="1"/>
  <c r="AG95" i="1"/>
  <c r="AH95" i="1"/>
  <c r="AF96" i="1"/>
  <c r="AG96" i="1"/>
  <c r="AH96" i="1"/>
  <c r="AF97" i="1"/>
  <c r="AG97" i="1"/>
  <c r="AH97" i="1"/>
  <c r="AF98" i="1"/>
  <c r="AG98" i="1"/>
  <c r="AH98" i="1"/>
  <c r="AF99" i="1"/>
  <c r="AG99" i="1"/>
  <c r="AH99" i="1"/>
  <c r="AF100" i="1"/>
  <c r="AG100" i="1"/>
  <c r="AH100" i="1"/>
  <c r="AF101" i="1"/>
  <c r="AG101" i="1"/>
  <c r="AH101" i="1"/>
  <c r="AF102" i="1"/>
  <c r="AG102" i="1"/>
  <c r="AH102" i="1"/>
  <c r="AF103" i="1"/>
  <c r="AG103" i="1"/>
  <c r="AH103" i="1"/>
  <c r="AF104" i="1"/>
  <c r="AG104" i="1"/>
  <c r="AH104" i="1"/>
  <c r="AF105" i="1"/>
  <c r="AG105" i="1"/>
  <c r="AH105" i="1"/>
  <c r="AF106" i="1"/>
  <c r="AG106" i="1"/>
  <c r="AH106" i="1"/>
  <c r="AF107" i="1"/>
  <c r="AG107" i="1"/>
  <c r="AH107" i="1"/>
  <c r="AF108" i="1"/>
  <c r="AG108" i="1"/>
  <c r="AH108" i="1"/>
  <c r="AF109" i="1"/>
  <c r="AG109" i="1"/>
  <c r="AH109" i="1"/>
  <c r="AF110" i="1"/>
  <c r="AG110" i="1"/>
  <c r="AH110" i="1"/>
  <c r="AF111" i="1"/>
  <c r="AG111" i="1"/>
  <c r="AH111" i="1"/>
  <c r="AF112" i="1"/>
  <c r="AG112" i="1"/>
  <c r="AH112" i="1"/>
  <c r="AF113" i="1"/>
  <c r="AG113" i="1"/>
  <c r="AH113" i="1"/>
  <c r="AF114" i="1"/>
  <c r="AG114" i="1"/>
  <c r="AH114" i="1"/>
  <c r="AF115" i="1"/>
  <c r="AG115" i="1"/>
  <c r="AH115" i="1"/>
  <c r="AF116" i="1"/>
  <c r="AG116" i="1"/>
  <c r="AH116" i="1"/>
  <c r="AF117" i="1"/>
  <c r="AG117" i="1"/>
  <c r="AH117" i="1"/>
  <c r="AF118" i="1"/>
  <c r="AG118" i="1"/>
  <c r="AH118" i="1"/>
  <c r="AF119" i="1"/>
  <c r="AG119" i="1"/>
  <c r="AH119" i="1"/>
  <c r="AF120" i="1"/>
  <c r="AG120" i="1"/>
  <c r="AH120" i="1"/>
  <c r="AF121" i="1"/>
  <c r="AG121" i="1"/>
  <c r="AH121" i="1"/>
  <c r="AF122" i="1"/>
  <c r="AG122" i="1"/>
  <c r="AH122" i="1"/>
  <c r="AF123" i="1"/>
  <c r="AG123" i="1"/>
  <c r="AH123" i="1"/>
  <c r="AF124" i="1"/>
  <c r="AG124" i="1"/>
  <c r="AH124" i="1"/>
  <c r="AF125" i="1"/>
  <c r="AG125" i="1"/>
  <c r="AH125" i="1"/>
  <c r="AF126" i="1"/>
  <c r="AG126" i="1"/>
  <c r="AH126" i="1"/>
  <c r="AF127" i="1"/>
  <c r="AG127" i="1"/>
  <c r="AH127" i="1"/>
  <c r="AF128" i="1"/>
  <c r="AG128" i="1"/>
  <c r="AH128" i="1"/>
  <c r="AF129" i="1"/>
  <c r="AG129" i="1"/>
  <c r="AH129" i="1"/>
  <c r="AF130" i="1"/>
  <c r="AG130" i="1"/>
  <c r="AH130" i="1"/>
  <c r="AF131" i="1"/>
  <c r="AG131" i="1"/>
  <c r="AH131" i="1"/>
  <c r="AF132" i="1"/>
  <c r="AG132" i="1"/>
  <c r="AH132" i="1"/>
  <c r="AF133" i="1"/>
  <c r="AG133" i="1"/>
  <c r="AH133" i="1"/>
  <c r="AF134" i="1"/>
  <c r="AG134" i="1"/>
  <c r="AH134" i="1"/>
  <c r="AF135" i="1"/>
  <c r="AG135" i="1"/>
  <c r="AH135" i="1"/>
  <c r="AF136" i="1"/>
  <c r="AG136" i="1"/>
  <c r="AH136" i="1"/>
  <c r="AF137" i="1"/>
  <c r="AG137" i="1"/>
  <c r="AH137" i="1"/>
  <c r="AF138" i="1"/>
  <c r="AG138" i="1"/>
  <c r="AH138" i="1"/>
  <c r="AF139" i="1"/>
  <c r="AG139" i="1"/>
  <c r="AH139" i="1"/>
  <c r="AF140" i="1"/>
  <c r="AG140" i="1"/>
  <c r="AH140" i="1"/>
  <c r="AF141" i="1"/>
  <c r="AG141" i="1"/>
  <c r="AH141" i="1"/>
  <c r="AF142" i="1"/>
  <c r="AG142" i="1"/>
  <c r="AH142" i="1"/>
  <c r="AF143" i="1"/>
  <c r="AG143" i="1"/>
  <c r="AH143" i="1"/>
  <c r="AF144" i="1"/>
  <c r="AG144" i="1"/>
  <c r="AH144" i="1"/>
  <c r="AF145" i="1"/>
  <c r="AG145" i="1"/>
  <c r="AH145" i="1"/>
  <c r="AF146" i="1"/>
  <c r="AG146" i="1"/>
  <c r="AH146" i="1"/>
  <c r="AF147" i="1"/>
  <c r="AG147" i="1"/>
  <c r="AH147" i="1"/>
  <c r="AF148" i="1"/>
  <c r="AG148" i="1"/>
  <c r="AH148" i="1"/>
  <c r="AF149" i="1"/>
  <c r="AG149" i="1"/>
  <c r="AH149" i="1"/>
  <c r="AF150" i="1"/>
  <c r="AG150" i="1"/>
  <c r="AH150" i="1"/>
  <c r="AF151" i="1"/>
  <c r="AG151" i="1"/>
  <c r="AH151" i="1"/>
  <c r="AF152" i="1"/>
  <c r="AG152" i="1"/>
  <c r="AH152" i="1"/>
  <c r="AF153" i="1"/>
  <c r="AG153" i="1"/>
  <c r="AH153" i="1"/>
  <c r="AF154" i="1"/>
  <c r="AG154" i="1"/>
  <c r="AH154" i="1"/>
  <c r="AF155" i="1"/>
  <c r="AG155" i="1"/>
  <c r="AH155" i="1"/>
  <c r="AF156" i="1"/>
  <c r="AG156" i="1"/>
  <c r="AH156" i="1"/>
  <c r="AF157" i="1"/>
  <c r="AG157" i="1"/>
  <c r="AH157" i="1"/>
  <c r="AF158" i="1"/>
  <c r="AG158" i="1"/>
  <c r="AH158" i="1"/>
  <c r="AF159" i="1"/>
  <c r="AG159" i="1"/>
  <c r="AH159" i="1"/>
  <c r="AF160" i="1"/>
  <c r="AG160" i="1"/>
  <c r="AH160" i="1"/>
  <c r="AF161" i="1"/>
  <c r="AG161" i="1"/>
  <c r="AH161" i="1"/>
  <c r="AF163" i="1"/>
  <c r="AG163" i="1"/>
  <c r="AH163" i="1"/>
  <c r="AF164" i="1"/>
  <c r="AG164" i="1"/>
  <c r="AH164" i="1"/>
  <c r="AF165" i="1"/>
  <c r="AG165" i="1"/>
  <c r="AH165" i="1"/>
  <c r="AF166" i="1"/>
  <c r="AG166" i="1"/>
  <c r="AH166" i="1"/>
  <c r="AF167" i="1"/>
  <c r="AG167" i="1"/>
  <c r="AH167" i="1"/>
  <c r="AF168" i="1"/>
  <c r="AG168" i="1"/>
  <c r="AH168" i="1"/>
  <c r="AF169" i="1"/>
  <c r="AG169" i="1"/>
  <c r="AH169" i="1"/>
  <c r="AF170" i="1"/>
  <c r="AG170" i="1"/>
  <c r="AH170" i="1"/>
  <c r="AF171" i="1"/>
  <c r="AG171" i="1"/>
  <c r="AH171" i="1"/>
  <c r="AF172" i="1"/>
  <c r="AG172" i="1"/>
  <c r="AH172" i="1"/>
  <c r="AF173" i="1"/>
  <c r="AG173" i="1"/>
  <c r="AH173" i="1"/>
  <c r="AF174" i="1"/>
  <c r="AG174" i="1"/>
  <c r="AH174" i="1"/>
  <c r="AF175" i="1"/>
  <c r="AG175" i="1"/>
  <c r="AH175" i="1"/>
  <c r="AF176" i="1"/>
  <c r="AG176" i="1"/>
  <c r="AH176" i="1"/>
  <c r="AF177" i="1"/>
  <c r="AG177" i="1"/>
  <c r="AH177" i="1"/>
  <c r="AF178" i="1"/>
  <c r="AG178" i="1"/>
  <c r="AH178" i="1"/>
  <c r="AF179" i="1"/>
  <c r="AG179" i="1"/>
  <c r="AH179" i="1"/>
  <c r="AF180" i="1"/>
  <c r="AG180" i="1"/>
  <c r="AH180" i="1"/>
  <c r="AF181" i="1"/>
  <c r="AG181" i="1"/>
  <c r="AH181" i="1"/>
  <c r="AF182" i="1"/>
  <c r="AG182" i="1"/>
  <c r="AH182" i="1"/>
  <c r="AF183" i="1"/>
  <c r="AG183" i="1"/>
  <c r="AH183" i="1"/>
  <c r="AF184" i="1"/>
  <c r="AG184" i="1"/>
  <c r="AH184" i="1"/>
  <c r="AF185" i="1"/>
  <c r="AG185" i="1"/>
  <c r="AH185" i="1"/>
  <c r="AF186" i="1"/>
  <c r="AG186" i="1"/>
  <c r="AH186" i="1"/>
  <c r="AF187" i="1"/>
  <c r="AG187" i="1"/>
  <c r="AH187" i="1"/>
  <c r="AF188" i="1"/>
  <c r="AG188" i="1"/>
  <c r="AH188" i="1"/>
  <c r="AF189" i="1"/>
  <c r="AG189" i="1"/>
  <c r="AH189" i="1"/>
  <c r="AF190" i="1"/>
  <c r="AG190" i="1"/>
  <c r="AH190" i="1"/>
  <c r="AF191" i="1"/>
  <c r="AG191" i="1"/>
  <c r="AH191" i="1"/>
  <c r="AF192" i="1"/>
  <c r="AG192" i="1"/>
  <c r="AH192" i="1"/>
  <c r="AF193" i="1"/>
  <c r="AG193" i="1"/>
  <c r="AH193" i="1"/>
  <c r="AF194" i="1"/>
  <c r="AG194" i="1"/>
  <c r="AH194" i="1"/>
  <c r="AF195" i="1"/>
  <c r="AG195" i="1"/>
  <c r="AH195" i="1"/>
  <c r="AF196" i="1"/>
  <c r="AG196" i="1"/>
  <c r="AH196" i="1"/>
  <c r="AF197" i="1"/>
  <c r="AG197" i="1"/>
  <c r="AH197" i="1"/>
  <c r="AF198" i="1"/>
  <c r="AG198" i="1"/>
  <c r="AH198" i="1"/>
  <c r="AF199" i="1"/>
  <c r="AG199" i="1"/>
  <c r="AH199" i="1"/>
  <c r="AF200" i="1"/>
  <c r="AG200" i="1"/>
  <c r="AH200" i="1"/>
  <c r="AF201" i="1"/>
  <c r="AG201" i="1"/>
  <c r="AH201" i="1"/>
  <c r="AF202" i="1"/>
  <c r="AG202" i="1"/>
  <c r="AH202" i="1"/>
  <c r="AF203" i="1"/>
  <c r="AG203" i="1"/>
  <c r="AH203" i="1"/>
  <c r="AF204" i="1"/>
  <c r="AG204" i="1"/>
  <c r="AH204" i="1"/>
  <c r="AF205" i="1"/>
  <c r="AG205" i="1"/>
  <c r="AH205" i="1"/>
  <c r="AF206" i="1"/>
  <c r="AG206" i="1"/>
  <c r="AH206" i="1"/>
  <c r="AF207" i="1"/>
  <c r="AG207" i="1"/>
  <c r="AH207" i="1"/>
  <c r="AF208" i="1"/>
  <c r="AG208" i="1"/>
  <c r="AH208" i="1"/>
  <c r="AF209" i="1"/>
  <c r="AG209" i="1"/>
  <c r="AH209" i="1"/>
  <c r="AF210" i="1"/>
  <c r="AG210" i="1"/>
  <c r="AH210" i="1"/>
  <c r="AF211" i="1"/>
  <c r="AG211" i="1"/>
  <c r="AH211" i="1"/>
  <c r="AF212" i="1"/>
  <c r="AG212" i="1"/>
  <c r="AH212" i="1"/>
  <c r="AF213" i="1"/>
  <c r="AG213" i="1"/>
  <c r="AH213" i="1"/>
  <c r="AF214" i="1"/>
  <c r="AG214" i="1"/>
  <c r="AH214" i="1"/>
  <c r="AF216" i="1"/>
  <c r="AG216" i="1"/>
  <c r="AH216" i="1"/>
  <c r="AF217" i="1"/>
  <c r="AG217" i="1"/>
  <c r="AH217" i="1"/>
  <c r="AF218" i="1"/>
  <c r="AG218" i="1"/>
  <c r="AH218" i="1"/>
  <c r="AF219" i="1"/>
  <c r="AG219" i="1"/>
  <c r="AH219" i="1"/>
  <c r="AF220" i="1"/>
  <c r="AG220" i="1"/>
  <c r="AH220" i="1"/>
  <c r="AF221" i="1"/>
  <c r="AG221" i="1"/>
  <c r="AH221" i="1"/>
  <c r="AF222" i="1"/>
  <c r="AG222" i="1"/>
  <c r="AH222" i="1"/>
  <c r="AF223" i="1"/>
  <c r="AG223" i="1"/>
  <c r="AH223" i="1"/>
  <c r="AF224" i="1"/>
  <c r="AG224" i="1"/>
  <c r="AH224" i="1"/>
  <c r="AF225" i="1"/>
  <c r="AG225" i="1"/>
  <c r="AH225" i="1"/>
  <c r="AF226" i="1"/>
  <c r="AG226" i="1"/>
  <c r="AH226" i="1"/>
  <c r="AF227" i="1"/>
  <c r="AG227" i="1"/>
  <c r="AH227" i="1"/>
  <c r="AF228" i="1"/>
  <c r="AG228" i="1"/>
  <c r="AH228" i="1"/>
  <c r="AF229" i="1"/>
  <c r="AG229" i="1"/>
  <c r="AH229" i="1"/>
  <c r="AF230" i="1"/>
  <c r="AG230" i="1"/>
  <c r="AH230" i="1"/>
  <c r="AF231" i="1"/>
  <c r="AG231" i="1"/>
  <c r="AH231" i="1"/>
  <c r="AF232" i="1"/>
  <c r="AG232" i="1"/>
  <c r="AH232" i="1"/>
  <c r="AF233" i="1"/>
  <c r="AG233" i="1"/>
  <c r="AH233" i="1"/>
  <c r="AF234" i="1"/>
  <c r="AG234" i="1"/>
  <c r="AH234" i="1"/>
  <c r="AF235" i="1"/>
  <c r="AG235" i="1"/>
  <c r="AH235" i="1"/>
  <c r="AF236" i="1"/>
  <c r="AG236" i="1"/>
  <c r="AH236" i="1"/>
  <c r="AF237" i="1"/>
  <c r="AG237" i="1"/>
  <c r="AH237" i="1"/>
  <c r="AF238" i="1"/>
  <c r="AG238" i="1"/>
  <c r="AH238" i="1"/>
  <c r="AF239" i="1"/>
  <c r="AG239" i="1"/>
  <c r="AH239" i="1"/>
  <c r="AF240" i="1"/>
  <c r="AG240" i="1"/>
  <c r="AH240" i="1"/>
  <c r="AF241" i="1"/>
  <c r="AG241" i="1"/>
  <c r="AH241" i="1"/>
  <c r="AF242" i="1"/>
  <c r="AG242" i="1"/>
  <c r="AH242" i="1"/>
  <c r="AF243" i="1"/>
  <c r="AG243" i="1"/>
  <c r="AH243" i="1"/>
  <c r="AF244" i="1"/>
  <c r="AG244" i="1"/>
  <c r="AH244" i="1"/>
  <c r="AF245" i="1"/>
  <c r="AG245" i="1"/>
  <c r="AH245" i="1"/>
  <c r="AF246" i="1"/>
  <c r="AG246" i="1"/>
  <c r="AH246" i="1"/>
  <c r="AF247" i="1"/>
  <c r="AG247" i="1"/>
  <c r="AH247" i="1"/>
  <c r="AF249" i="1"/>
  <c r="AG249" i="1"/>
  <c r="AH249" i="1"/>
  <c r="AF250" i="1"/>
  <c r="AG250" i="1"/>
  <c r="AH250" i="1"/>
  <c r="AF251" i="1"/>
  <c r="AG251" i="1"/>
  <c r="AH251" i="1"/>
  <c r="AF252" i="1"/>
  <c r="AG252" i="1"/>
  <c r="AH252" i="1"/>
  <c r="AF253" i="1"/>
  <c r="AG253" i="1"/>
  <c r="AH253" i="1"/>
  <c r="AF254" i="1"/>
  <c r="AG254" i="1"/>
  <c r="AH254" i="1"/>
  <c r="AF255" i="1"/>
  <c r="AG255" i="1"/>
  <c r="AH255" i="1"/>
  <c r="AF256" i="1"/>
  <c r="AG256" i="1"/>
  <c r="AH256" i="1"/>
  <c r="AF257" i="1"/>
  <c r="AG257" i="1"/>
  <c r="AH257" i="1"/>
  <c r="AF258" i="1"/>
  <c r="AG258" i="1"/>
  <c r="AH258" i="1"/>
  <c r="AF259" i="1"/>
  <c r="AG259" i="1"/>
  <c r="AH259" i="1"/>
  <c r="AF260" i="1"/>
  <c r="AG260" i="1"/>
  <c r="AH260" i="1"/>
  <c r="AF261" i="1"/>
  <c r="AG261" i="1"/>
  <c r="AH261" i="1"/>
  <c r="AF262" i="1"/>
  <c r="AG262" i="1"/>
  <c r="AH262" i="1"/>
  <c r="AF263" i="1"/>
  <c r="AG263" i="1"/>
  <c r="AH263" i="1"/>
  <c r="AF264" i="1"/>
  <c r="AG264" i="1"/>
  <c r="AH264" i="1"/>
  <c r="AF265" i="1"/>
  <c r="AG265" i="1"/>
  <c r="AH265" i="1"/>
  <c r="AF266" i="1"/>
  <c r="AG266" i="1"/>
  <c r="AH266" i="1"/>
  <c r="AF267" i="1"/>
  <c r="AG267" i="1"/>
  <c r="AH267" i="1"/>
  <c r="AF268" i="1"/>
  <c r="AG268" i="1"/>
  <c r="AH268" i="1"/>
  <c r="AF269" i="1"/>
  <c r="AG269" i="1"/>
  <c r="AH269" i="1"/>
  <c r="AF270" i="1"/>
  <c r="AG270" i="1"/>
  <c r="AH270" i="1"/>
  <c r="AF271" i="1"/>
  <c r="AG271" i="1"/>
  <c r="AH271" i="1"/>
  <c r="AF272" i="1"/>
  <c r="AG272" i="1"/>
  <c r="AH272" i="1"/>
  <c r="AF273" i="1"/>
  <c r="AG273" i="1"/>
  <c r="AH273" i="1"/>
  <c r="AF274" i="1"/>
  <c r="AG274" i="1"/>
  <c r="AH274" i="1"/>
  <c r="AF275" i="1"/>
  <c r="AG275" i="1"/>
  <c r="AH275" i="1"/>
  <c r="AF276" i="1"/>
  <c r="AG276" i="1"/>
  <c r="AH276" i="1"/>
  <c r="AF277" i="1"/>
  <c r="AG277" i="1"/>
  <c r="AH277" i="1"/>
  <c r="AF278" i="1"/>
  <c r="AG278" i="1"/>
  <c r="AH278" i="1"/>
  <c r="AF279" i="1"/>
  <c r="AG279" i="1"/>
  <c r="AH279" i="1"/>
  <c r="AF280" i="1"/>
  <c r="AG280" i="1"/>
  <c r="AH280" i="1"/>
  <c r="AF281" i="1"/>
  <c r="AG281" i="1"/>
  <c r="AH281" i="1"/>
  <c r="AF282" i="1"/>
  <c r="AG282" i="1"/>
  <c r="AH282" i="1"/>
  <c r="AF283" i="1"/>
  <c r="AG283" i="1"/>
  <c r="AH283" i="1"/>
  <c r="AF284" i="1"/>
  <c r="AG284" i="1"/>
  <c r="AH284" i="1"/>
  <c r="AF285" i="1"/>
  <c r="AG285" i="1"/>
  <c r="AH285" i="1"/>
  <c r="AF286" i="1"/>
  <c r="AG286" i="1"/>
  <c r="AH286" i="1"/>
  <c r="AF287" i="1"/>
  <c r="AG287" i="1"/>
  <c r="AH287" i="1"/>
  <c r="AF288" i="1"/>
  <c r="AG288" i="1"/>
  <c r="AH288" i="1"/>
  <c r="AF289" i="1"/>
  <c r="AG289" i="1"/>
  <c r="AH289" i="1"/>
  <c r="AF290" i="1"/>
  <c r="AG290" i="1"/>
  <c r="AH290" i="1"/>
  <c r="AF291" i="1"/>
  <c r="AG291" i="1"/>
  <c r="AH291" i="1"/>
  <c r="AF292" i="1"/>
  <c r="AG292" i="1"/>
  <c r="AH292" i="1"/>
  <c r="AF293" i="1"/>
  <c r="AG293" i="1"/>
  <c r="AH293" i="1"/>
  <c r="AF294" i="1"/>
  <c r="AG294" i="1"/>
  <c r="AH294" i="1"/>
  <c r="AF295" i="1"/>
  <c r="AG295" i="1"/>
  <c r="AH295" i="1"/>
  <c r="AF296" i="1"/>
  <c r="AG296" i="1"/>
  <c r="AH296" i="1"/>
  <c r="AF297" i="1"/>
  <c r="AG297" i="1"/>
  <c r="AH297" i="1"/>
  <c r="AF298" i="1"/>
  <c r="AG298" i="1"/>
  <c r="AH298" i="1"/>
  <c r="AF299" i="1"/>
  <c r="AG299" i="1"/>
  <c r="AH299" i="1"/>
  <c r="AF300" i="1"/>
  <c r="AG300" i="1"/>
  <c r="AH300" i="1"/>
  <c r="AF301" i="1"/>
  <c r="AG301" i="1"/>
  <c r="AH301" i="1"/>
  <c r="AF302" i="1"/>
  <c r="AG302" i="1"/>
  <c r="AH302" i="1"/>
  <c r="AF303" i="1"/>
  <c r="AG303" i="1"/>
  <c r="AH303" i="1"/>
  <c r="AF304" i="1"/>
  <c r="AG304" i="1"/>
  <c r="AH304" i="1"/>
  <c r="AF305" i="1"/>
  <c r="AG305" i="1"/>
  <c r="AH305" i="1"/>
  <c r="AF306" i="1"/>
  <c r="AG306" i="1"/>
  <c r="AH306" i="1"/>
  <c r="AF307" i="1"/>
  <c r="AG307" i="1"/>
  <c r="AH307" i="1"/>
  <c r="AF308" i="1"/>
  <c r="AG308" i="1"/>
  <c r="AH308" i="1"/>
  <c r="AF309" i="1"/>
  <c r="AG309" i="1"/>
  <c r="AH309" i="1"/>
  <c r="AF310" i="1"/>
  <c r="AG310" i="1"/>
  <c r="AH310" i="1"/>
  <c r="AF311" i="1"/>
  <c r="AG311" i="1"/>
  <c r="AH311" i="1"/>
  <c r="AF312" i="1"/>
  <c r="AG312" i="1"/>
  <c r="AH312" i="1"/>
  <c r="AF313" i="1"/>
  <c r="AG313" i="1"/>
  <c r="AH313" i="1"/>
  <c r="AF314" i="1"/>
  <c r="AG314" i="1"/>
  <c r="AH314" i="1"/>
  <c r="AF315" i="1"/>
  <c r="AG315" i="1"/>
  <c r="AH315" i="1"/>
  <c r="AF316" i="1"/>
  <c r="AG316" i="1"/>
  <c r="AH316" i="1"/>
  <c r="AF317" i="1"/>
  <c r="AG317" i="1"/>
  <c r="AH317" i="1"/>
  <c r="AF318" i="1"/>
  <c r="AG318" i="1"/>
  <c r="AH318" i="1"/>
  <c r="AF319" i="1"/>
  <c r="AG319" i="1"/>
  <c r="AH319" i="1"/>
  <c r="AF320" i="1"/>
  <c r="AG320" i="1"/>
  <c r="AH320" i="1"/>
  <c r="AF321" i="1"/>
  <c r="AG321" i="1"/>
  <c r="AH321" i="1"/>
  <c r="AF322" i="1"/>
  <c r="AG322" i="1"/>
  <c r="AH322" i="1"/>
  <c r="AF323" i="1"/>
  <c r="AG323" i="1"/>
  <c r="AH323" i="1"/>
  <c r="AF324" i="1"/>
  <c r="AG324" i="1"/>
  <c r="AH324" i="1"/>
  <c r="AF325" i="1"/>
  <c r="AG325" i="1"/>
  <c r="AH325" i="1"/>
  <c r="AF326" i="1"/>
  <c r="AG326" i="1"/>
  <c r="AH326" i="1"/>
  <c r="AF327" i="1"/>
  <c r="AG327" i="1"/>
  <c r="AH327" i="1"/>
  <c r="AF328" i="1"/>
  <c r="AG328" i="1"/>
  <c r="AH328" i="1"/>
  <c r="AF329" i="1"/>
  <c r="AG329" i="1"/>
  <c r="AH329" i="1"/>
  <c r="AF330" i="1"/>
  <c r="AG330" i="1"/>
  <c r="AH330" i="1"/>
  <c r="AF331" i="1"/>
  <c r="AG331" i="1"/>
  <c r="AH331" i="1"/>
  <c r="AF332" i="1"/>
  <c r="AG332" i="1"/>
  <c r="AH332" i="1"/>
  <c r="AF333" i="1"/>
  <c r="AG333" i="1"/>
  <c r="AH333" i="1"/>
  <c r="AF334" i="1"/>
  <c r="AG334" i="1"/>
  <c r="AH334" i="1"/>
  <c r="AF335" i="1"/>
  <c r="AG335" i="1"/>
  <c r="AH335" i="1"/>
  <c r="AF336" i="1"/>
  <c r="AG336" i="1"/>
  <c r="AH336" i="1"/>
  <c r="AF337" i="1"/>
  <c r="AG337" i="1"/>
  <c r="AH337" i="1"/>
  <c r="AF338" i="1"/>
  <c r="AG338" i="1"/>
  <c r="AH338" i="1"/>
  <c r="AF339" i="1"/>
  <c r="AG339" i="1"/>
  <c r="AH339" i="1"/>
  <c r="AF340" i="1"/>
  <c r="AG340" i="1"/>
  <c r="AH340" i="1"/>
  <c r="AF341" i="1"/>
  <c r="AG341" i="1"/>
  <c r="AH341" i="1"/>
  <c r="AF342" i="1"/>
  <c r="AG342" i="1"/>
  <c r="AH342" i="1"/>
  <c r="AF343" i="1"/>
  <c r="AG343" i="1"/>
  <c r="AH343" i="1"/>
  <c r="AF344" i="1"/>
  <c r="AG344" i="1"/>
  <c r="AH344" i="1"/>
  <c r="AF345" i="1"/>
  <c r="AG345" i="1"/>
  <c r="AH345" i="1"/>
  <c r="AF346" i="1"/>
  <c r="AG346" i="1"/>
  <c r="AH346" i="1"/>
  <c r="AF347" i="1"/>
  <c r="AG347" i="1"/>
  <c r="AH347" i="1"/>
  <c r="AF348" i="1"/>
  <c r="AG348" i="1"/>
  <c r="AH348" i="1"/>
  <c r="AF349" i="1"/>
  <c r="AG349" i="1"/>
  <c r="AH349" i="1"/>
  <c r="AF350" i="1"/>
  <c r="AG350" i="1"/>
  <c r="AH350" i="1"/>
  <c r="AF351" i="1"/>
  <c r="AG351" i="1"/>
  <c r="AH351" i="1"/>
  <c r="AF352" i="1"/>
  <c r="AG352" i="1"/>
  <c r="AH352" i="1"/>
  <c r="AF353" i="1"/>
  <c r="AG353" i="1"/>
  <c r="AH353" i="1"/>
  <c r="AF354" i="1"/>
  <c r="AG354" i="1"/>
  <c r="AH354" i="1"/>
  <c r="AF355" i="1"/>
  <c r="AG355" i="1"/>
  <c r="AH355" i="1"/>
  <c r="AF356" i="1"/>
  <c r="AG356" i="1"/>
  <c r="AH356" i="1"/>
  <c r="AF357" i="1"/>
  <c r="AG357" i="1"/>
  <c r="AH357" i="1"/>
  <c r="AF358" i="1"/>
  <c r="AG358" i="1"/>
  <c r="AH358" i="1"/>
  <c r="AF359" i="1"/>
  <c r="AG359" i="1"/>
  <c r="AH359" i="1"/>
  <c r="AF360" i="1"/>
  <c r="AG360" i="1"/>
  <c r="AH360" i="1"/>
  <c r="AF361" i="1"/>
  <c r="AG361" i="1"/>
  <c r="AH361" i="1"/>
  <c r="AF362" i="1"/>
  <c r="AG362" i="1"/>
  <c r="AH362" i="1"/>
  <c r="AF363" i="1"/>
  <c r="AG363" i="1"/>
  <c r="AH363" i="1"/>
  <c r="AF364" i="1"/>
  <c r="AG364" i="1"/>
  <c r="AH364" i="1"/>
  <c r="AF365" i="1"/>
  <c r="AG365" i="1"/>
  <c r="AH365" i="1"/>
  <c r="AF366" i="1"/>
  <c r="AG366" i="1"/>
  <c r="AH366" i="1"/>
  <c r="AF367" i="1"/>
  <c r="AG367" i="1"/>
  <c r="AH367" i="1"/>
  <c r="AF368" i="1"/>
  <c r="AG368" i="1"/>
  <c r="AH368" i="1"/>
  <c r="AF369" i="1"/>
  <c r="AG369" i="1"/>
  <c r="AH369" i="1"/>
  <c r="AF370" i="1"/>
  <c r="AG370" i="1"/>
  <c r="AH370" i="1"/>
  <c r="AF371" i="1"/>
  <c r="AG371" i="1"/>
  <c r="AH371" i="1"/>
  <c r="AF372" i="1"/>
  <c r="AG372" i="1"/>
  <c r="AH372" i="1"/>
  <c r="AF373" i="1"/>
  <c r="AG373" i="1"/>
  <c r="AH373" i="1"/>
  <c r="AF374" i="1"/>
  <c r="AG374" i="1"/>
  <c r="AH374" i="1"/>
  <c r="AF375" i="1"/>
  <c r="AG375" i="1"/>
  <c r="AH375" i="1"/>
  <c r="AF376" i="1"/>
  <c r="AG376" i="1"/>
  <c r="AH376" i="1"/>
  <c r="AF377" i="1"/>
  <c r="AG377" i="1"/>
  <c r="AH377" i="1"/>
  <c r="AF378" i="1"/>
  <c r="AG378" i="1"/>
  <c r="AH378" i="1"/>
  <c r="AF379" i="1"/>
  <c r="AG379" i="1"/>
  <c r="AH379" i="1"/>
  <c r="AF380" i="1"/>
  <c r="AG380" i="1"/>
  <c r="AH380" i="1"/>
  <c r="AF381" i="1"/>
  <c r="AG381" i="1"/>
  <c r="AH381" i="1"/>
  <c r="AF382" i="1"/>
  <c r="AG382" i="1"/>
  <c r="AH382" i="1"/>
  <c r="AF383" i="1"/>
  <c r="AG383" i="1"/>
  <c r="AH383" i="1"/>
  <c r="AF384" i="1"/>
  <c r="AG384" i="1"/>
  <c r="AH384" i="1"/>
  <c r="AF385" i="1"/>
  <c r="AG385" i="1"/>
  <c r="AH385" i="1"/>
  <c r="AF386" i="1"/>
  <c r="AG386" i="1"/>
  <c r="AH386" i="1"/>
  <c r="AF387" i="1"/>
  <c r="AG387" i="1"/>
  <c r="AH387" i="1"/>
  <c r="AF388" i="1"/>
  <c r="AG388" i="1"/>
  <c r="AH388" i="1"/>
  <c r="AF389" i="1"/>
  <c r="AG389" i="1"/>
  <c r="AH389" i="1"/>
  <c r="AF390" i="1"/>
  <c r="AG390" i="1"/>
  <c r="AH390" i="1"/>
  <c r="AF391" i="1"/>
  <c r="AG391" i="1"/>
  <c r="AH391" i="1"/>
  <c r="AF392" i="1"/>
  <c r="AG392" i="1"/>
  <c r="AH392" i="1"/>
  <c r="AF393" i="1"/>
  <c r="AG393" i="1"/>
  <c r="AH393" i="1"/>
  <c r="AF394" i="1"/>
  <c r="AG394" i="1"/>
  <c r="AH394" i="1"/>
  <c r="AF395" i="1"/>
  <c r="AG395" i="1"/>
  <c r="AH395" i="1"/>
  <c r="AF396" i="1"/>
  <c r="AG396" i="1"/>
  <c r="AH396" i="1"/>
  <c r="AF397" i="1"/>
  <c r="AG397" i="1"/>
  <c r="AH397" i="1"/>
  <c r="AF398" i="1"/>
  <c r="AG398" i="1"/>
  <c r="AH398" i="1"/>
  <c r="AF399" i="1"/>
  <c r="AG399" i="1"/>
  <c r="AH399" i="1"/>
  <c r="AF400" i="1"/>
  <c r="AG400" i="1"/>
  <c r="AH400" i="1"/>
  <c r="AF401" i="1"/>
  <c r="AG401" i="1"/>
  <c r="AH401" i="1"/>
  <c r="AF402" i="1"/>
  <c r="AG402" i="1"/>
  <c r="AH402" i="1"/>
  <c r="AF403" i="1"/>
  <c r="AG403" i="1"/>
  <c r="AH403" i="1"/>
  <c r="AF404" i="1"/>
  <c r="AG404" i="1"/>
  <c r="AH404" i="1"/>
  <c r="AF405" i="1"/>
  <c r="AG405" i="1"/>
  <c r="AH405" i="1"/>
  <c r="AF406" i="1"/>
  <c r="AG406" i="1"/>
  <c r="AH406" i="1"/>
  <c r="AF407" i="1"/>
  <c r="AG407" i="1"/>
  <c r="AH407" i="1"/>
  <c r="AF408" i="1"/>
  <c r="AG408" i="1"/>
  <c r="AH408" i="1"/>
  <c r="AF409" i="1"/>
  <c r="AG409" i="1"/>
  <c r="AH409" i="1"/>
  <c r="AF410" i="1"/>
  <c r="AG410" i="1"/>
  <c r="AH410" i="1"/>
  <c r="AF411" i="1"/>
  <c r="AG411" i="1"/>
  <c r="AH411" i="1"/>
  <c r="AF412" i="1"/>
  <c r="AG412" i="1"/>
  <c r="AH412" i="1"/>
  <c r="AF413" i="1"/>
  <c r="AG413" i="1"/>
  <c r="AH413" i="1"/>
  <c r="AF414" i="1"/>
  <c r="AG414" i="1"/>
  <c r="AH414" i="1"/>
  <c r="AF415" i="1"/>
  <c r="AG415" i="1"/>
  <c r="AH415" i="1"/>
  <c r="AF416" i="1"/>
  <c r="AG416" i="1"/>
  <c r="AH416" i="1"/>
  <c r="AF417" i="1"/>
  <c r="AG417" i="1"/>
  <c r="AH417" i="1"/>
  <c r="AF418" i="1"/>
  <c r="AG418" i="1"/>
  <c r="AH418" i="1"/>
  <c r="AF419" i="1"/>
  <c r="AG419" i="1"/>
  <c r="AH419" i="1"/>
  <c r="AF420" i="1"/>
  <c r="AG420" i="1"/>
  <c r="AH420" i="1"/>
  <c r="AF421" i="1"/>
  <c r="AG421" i="1"/>
  <c r="AH421" i="1"/>
  <c r="AF422" i="1"/>
  <c r="AG422" i="1"/>
  <c r="AH422" i="1"/>
  <c r="AF423" i="1"/>
  <c r="AG423" i="1"/>
  <c r="AH423" i="1"/>
  <c r="AF424" i="1"/>
  <c r="AG424" i="1"/>
  <c r="AH424" i="1"/>
  <c r="AF425" i="1"/>
  <c r="AG425" i="1"/>
  <c r="AH425" i="1"/>
  <c r="AF426" i="1"/>
  <c r="AG426" i="1"/>
  <c r="AH426" i="1"/>
  <c r="AF427" i="1"/>
  <c r="AG427" i="1"/>
  <c r="AH427" i="1"/>
  <c r="AF428" i="1"/>
  <c r="AG428" i="1"/>
  <c r="AH428" i="1"/>
  <c r="AF429" i="1"/>
  <c r="AG429" i="1"/>
  <c r="AH429" i="1"/>
  <c r="AF430" i="1"/>
  <c r="AG430" i="1"/>
  <c r="AH430" i="1"/>
  <c r="AF431" i="1"/>
  <c r="AG431" i="1"/>
  <c r="AH431" i="1"/>
  <c r="AF432" i="1"/>
  <c r="AG432" i="1"/>
  <c r="AH432" i="1"/>
  <c r="AF433" i="1"/>
  <c r="AG433" i="1"/>
  <c r="AH433" i="1"/>
  <c r="AF434" i="1"/>
  <c r="AG434" i="1"/>
  <c r="AH434" i="1"/>
  <c r="AF435" i="1"/>
  <c r="AG435" i="1"/>
  <c r="AH435" i="1"/>
  <c r="AF436" i="1"/>
  <c r="AG436" i="1"/>
  <c r="AH436" i="1"/>
  <c r="AF437" i="1"/>
  <c r="AG437" i="1"/>
  <c r="AH437" i="1"/>
  <c r="AF438" i="1"/>
  <c r="AG438" i="1"/>
  <c r="AH438" i="1"/>
  <c r="AF439" i="1"/>
  <c r="AG439" i="1"/>
  <c r="AH439" i="1"/>
  <c r="AF440" i="1"/>
  <c r="AG440" i="1"/>
  <c r="AH440" i="1"/>
  <c r="AF441" i="1"/>
  <c r="AG441" i="1"/>
  <c r="AH441" i="1"/>
  <c r="AF442" i="1"/>
  <c r="AG442" i="1"/>
  <c r="AH442" i="1"/>
  <c r="AF443" i="1"/>
  <c r="AG443" i="1"/>
  <c r="AH443" i="1"/>
  <c r="AF444" i="1"/>
  <c r="AG444" i="1"/>
  <c r="AH444" i="1"/>
  <c r="AF445" i="1"/>
  <c r="AG445" i="1"/>
  <c r="AH445" i="1"/>
  <c r="AF446" i="1"/>
  <c r="AG446" i="1"/>
  <c r="AH446" i="1"/>
  <c r="AF447" i="1"/>
  <c r="AG447" i="1"/>
  <c r="AH447" i="1"/>
  <c r="AF448" i="1"/>
  <c r="AG448" i="1"/>
  <c r="AH448" i="1"/>
  <c r="AF449" i="1"/>
  <c r="AG449" i="1"/>
  <c r="AH449" i="1"/>
  <c r="AF450" i="1"/>
  <c r="AG450" i="1"/>
  <c r="AH450" i="1"/>
  <c r="AF451" i="1"/>
  <c r="AG451" i="1"/>
  <c r="AH451" i="1"/>
  <c r="AF452" i="1"/>
  <c r="AG452" i="1"/>
  <c r="AH452" i="1"/>
  <c r="AF453" i="1"/>
  <c r="AG453" i="1"/>
  <c r="AH453" i="1"/>
  <c r="AF454" i="1"/>
  <c r="AG454" i="1"/>
  <c r="AH454" i="1"/>
  <c r="AF455" i="1"/>
  <c r="AG455" i="1"/>
  <c r="AH455" i="1"/>
  <c r="AF456" i="1"/>
  <c r="AG456" i="1"/>
  <c r="AH456" i="1"/>
  <c r="AF457" i="1"/>
  <c r="AG457" i="1"/>
  <c r="AH457" i="1"/>
  <c r="AF458" i="1"/>
  <c r="AG458" i="1"/>
  <c r="AH458" i="1"/>
  <c r="AF459" i="1"/>
  <c r="AG459" i="1"/>
  <c r="AH459" i="1"/>
  <c r="AF460" i="1"/>
  <c r="AG460" i="1"/>
  <c r="AH460" i="1"/>
  <c r="AF461" i="1"/>
  <c r="AG461" i="1"/>
  <c r="AH461" i="1"/>
  <c r="AF462" i="1"/>
  <c r="AG462" i="1"/>
  <c r="AH462" i="1"/>
  <c r="AF463" i="1"/>
  <c r="AG463" i="1"/>
  <c r="AH463" i="1"/>
  <c r="AF464" i="1"/>
  <c r="AG464" i="1"/>
  <c r="AH464" i="1"/>
  <c r="AF465" i="1"/>
  <c r="AG465" i="1"/>
  <c r="AH465" i="1"/>
  <c r="AF466" i="1"/>
  <c r="AG466" i="1"/>
  <c r="AH466" i="1"/>
  <c r="AF467" i="1"/>
  <c r="AG467" i="1"/>
  <c r="AH467" i="1"/>
  <c r="AF468" i="1"/>
  <c r="AG468" i="1"/>
  <c r="AH468" i="1"/>
  <c r="AF469" i="1"/>
  <c r="AG469" i="1"/>
  <c r="AH469" i="1"/>
  <c r="AF470" i="1"/>
  <c r="AG470" i="1"/>
  <c r="AH470" i="1"/>
  <c r="AF471" i="1"/>
  <c r="AG471" i="1"/>
  <c r="AH471" i="1"/>
  <c r="AF472" i="1"/>
  <c r="AG472" i="1"/>
  <c r="AH472" i="1"/>
  <c r="AF473" i="1"/>
  <c r="AG473" i="1"/>
  <c r="AH473" i="1"/>
  <c r="AF474" i="1"/>
  <c r="AG474" i="1"/>
  <c r="AH474" i="1"/>
  <c r="AF475" i="1"/>
  <c r="AG475" i="1"/>
  <c r="AH475" i="1"/>
  <c r="AF476" i="1"/>
  <c r="AG476" i="1"/>
  <c r="AH476" i="1"/>
  <c r="AF477" i="1"/>
  <c r="AG477" i="1"/>
  <c r="AH477" i="1"/>
  <c r="AF478" i="1"/>
  <c r="AG478" i="1"/>
  <c r="AH478" i="1"/>
  <c r="AF479" i="1"/>
  <c r="AG479" i="1"/>
  <c r="AH479" i="1"/>
  <c r="AF480" i="1"/>
  <c r="AG480" i="1"/>
  <c r="AH480" i="1"/>
  <c r="AF481" i="1"/>
  <c r="AG481" i="1"/>
  <c r="AH481" i="1"/>
  <c r="AF482" i="1"/>
  <c r="AG482" i="1"/>
  <c r="AH482" i="1"/>
  <c r="AF483" i="1"/>
  <c r="AG483" i="1"/>
  <c r="AH483" i="1"/>
  <c r="AF484" i="1"/>
  <c r="AG484" i="1"/>
  <c r="AH484" i="1"/>
  <c r="AF485" i="1"/>
  <c r="AG485" i="1"/>
  <c r="AH485" i="1"/>
  <c r="AF486" i="1"/>
  <c r="AG486" i="1"/>
  <c r="AH486" i="1"/>
  <c r="AF487" i="1"/>
  <c r="AG487" i="1"/>
  <c r="AH487" i="1"/>
  <c r="AF488" i="1"/>
  <c r="AG488" i="1"/>
  <c r="AH488" i="1"/>
  <c r="AF489" i="1"/>
  <c r="AG489" i="1"/>
  <c r="AH489" i="1"/>
  <c r="AF490" i="1"/>
  <c r="AG490" i="1"/>
  <c r="AF491" i="1"/>
  <c r="AG491" i="1"/>
  <c r="AH491" i="1"/>
  <c r="AF492" i="1"/>
  <c r="AG492" i="1"/>
  <c r="AH492" i="1"/>
  <c r="AF493" i="1"/>
  <c r="AG493" i="1"/>
  <c r="AH493" i="1"/>
  <c r="AF494" i="1"/>
  <c r="AG494" i="1"/>
  <c r="AH494" i="1"/>
  <c r="AF495" i="1"/>
  <c r="AG495" i="1"/>
  <c r="AH495" i="1"/>
  <c r="AF496" i="1"/>
  <c r="AG496" i="1"/>
  <c r="AH496" i="1"/>
  <c r="AF497" i="1"/>
  <c r="AG497" i="1"/>
  <c r="AH497" i="1"/>
  <c r="AF498" i="1"/>
  <c r="AG498" i="1"/>
  <c r="AH498" i="1"/>
  <c r="AF499" i="1"/>
  <c r="AG499" i="1"/>
  <c r="AH499" i="1"/>
  <c r="AF500" i="1"/>
  <c r="AG500" i="1"/>
  <c r="AH500" i="1"/>
  <c r="AF501" i="1"/>
  <c r="AG501" i="1"/>
  <c r="AH501" i="1"/>
  <c r="AF502" i="1"/>
  <c r="AG502" i="1"/>
  <c r="AH502" i="1"/>
  <c r="AF503" i="1"/>
  <c r="AG503" i="1"/>
  <c r="AH503" i="1"/>
  <c r="AF504" i="1"/>
  <c r="AG504" i="1"/>
  <c r="AH504" i="1"/>
  <c r="AF505" i="1"/>
  <c r="AG505" i="1"/>
  <c r="AH505" i="1"/>
  <c r="AF506" i="1"/>
  <c r="AG506" i="1"/>
  <c r="AH506" i="1"/>
  <c r="AF507" i="1"/>
  <c r="AG507" i="1"/>
  <c r="AH507" i="1"/>
  <c r="AF509" i="1"/>
  <c r="AG509" i="1"/>
  <c r="AH509" i="1"/>
  <c r="AF510" i="1"/>
  <c r="AG510" i="1"/>
  <c r="AH510" i="1"/>
  <c r="AF511" i="1"/>
  <c r="AG511" i="1"/>
  <c r="AH511" i="1"/>
  <c r="AF512" i="1"/>
  <c r="AG512" i="1"/>
  <c r="AH512" i="1"/>
  <c r="AF513" i="1"/>
  <c r="AG513" i="1"/>
  <c r="AH513" i="1"/>
  <c r="AF514" i="1"/>
  <c r="AG514" i="1"/>
  <c r="AH514" i="1"/>
  <c r="AF515" i="1"/>
  <c r="AG515" i="1"/>
  <c r="AH515" i="1"/>
  <c r="AF516" i="1"/>
  <c r="AG516" i="1"/>
  <c r="AH516" i="1"/>
  <c r="AF517" i="1"/>
  <c r="AG517" i="1"/>
  <c r="AH517" i="1"/>
  <c r="AF518" i="1"/>
  <c r="AG518" i="1"/>
  <c r="AH518" i="1"/>
  <c r="AF519" i="1"/>
  <c r="AG519" i="1"/>
  <c r="AH519" i="1"/>
  <c r="AF520" i="1"/>
  <c r="AG520" i="1"/>
  <c r="AH520" i="1"/>
  <c r="AF521" i="1"/>
  <c r="AG521" i="1"/>
  <c r="AH521" i="1"/>
  <c r="AF522" i="1"/>
  <c r="AG522" i="1"/>
  <c r="AH522" i="1"/>
  <c r="AF523" i="1"/>
  <c r="AG523" i="1"/>
  <c r="AH523" i="1"/>
  <c r="AF524" i="1"/>
  <c r="AG524" i="1"/>
  <c r="AH524" i="1"/>
  <c r="AF525" i="1"/>
  <c r="AG525" i="1"/>
  <c r="AH525" i="1"/>
  <c r="AF526" i="1"/>
  <c r="AG526" i="1"/>
  <c r="AH526" i="1"/>
  <c r="AF527" i="1"/>
  <c r="AG527" i="1"/>
  <c r="AH527" i="1"/>
  <c r="AF528" i="1"/>
  <c r="AG528" i="1"/>
  <c r="AH528" i="1"/>
  <c r="AF529" i="1"/>
  <c r="AG529" i="1"/>
  <c r="AH529" i="1"/>
  <c r="AF530" i="1"/>
  <c r="AG530" i="1"/>
  <c r="AH530" i="1"/>
  <c r="AF531" i="1"/>
  <c r="AG531" i="1"/>
  <c r="AH531" i="1"/>
  <c r="AF532" i="1"/>
  <c r="AG532" i="1"/>
  <c r="AH532" i="1"/>
  <c r="AF533" i="1"/>
  <c r="AG533" i="1"/>
  <c r="AH533" i="1"/>
  <c r="AF534" i="1"/>
  <c r="AG534" i="1"/>
  <c r="AH534" i="1"/>
  <c r="AF535" i="1"/>
  <c r="AG535" i="1"/>
  <c r="AH535" i="1"/>
  <c r="AF536" i="1"/>
  <c r="AG536" i="1"/>
  <c r="AH536" i="1"/>
  <c r="AF537" i="1"/>
  <c r="AG537" i="1"/>
  <c r="AH537" i="1"/>
  <c r="AF538" i="1"/>
  <c r="AG538" i="1"/>
  <c r="AH538" i="1"/>
  <c r="AF539" i="1"/>
  <c r="AG539" i="1"/>
  <c r="AH539" i="1"/>
  <c r="AF540" i="1"/>
  <c r="AG540" i="1"/>
  <c r="AH540" i="1"/>
  <c r="AF541" i="1"/>
  <c r="AG541" i="1"/>
  <c r="AH541" i="1"/>
  <c r="AF542" i="1"/>
  <c r="AG542" i="1"/>
  <c r="AH542" i="1"/>
  <c r="AF543" i="1"/>
  <c r="AG543" i="1"/>
  <c r="AH543" i="1"/>
  <c r="AF544" i="1"/>
  <c r="AG544" i="1"/>
  <c r="AH544" i="1"/>
  <c r="AF545" i="1"/>
  <c r="AG545" i="1"/>
  <c r="AH545" i="1"/>
  <c r="AF546" i="1"/>
  <c r="AG546" i="1"/>
  <c r="AH546" i="1"/>
  <c r="AF547" i="1"/>
  <c r="AG547" i="1"/>
  <c r="AH547" i="1"/>
  <c r="AF548" i="1"/>
  <c r="AG548" i="1"/>
  <c r="AH548" i="1"/>
  <c r="AF549" i="1"/>
  <c r="AG549" i="1"/>
  <c r="AH549" i="1"/>
  <c r="AF550" i="1"/>
  <c r="AG550" i="1"/>
  <c r="AH550" i="1"/>
  <c r="AF551" i="1"/>
  <c r="AG551" i="1"/>
  <c r="AH551" i="1"/>
  <c r="AF552" i="1"/>
  <c r="AG552" i="1"/>
  <c r="AH552" i="1"/>
  <c r="AF553" i="1"/>
  <c r="AG553" i="1"/>
  <c r="AH553" i="1"/>
  <c r="AF554" i="1"/>
  <c r="AG554" i="1"/>
  <c r="AH554" i="1"/>
  <c r="AF555" i="1"/>
  <c r="AG555" i="1"/>
  <c r="AH555" i="1"/>
  <c r="AF556" i="1"/>
  <c r="AG556" i="1"/>
  <c r="AH556" i="1"/>
  <c r="AF557" i="1"/>
  <c r="AG557" i="1"/>
  <c r="AH557" i="1"/>
  <c r="AF558" i="1"/>
  <c r="AG558" i="1"/>
  <c r="AH558" i="1"/>
  <c r="AF559" i="1"/>
  <c r="AG559" i="1"/>
  <c r="AH559" i="1"/>
  <c r="AF560" i="1"/>
  <c r="AG560" i="1"/>
  <c r="AH560" i="1"/>
  <c r="AF561" i="1"/>
  <c r="AG561" i="1"/>
  <c r="AH561" i="1"/>
  <c r="AF562" i="1"/>
  <c r="AG562" i="1"/>
  <c r="AH562" i="1"/>
  <c r="AF563" i="1"/>
  <c r="AG563" i="1"/>
  <c r="AH563" i="1"/>
  <c r="AF564" i="1"/>
  <c r="AG564" i="1"/>
  <c r="AH564" i="1"/>
  <c r="AF565" i="1"/>
  <c r="AG565" i="1"/>
  <c r="AH565" i="1"/>
  <c r="AF566" i="1"/>
  <c r="AG566" i="1"/>
  <c r="AH566" i="1"/>
  <c r="AF567" i="1"/>
  <c r="AG567" i="1"/>
  <c r="AH567" i="1"/>
  <c r="AF568" i="1"/>
  <c r="AG568" i="1"/>
  <c r="AH568" i="1"/>
  <c r="AF569" i="1"/>
  <c r="AG569" i="1"/>
  <c r="AH569" i="1"/>
  <c r="AF570" i="1"/>
  <c r="AG570" i="1"/>
  <c r="AH570" i="1"/>
  <c r="AF571" i="1"/>
  <c r="AG571" i="1"/>
  <c r="AH571" i="1"/>
  <c r="AF572" i="1"/>
  <c r="AG572" i="1"/>
  <c r="AH572" i="1"/>
  <c r="AF573" i="1"/>
  <c r="AG573" i="1"/>
  <c r="AH573" i="1"/>
  <c r="AF574" i="1"/>
  <c r="AG574" i="1"/>
  <c r="AH574" i="1"/>
  <c r="AF575" i="1"/>
  <c r="AG575" i="1"/>
  <c r="AH575" i="1"/>
  <c r="AF576" i="1"/>
  <c r="AG576" i="1"/>
  <c r="AH576" i="1"/>
  <c r="AF577" i="1"/>
  <c r="AG577" i="1"/>
  <c r="AH577" i="1"/>
  <c r="AF578" i="1"/>
  <c r="AG578" i="1"/>
  <c r="AH578" i="1"/>
  <c r="AF579" i="1"/>
  <c r="AG579" i="1"/>
  <c r="AH579" i="1"/>
  <c r="AF580" i="1"/>
  <c r="AG580" i="1"/>
  <c r="AH580" i="1"/>
  <c r="AF581" i="1"/>
  <c r="AG581" i="1"/>
  <c r="AH581" i="1"/>
  <c r="AF582" i="1"/>
  <c r="AG582" i="1"/>
  <c r="AH582" i="1"/>
  <c r="AF583" i="1"/>
  <c r="AG583" i="1"/>
  <c r="AH583" i="1"/>
  <c r="AF584" i="1"/>
  <c r="AG584" i="1"/>
  <c r="AH584" i="1"/>
  <c r="AF585" i="1"/>
  <c r="AG585" i="1"/>
  <c r="AH585" i="1"/>
  <c r="AF586" i="1"/>
  <c r="AG586" i="1"/>
  <c r="AH586" i="1"/>
  <c r="AF587" i="1"/>
  <c r="AG587" i="1"/>
  <c r="AH587" i="1"/>
  <c r="AF588" i="1"/>
  <c r="AG588" i="1"/>
  <c r="AH588" i="1"/>
  <c r="AF589" i="1"/>
  <c r="AG589" i="1"/>
  <c r="AH589" i="1"/>
  <c r="AF590" i="1"/>
  <c r="AG590" i="1"/>
  <c r="AH590" i="1"/>
  <c r="AF591" i="1"/>
  <c r="AG591" i="1"/>
  <c r="AH591" i="1"/>
  <c r="AF592" i="1"/>
  <c r="AG592" i="1"/>
  <c r="AF593" i="1"/>
  <c r="AG593" i="1"/>
  <c r="AH593" i="1"/>
  <c r="AF594" i="1"/>
  <c r="AG594" i="1"/>
  <c r="AH594" i="1"/>
  <c r="AF595" i="1"/>
  <c r="AG595" i="1"/>
  <c r="AH595" i="1"/>
  <c r="AF596" i="1"/>
  <c r="AG596" i="1"/>
  <c r="AH596" i="1"/>
  <c r="AF597" i="1"/>
  <c r="AG597" i="1"/>
  <c r="AH597" i="1"/>
  <c r="AF598" i="1"/>
  <c r="AG598" i="1"/>
  <c r="AH598" i="1"/>
  <c r="AF599" i="1"/>
  <c r="AG599" i="1"/>
  <c r="AH599" i="1"/>
  <c r="AF600" i="1"/>
  <c r="AG600" i="1"/>
  <c r="AH600" i="1"/>
  <c r="AF601" i="1"/>
  <c r="AG601" i="1"/>
  <c r="AH601" i="1"/>
  <c r="AF602" i="1"/>
  <c r="AG602" i="1"/>
  <c r="AH602" i="1"/>
  <c r="AF603" i="1"/>
  <c r="AG603" i="1"/>
  <c r="AH603" i="1"/>
  <c r="AF604" i="1"/>
  <c r="AG604" i="1"/>
  <c r="AH604" i="1"/>
  <c r="AF605" i="1"/>
  <c r="AG605" i="1"/>
  <c r="AH605" i="1"/>
  <c r="AF606" i="1"/>
  <c r="AG606" i="1"/>
  <c r="AH606" i="1"/>
  <c r="AF607" i="1"/>
  <c r="AG607" i="1"/>
  <c r="AH607" i="1"/>
  <c r="AF608" i="1"/>
  <c r="AG608" i="1"/>
  <c r="AH608" i="1"/>
  <c r="AF609" i="1"/>
  <c r="AG609" i="1"/>
  <c r="AH609" i="1"/>
  <c r="AF610" i="1"/>
  <c r="AG610" i="1"/>
  <c r="AH610" i="1"/>
  <c r="AF611" i="1"/>
  <c r="AG611" i="1"/>
  <c r="AH611" i="1"/>
  <c r="AF612" i="1"/>
  <c r="AG612" i="1"/>
  <c r="AH612" i="1"/>
  <c r="AF613" i="1"/>
  <c r="AG613" i="1"/>
  <c r="AH613" i="1"/>
  <c r="AF614" i="1"/>
  <c r="AG614" i="1"/>
  <c r="AH614" i="1"/>
  <c r="AF615" i="1"/>
  <c r="AG615" i="1"/>
  <c r="AH615" i="1"/>
  <c r="AF616" i="1"/>
  <c r="AG616" i="1"/>
  <c r="AH616" i="1"/>
  <c r="AF617" i="1"/>
  <c r="AG617" i="1"/>
  <c r="AH617" i="1"/>
  <c r="AF618" i="1"/>
  <c r="AG618" i="1"/>
  <c r="AH618" i="1"/>
  <c r="AF619" i="1"/>
  <c r="AG619" i="1"/>
  <c r="AH619" i="1"/>
  <c r="AF620" i="1"/>
  <c r="AG620" i="1"/>
  <c r="AH620" i="1"/>
  <c r="AF621" i="1"/>
  <c r="AG621" i="1"/>
  <c r="AH621" i="1"/>
  <c r="AF622" i="1"/>
  <c r="AG622" i="1"/>
  <c r="AH622" i="1"/>
  <c r="AF623" i="1"/>
  <c r="AG623" i="1"/>
  <c r="AH623" i="1"/>
  <c r="AF624" i="1"/>
  <c r="AG624" i="1"/>
  <c r="AH624" i="1"/>
  <c r="AF625" i="1"/>
  <c r="AG625" i="1"/>
  <c r="AH625" i="1"/>
  <c r="AF626" i="1"/>
  <c r="AG626" i="1"/>
  <c r="AH626" i="1"/>
  <c r="AF627" i="1"/>
  <c r="AG627" i="1"/>
  <c r="AH627" i="1"/>
  <c r="AF628" i="1"/>
  <c r="AG628" i="1"/>
  <c r="AH628" i="1"/>
  <c r="AF629" i="1"/>
  <c r="AG629" i="1"/>
  <c r="AH629" i="1"/>
  <c r="AF630" i="1"/>
  <c r="AG630" i="1"/>
  <c r="AH630" i="1"/>
  <c r="AF631" i="1"/>
  <c r="AG631" i="1"/>
  <c r="AH631" i="1"/>
  <c r="AF632" i="1"/>
  <c r="AG632" i="1"/>
  <c r="AH632" i="1"/>
  <c r="AF633" i="1"/>
  <c r="AG633" i="1"/>
  <c r="AH633" i="1"/>
  <c r="AF634" i="1"/>
  <c r="AG634" i="1"/>
  <c r="AH634" i="1"/>
  <c r="AF635" i="1"/>
  <c r="AG635" i="1"/>
  <c r="AH635" i="1"/>
  <c r="AF636" i="1"/>
  <c r="AG636" i="1"/>
  <c r="AH636" i="1"/>
  <c r="AF637" i="1"/>
  <c r="AG637" i="1"/>
  <c r="AH637" i="1"/>
  <c r="AF638" i="1"/>
  <c r="AG638" i="1"/>
  <c r="AH638" i="1"/>
  <c r="AF639" i="1"/>
  <c r="AG639" i="1"/>
  <c r="AH639" i="1"/>
  <c r="AF640" i="1"/>
  <c r="AG640" i="1"/>
  <c r="AH640" i="1"/>
  <c r="AF641" i="1"/>
  <c r="AG641" i="1"/>
  <c r="AH641" i="1"/>
  <c r="AF642" i="1"/>
  <c r="AG642" i="1"/>
  <c r="AH642" i="1"/>
  <c r="AF643" i="1"/>
  <c r="AG643" i="1"/>
  <c r="AH643" i="1"/>
  <c r="AF644" i="1"/>
  <c r="AG644" i="1"/>
  <c r="AH644" i="1"/>
  <c r="AF645" i="1"/>
  <c r="AG645" i="1"/>
  <c r="AH645" i="1"/>
  <c r="AF646" i="1"/>
  <c r="AG646" i="1"/>
  <c r="AH646" i="1"/>
  <c r="AF647" i="1"/>
  <c r="AG647" i="1"/>
  <c r="AH647" i="1"/>
  <c r="AF648" i="1"/>
  <c r="AG648" i="1"/>
  <c r="AH648" i="1"/>
  <c r="AF649" i="1"/>
  <c r="AG649" i="1"/>
  <c r="AH649" i="1"/>
  <c r="AF650" i="1"/>
  <c r="AG650" i="1"/>
  <c r="AH650" i="1"/>
  <c r="AF651" i="1"/>
  <c r="AG651" i="1"/>
  <c r="AH651" i="1"/>
  <c r="AF652" i="1"/>
  <c r="AG652" i="1"/>
  <c r="AH652" i="1"/>
  <c r="AF653" i="1"/>
  <c r="AG653" i="1"/>
  <c r="AH653" i="1"/>
  <c r="AF654" i="1"/>
  <c r="AG654" i="1"/>
  <c r="AH654" i="1"/>
  <c r="AF655" i="1"/>
  <c r="AG655" i="1"/>
  <c r="AH655" i="1"/>
  <c r="AF656" i="1"/>
  <c r="AG656" i="1"/>
  <c r="AH656" i="1"/>
  <c r="AF657" i="1"/>
  <c r="AG657" i="1"/>
  <c r="AH657" i="1"/>
  <c r="AF658" i="1"/>
  <c r="AG658" i="1"/>
  <c r="AH658" i="1"/>
  <c r="AF659" i="1"/>
  <c r="AG659" i="1"/>
  <c r="AH659" i="1"/>
  <c r="AF660" i="1"/>
  <c r="AG660" i="1"/>
  <c r="AH660" i="1"/>
  <c r="AF661" i="1"/>
  <c r="AG661" i="1"/>
  <c r="AH661" i="1"/>
  <c r="AF662" i="1"/>
  <c r="AG662" i="1"/>
  <c r="AH662" i="1"/>
  <c r="AF663" i="1"/>
  <c r="AG663" i="1"/>
  <c r="AH663" i="1"/>
  <c r="AF664" i="1"/>
  <c r="AG664" i="1"/>
  <c r="AH664" i="1"/>
  <c r="AF665" i="1"/>
  <c r="AG665" i="1"/>
  <c r="AH665" i="1"/>
  <c r="AF666" i="1"/>
  <c r="AG666" i="1"/>
  <c r="AH666" i="1"/>
  <c r="AF667" i="1"/>
  <c r="AG667" i="1"/>
  <c r="AH667" i="1"/>
  <c r="AF668" i="1"/>
  <c r="AG668" i="1"/>
  <c r="AH668" i="1"/>
  <c r="AF669" i="1"/>
  <c r="AG669" i="1"/>
  <c r="AH669" i="1"/>
  <c r="AF670" i="1"/>
  <c r="AG670" i="1"/>
  <c r="AH670" i="1"/>
  <c r="AF671" i="1"/>
  <c r="AG671" i="1"/>
  <c r="AH671" i="1"/>
  <c r="AF672" i="1"/>
  <c r="AG672" i="1"/>
  <c r="AH672" i="1"/>
  <c r="AF673" i="1"/>
  <c r="AG673" i="1"/>
  <c r="AH673" i="1"/>
  <c r="AF674" i="1"/>
  <c r="AG674" i="1"/>
  <c r="AH674" i="1"/>
  <c r="AF675" i="1"/>
  <c r="AG675" i="1"/>
  <c r="AH675" i="1"/>
  <c r="AF676" i="1"/>
  <c r="AG676" i="1"/>
  <c r="AH676" i="1"/>
  <c r="AF677" i="1"/>
  <c r="AG677" i="1"/>
  <c r="AH677" i="1"/>
  <c r="AF678" i="1"/>
  <c r="AG678" i="1"/>
  <c r="AH678" i="1"/>
  <c r="AF679" i="1"/>
  <c r="AG679" i="1"/>
  <c r="AH679" i="1"/>
  <c r="AF680" i="1"/>
  <c r="AG680" i="1"/>
  <c r="AH680" i="1"/>
  <c r="AF681" i="1"/>
  <c r="AG681" i="1"/>
  <c r="AH681" i="1"/>
  <c r="AF682" i="1"/>
  <c r="AG682" i="1"/>
  <c r="AH682" i="1"/>
  <c r="AF683" i="1"/>
  <c r="AG683" i="1"/>
  <c r="AH683" i="1"/>
  <c r="AF684" i="1"/>
  <c r="AG684" i="1"/>
  <c r="AH684" i="1"/>
  <c r="AF685" i="1"/>
  <c r="AG685" i="1"/>
  <c r="AH685" i="1"/>
  <c r="AF686" i="1"/>
  <c r="AG686" i="1"/>
  <c r="AH686" i="1"/>
  <c r="AF687" i="1"/>
  <c r="AG687" i="1"/>
  <c r="AH687" i="1"/>
  <c r="AF688" i="1"/>
  <c r="AG688" i="1"/>
  <c r="AH688" i="1"/>
  <c r="AF689" i="1"/>
  <c r="AG689" i="1"/>
  <c r="AH689" i="1"/>
  <c r="AF690" i="1"/>
  <c r="AG690" i="1"/>
  <c r="AH690" i="1"/>
  <c r="AF691" i="1"/>
  <c r="AG691" i="1"/>
  <c r="AH691" i="1"/>
  <c r="AF692" i="1"/>
  <c r="AG692" i="1"/>
  <c r="AH692" i="1"/>
  <c r="AF693" i="1"/>
  <c r="AG693" i="1"/>
  <c r="AH693" i="1"/>
  <c r="AF694" i="1"/>
  <c r="AG694" i="1"/>
  <c r="AH694" i="1"/>
  <c r="AF695" i="1"/>
  <c r="AG695" i="1"/>
  <c r="AH695" i="1"/>
  <c r="AF696" i="1"/>
  <c r="AG696" i="1"/>
  <c r="AH696" i="1"/>
  <c r="AF697" i="1"/>
  <c r="AG697" i="1"/>
  <c r="AH697" i="1"/>
  <c r="AF698" i="1"/>
  <c r="AG698" i="1"/>
  <c r="AH698" i="1"/>
  <c r="AF699" i="1"/>
  <c r="AG699" i="1"/>
  <c r="AH699" i="1"/>
  <c r="AF700" i="1"/>
  <c r="AG700" i="1"/>
  <c r="AH700" i="1"/>
  <c r="AF701" i="1"/>
  <c r="AG701" i="1"/>
  <c r="AH701" i="1"/>
  <c r="AF702" i="1"/>
  <c r="AG702" i="1"/>
  <c r="AH702" i="1"/>
  <c r="AF703" i="1"/>
  <c r="AG703" i="1"/>
  <c r="AH703" i="1"/>
  <c r="AF704" i="1"/>
  <c r="AG704" i="1"/>
  <c r="AH704" i="1"/>
  <c r="AF705" i="1"/>
  <c r="AG705" i="1"/>
  <c r="AH705" i="1"/>
  <c r="AF706" i="1"/>
  <c r="AG706" i="1"/>
  <c r="AH706" i="1"/>
  <c r="AF707" i="1"/>
  <c r="AG707" i="1"/>
  <c r="AH707" i="1"/>
  <c r="AF708" i="1"/>
  <c r="AG708" i="1"/>
  <c r="AH708" i="1"/>
  <c r="AF709" i="1"/>
  <c r="AG709" i="1"/>
  <c r="AH709" i="1"/>
  <c r="AF710" i="1"/>
  <c r="AG710" i="1"/>
  <c r="AH710" i="1"/>
  <c r="AF711" i="1"/>
  <c r="AG711" i="1"/>
  <c r="AH711" i="1"/>
  <c r="AF712" i="1"/>
  <c r="AG712" i="1"/>
  <c r="AH712" i="1"/>
  <c r="AF713" i="1"/>
  <c r="AG713" i="1"/>
  <c r="AH713" i="1"/>
  <c r="AF714" i="1"/>
  <c r="AG714" i="1"/>
  <c r="AH714" i="1"/>
  <c r="AF715" i="1"/>
  <c r="AG715" i="1"/>
  <c r="AH715" i="1"/>
  <c r="AF716" i="1"/>
  <c r="AG716" i="1"/>
  <c r="AH716" i="1"/>
  <c r="AF717" i="1"/>
  <c r="AG717" i="1"/>
  <c r="AH717" i="1"/>
  <c r="AF718" i="1"/>
  <c r="AG718" i="1"/>
  <c r="AH718" i="1"/>
  <c r="AF719" i="1"/>
  <c r="AG719" i="1"/>
  <c r="AH719" i="1"/>
  <c r="AF720" i="1"/>
  <c r="AG720" i="1"/>
  <c r="AH720" i="1"/>
  <c r="AF721" i="1"/>
  <c r="AG721" i="1"/>
  <c r="AH721" i="1"/>
  <c r="AF722" i="1"/>
  <c r="AG722" i="1"/>
  <c r="AH722" i="1"/>
  <c r="AF723" i="1"/>
  <c r="AG723" i="1"/>
  <c r="AH723" i="1"/>
  <c r="AF724" i="1"/>
  <c r="AG724" i="1"/>
  <c r="AF725" i="1"/>
  <c r="AG725" i="1"/>
  <c r="AH725" i="1"/>
  <c r="AF726" i="1"/>
  <c r="AG726" i="1"/>
  <c r="AH726" i="1"/>
  <c r="AF727" i="1"/>
  <c r="AG727" i="1"/>
  <c r="AH727" i="1"/>
  <c r="AF728" i="1"/>
  <c r="AG728" i="1"/>
  <c r="AH728" i="1"/>
  <c r="AF729" i="1"/>
  <c r="AG729" i="1"/>
  <c r="AH729" i="1"/>
  <c r="AF730" i="1"/>
  <c r="AG730" i="1"/>
  <c r="AH730" i="1"/>
  <c r="AF731" i="1"/>
  <c r="AG731" i="1"/>
  <c r="AH731" i="1"/>
  <c r="AF732" i="1"/>
  <c r="AG732" i="1"/>
  <c r="AH732" i="1"/>
  <c r="AF733" i="1"/>
  <c r="AG733" i="1"/>
  <c r="AH733" i="1"/>
  <c r="AF734" i="1"/>
  <c r="AG734" i="1"/>
  <c r="AH734" i="1"/>
  <c r="AF735" i="1"/>
  <c r="AG735" i="1"/>
  <c r="AH735" i="1"/>
  <c r="AF736" i="1"/>
  <c r="AG736" i="1"/>
  <c r="AH736" i="1"/>
  <c r="AF737" i="1"/>
  <c r="AG737" i="1"/>
  <c r="AH737" i="1"/>
  <c r="AF738" i="1"/>
  <c r="AG738" i="1"/>
  <c r="AH738" i="1"/>
  <c r="AF739" i="1"/>
  <c r="AG739" i="1"/>
  <c r="AH739" i="1"/>
  <c r="AF740" i="1"/>
  <c r="AG740" i="1"/>
  <c r="AH740" i="1"/>
  <c r="AF741" i="1"/>
  <c r="AG741" i="1"/>
  <c r="AH741" i="1"/>
  <c r="AF742" i="1"/>
  <c r="AG742" i="1"/>
  <c r="AH742" i="1"/>
  <c r="AF743" i="1"/>
  <c r="AG743" i="1"/>
  <c r="AH743" i="1"/>
  <c r="AF744" i="1"/>
  <c r="AG744" i="1"/>
  <c r="AH744" i="1"/>
  <c r="AF745" i="1"/>
  <c r="AG745" i="1"/>
  <c r="AH745" i="1"/>
  <c r="AF746" i="1"/>
  <c r="AG746" i="1"/>
  <c r="AF747" i="1"/>
  <c r="AG747" i="1"/>
  <c r="AH747" i="1"/>
  <c r="AF748" i="1"/>
  <c r="AG748" i="1"/>
  <c r="AH748" i="1"/>
  <c r="AF749" i="1"/>
  <c r="AG749" i="1"/>
  <c r="AH749" i="1"/>
  <c r="AF750" i="1"/>
  <c r="AG750" i="1"/>
  <c r="AH750" i="1"/>
  <c r="AF751" i="1"/>
  <c r="AG751" i="1"/>
  <c r="AH751" i="1"/>
  <c r="AF752" i="1"/>
  <c r="AG752" i="1"/>
  <c r="AH752" i="1"/>
  <c r="AF753" i="1"/>
  <c r="AG753" i="1"/>
  <c r="AH753" i="1"/>
  <c r="AF754" i="1"/>
  <c r="AG754" i="1"/>
  <c r="AH754" i="1"/>
  <c r="AF755" i="1"/>
  <c r="AG755" i="1"/>
  <c r="AH755" i="1"/>
  <c r="AF756" i="1"/>
  <c r="AG756" i="1"/>
  <c r="AH756" i="1"/>
  <c r="AF757" i="1"/>
  <c r="AG757" i="1"/>
  <c r="AH757" i="1"/>
  <c r="AF758" i="1"/>
  <c r="AG758" i="1"/>
  <c r="AH758" i="1"/>
  <c r="AF759" i="1"/>
  <c r="AG759" i="1"/>
  <c r="AH759" i="1"/>
  <c r="AF760" i="1"/>
  <c r="AG760" i="1"/>
  <c r="AH760" i="1"/>
  <c r="AF761" i="1"/>
  <c r="AG761" i="1"/>
  <c r="AH761" i="1"/>
  <c r="AF762" i="1"/>
  <c r="AG762" i="1"/>
  <c r="AH762" i="1"/>
  <c r="AF763" i="1"/>
  <c r="AG763" i="1"/>
  <c r="AH763" i="1"/>
  <c r="AF764" i="1"/>
  <c r="AG764" i="1"/>
  <c r="AH764" i="1"/>
  <c r="AF765" i="1"/>
  <c r="AG765" i="1"/>
  <c r="AH765" i="1"/>
  <c r="AF766" i="1"/>
  <c r="AG766" i="1"/>
  <c r="AH766" i="1"/>
  <c r="AF767" i="1"/>
  <c r="AG767" i="1"/>
  <c r="AH767" i="1"/>
  <c r="AF768" i="1"/>
  <c r="AG768" i="1"/>
  <c r="AH768" i="1"/>
  <c r="AF769" i="1"/>
  <c r="AG769" i="1"/>
  <c r="AH769" i="1"/>
  <c r="AF770" i="1"/>
  <c r="AG770" i="1"/>
  <c r="AH770" i="1"/>
  <c r="AF771" i="1"/>
  <c r="AG771" i="1"/>
  <c r="AH771" i="1"/>
  <c r="AF772" i="1"/>
  <c r="AG772" i="1"/>
  <c r="AH772" i="1"/>
  <c r="AF773" i="1"/>
  <c r="AG773" i="1"/>
  <c r="AH773" i="1"/>
  <c r="AF774" i="1"/>
  <c r="AG774" i="1"/>
  <c r="AH774" i="1"/>
  <c r="AF775" i="1"/>
  <c r="AG775" i="1"/>
  <c r="AH775" i="1"/>
  <c r="AF776" i="1"/>
  <c r="AG776" i="1"/>
  <c r="AH776" i="1"/>
  <c r="AF777" i="1"/>
  <c r="AG777" i="1"/>
  <c r="AH777" i="1"/>
  <c r="AF778" i="1"/>
  <c r="AG778" i="1"/>
  <c r="AH778" i="1"/>
  <c r="AF779" i="1"/>
  <c r="AG779" i="1"/>
  <c r="AH779" i="1"/>
  <c r="AF780" i="1"/>
  <c r="AG780" i="1"/>
  <c r="AH780" i="1"/>
  <c r="AF781" i="1"/>
  <c r="AG781" i="1"/>
  <c r="AH781" i="1"/>
  <c r="AF782" i="1"/>
  <c r="AG782" i="1"/>
  <c r="AH782" i="1"/>
  <c r="AF783" i="1"/>
  <c r="AG783" i="1"/>
  <c r="AH783" i="1"/>
  <c r="AF784" i="1"/>
  <c r="AG784" i="1"/>
  <c r="AH784" i="1"/>
  <c r="AF785" i="1"/>
  <c r="AG785" i="1"/>
  <c r="AH785" i="1"/>
  <c r="AF786" i="1"/>
  <c r="AG786" i="1"/>
  <c r="AH786" i="1"/>
  <c r="AF787" i="1"/>
  <c r="AG787" i="1"/>
  <c r="AH787" i="1"/>
  <c r="AF788" i="1"/>
  <c r="AG788" i="1"/>
  <c r="AH788" i="1"/>
  <c r="AF789" i="1"/>
  <c r="AG789" i="1"/>
  <c r="AH789" i="1"/>
  <c r="AF790" i="1"/>
  <c r="AG790" i="1"/>
  <c r="AH790" i="1"/>
  <c r="AF791" i="1"/>
  <c r="AG791" i="1"/>
  <c r="AH791" i="1"/>
  <c r="AF792" i="1"/>
  <c r="AG792" i="1"/>
  <c r="AH792" i="1"/>
  <c r="AF793" i="1"/>
  <c r="AG793" i="1"/>
  <c r="AH793" i="1"/>
  <c r="AF794" i="1"/>
  <c r="AG794" i="1"/>
  <c r="AH794" i="1"/>
  <c r="AF795" i="1"/>
  <c r="AG795" i="1"/>
  <c r="AH795" i="1"/>
  <c r="AF796" i="1"/>
  <c r="AG796" i="1"/>
  <c r="AH796" i="1"/>
  <c r="AF797" i="1"/>
  <c r="AG797" i="1"/>
  <c r="AH797" i="1"/>
  <c r="AF798" i="1"/>
  <c r="AG798" i="1"/>
  <c r="AH798" i="1"/>
  <c r="AF799" i="1"/>
  <c r="AG799" i="1"/>
  <c r="AH799" i="1"/>
  <c r="AF800" i="1"/>
  <c r="AG800" i="1"/>
  <c r="AH800" i="1"/>
  <c r="AF801" i="1"/>
  <c r="AG801" i="1"/>
  <c r="AH801" i="1"/>
  <c r="AF802" i="1"/>
  <c r="AG802" i="1"/>
  <c r="AH802" i="1"/>
  <c r="AF803" i="1"/>
  <c r="AG803" i="1"/>
  <c r="AH803" i="1"/>
  <c r="AF804" i="1"/>
  <c r="AG804" i="1"/>
  <c r="AH804" i="1"/>
  <c r="AF805" i="1"/>
  <c r="AG805" i="1"/>
  <c r="AH805" i="1"/>
  <c r="AF806" i="1"/>
  <c r="AG806" i="1"/>
  <c r="AH806" i="1"/>
  <c r="AF807" i="1"/>
  <c r="AG807" i="1"/>
  <c r="AH807" i="1"/>
  <c r="AF808" i="1"/>
  <c r="AG808" i="1"/>
  <c r="AH808" i="1"/>
  <c r="AF809" i="1"/>
  <c r="AG809" i="1"/>
  <c r="AH809" i="1"/>
  <c r="AF810" i="1"/>
  <c r="AG810" i="1"/>
  <c r="AH810" i="1"/>
  <c r="AF811" i="1"/>
  <c r="AG811" i="1"/>
  <c r="AH811" i="1"/>
  <c r="AF812" i="1"/>
  <c r="AG812" i="1"/>
  <c r="AH812" i="1"/>
  <c r="AF813" i="1"/>
  <c r="AG813" i="1"/>
  <c r="AH813" i="1"/>
  <c r="AF814" i="1"/>
  <c r="AG814" i="1"/>
  <c r="AH814" i="1"/>
  <c r="AF815" i="1"/>
  <c r="AG815" i="1"/>
  <c r="AH815" i="1"/>
  <c r="AF816" i="1"/>
  <c r="AG816" i="1"/>
  <c r="AH816" i="1"/>
  <c r="AF817" i="1"/>
  <c r="AG817" i="1"/>
  <c r="AH817" i="1"/>
  <c r="AF818" i="1"/>
  <c r="AG818" i="1"/>
  <c r="AH818" i="1"/>
  <c r="AF819" i="1"/>
  <c r="AG819" i="1"/>
  <c r="AH819" i="1"/>
  <c r="AF820" i="1"/>
  <c r="AG820" i="1"/>
  <c r="AH820" i="1"/>
  <c r="AH2" i="1"/>
  <c r="AG2" i="1"/>
  <c r="AF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8" i="1"/>
  <c r="O809" i="1"/>
  <c r="O810" i="1"/>
  <c r="O811" i="1"/>
  <c r="O812" i="1"/>
  <c r="O813" i="1"/>
  <c r="O814" i="1"/>
  <c r="O815" i="1"/>
  <c r="O816" i="1"/>
  <c r="O817" i="1"/>
  <c r="O818" i="1"/>
  <c r="O819" i="1"/>
  <c r="O820" i="1"/>
  <c r="O2" i="1"/>
  <c r="AC870" i="1"/>
  <c r="AD870" i="1" s="1"/>
  <c r="AC871" i="1"/>
  <c r="AD871" i="1" l="1"/>
  <c r="C29" i="24" s="1"/>
  <c r="AC872" i="1"/>
  <c r="AD872" i="1" s="1"/>
  <c r="AC892" i="1" l="1"/>
  <c r="AD892" i="1"/>
  <c r="AD875" i="1"/>
  <c r="AC907" i="1" l="1"/>
  <c r="AD907" i="1" s="1"/>
  <c r="AC908" i="1"/>
  <c r="AD908" i="1"/>
  <c r="AC909" i="1" l="1"/>
  <c r="AD909" i="1" s="1"/>
  <c r="AC910" i="1"/>
  <c r="AD910" i="1" s="1"/>
  <c r="AC911" i="1" l="1"/>
  <c r="AD911" i="1" s="1"/>
  <c r="AC926" i="1"/>
  <c r="AD926" i="1" s="1"/>
  <c r="AC927" i="1" l="1"/>
  <c r="AD927" i="1"/>
  <c r="AC932" i="1"/>
  <c r="AD932" i="1" s="1"/>
  <c r="AC935" i="1"/>
  <c r="AD935" i="1"/>
  <c r="AC942" i="1" l="1"/>
  <c r="AD942" i="1"/>
  <c r="AC943" i="1"/>
  <c r="AD943" i="1"/>
  <c r="C25" i="24" s="1"/>
  <c r="AC945" i="1" l="1"/>
  <c r="AD945" i="1"/>
  <c r="AC946" i="1"/>
  <c r="AD946" i="1"/>
  <c r="AC947" i="1" l="1"/>
  <c r="AD947" i="1"/>
  <c r="AC950" i="1"/>
  <c r="AD950" i="1" s="1"/>
  <c r="AC951" i="1" l="1"/>
  <c r="AD951" i="1"/>
  <c r="AC959" i="1"/>
  <c r="AD959" i="1"/>
  <c r="AD962" i="1" l="1"/>
  <c r="AD961" i="1"/>
  <c r="AD894" i="1"/>
  <c r="C26" i="24"/>
  <c r="AD874" i="1"/>
  <c r="AC976" i="1"/>
  <c r="AD976" i="1"/>
  <c r="AC977" i="1"/>
  <c r="AD977" i="1"/>
  <c r="AC978" i="1" l="1"/>
  <c r="AD978" i="1"/>
  <c r="AC980" i="1"/>
  <c r="AD980" i="1" s="1"/>
  <c r="AC979" i="1" l="1"/>
  <c r="AD979" i="1"/>
  <c r="AC981" i="1"/>
  <c r="AD981" i="1"/>
  <c r="AC982" i="1" l="1"/>
  <c r="AD982" i="1"/>
  <c r="AC983" i="1"/>
  <c r="AD983" i="1"/>
  <c r="AC984" i="1" l="1"/>
  <c r="AD984" i="1"/>
  <c r="AC986" i="1"/>
  <c r="AD986" i="1"/>
  <c r="AC987" i="1" l="1"/>
  <c r="AD987" i="1"/>
  <c r="AC988" i="1"/>
  <c r="AD988" i="1"/>
  <c r="AC989" i="1" l="1"/>
  <c r="AD989" i="1"/>
  <c r="AC990" i="1"/>
  <c r="AD990" i="1"/>
  <c r="AC993" i="1" l="1"/>
  <c r="AD993" i="1"/>
  <c r="AC994" i="1"/>
  <c r="AD994" i="1"/>
  <c r="AC1003" i="1" l="1"/>
  <c r="AD1003" i="1"/>
  <c r="C27" i="24" s="1"/>
  <c r="AD1012" i="1"/>
  <c r="AD1013" i="1"/>
  <c r="AD1014" i="1"/>
  <c r="AD1015" i="1"/>
  <c r="AD1016" i="1"/>
  <c r="C30" i="24" s="1"/>
  <c r="C15" i="24"/>
  <c r="AD1025" i="1"/>
  <c r="C16" i="24"/>
  <c r="C19" i="24"/>
  <c r="B41" i="24"/>
  <c r="B42"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Richardson, Sam</author>
  </authors>
  <commentList>
    <comment ref="R244" authorId="0" shapeId="0" xr:uid="{00000000-0006-0000-0000-000002000000}">
      <text>
        <r>
          <rPr>
            <sz val="11"/>
            <color theme="1"/>
            <rFont val="Calibri"/>
            <family val="2"/>
            <scheme val="minor"/>
          </rPr>
          <t>Richardson, Sam:
kkkiiii</t>
        </r>
      </text>
    </comment>
  </commentList>
</comments>
</file>

<file path=xl/sharedStrings.xml><?xml version="1.0" encoding="utf-8"?>
<sst xmlns="http://schemas.openxmlformats.org/spreadsheetml/2006/main" count="19757" uniqueCount="3588">
  <si>
    <t>Admin Fee Cost Avoidance</t>
  </si>
  <si>
    <t>Percentage of Reduction/Increase</t>
  </si>
  <si>
    <t>Total Cost Savings</t>
  </si>
  <si>
    <t>Total Shipping Costs</t>
  </si>
  <si>
    <t>Total Inbound Shipments</t>
  </si>
  <si>
    <t>Cost Per Unit (CPU)</t>
  </si>
  <si>
    <t>Cost Per Shipment</t>
  </si>
  <si>
    <t>Avg Cost Per Pallet</t>
  </si>
  <si>
    <t>Avg Cost Per Mile</t>
  </si>
  <si>
    <t>Total Cargo Value</t>
  </si>
  <si>
    <t>Cost as % of Cargo Value</t>
  </si>
  <si>
    <t>Total Units Shipped</t>
  </si>
  <si>
    <t>VAR Total Cost Savings</t>
  </si>
  <si>
    <t>VAR Total Shipping Costs</t>
  </si>
  <si>
    <t>VAR Cost Per Unit (CPU)</t>
  </si>
  <si>
    <t>VAR Avg Cost Per Pallet</t>
  </si>
  <si>
    <t>VAR Avg Cost Per Mile</t>
  </si>
  <si>
    <t>VAR Cost as % of Cargo Value</t>
  </si>
  <si>
    <t>Percentage of Increase</t>
  </si>
  <si>
    <t>Vendor Managed Inbound to RAD</t>
  </si>
  <si>
    <t>GTL Managed Inbound to RAD</t>
  </si>
  <si>
    <t>Year</t>
  </si>
  <si>
    <t>Supplier</t>
  </si>
  <si>
    <t>Ship Volume</t>
  </si>
  <si>
    <t>Total Units</t>
  </si>
  <si>
    <t>Total Cost</t>
  </si>
  <si>
    <t>Average Cost / Shipment</t>
  </si>
  <si>
    <t>CPU</t>
  </si>
  <si>
    <t>Avg Cost Variance ($)</t>
  </si>
  <si>
    <t>Cost Variance (%)</t>
  </si>
  <si>
    <t>CPU Variance ($)</t>
  </si>
  <si>
    <t>CPU Variance (%)</t>
  </si>
  <si>
    <t>Denali (Parcel)</t>
  </si>
  <si>
    <t>Scheider (Freight)</t>
  </si>
  <si>
    <t>Total</t>
  </si>
  <si>
    <t>DENALI</t>
  </si>
  <si>
    <t>SCHNEIDER ELECTRIC</t>
  </si>
  <si>
    <t>PROGRAM</t>
  </si>
  <si>
    <t>PROJECT
 TYPE</t>
  </si>
  <si>
    <t>ORIGIN WHID</t>
  </si>
  <si>
    <t>ORIGIN STATE </t>
  </si>
  <si>
    <t>DEST WHID</t>
  </si>
  <si>
    <t>DEST STATE / PROV</t>
  </si>
  <si>
    <t>BOL# </t>
  </si>
  <si>
    <t>NBD</t>
  </si>
  <si>
    <t>ESCALATED?</t>
  </si>
  <si>
    <t>PRO/TRACKING</t>
  </si>
  <si>
    <t>PICKUP DATE</t>
  </si>
  <si>
    <t>OT P/U?</t>
  </si>
  <si>
    <t xml:space="preserve">ETA DATE </t>
  </si>
  <si>
    <t>DLV DATE</t>
  </si>
  <si>
    <t>Total Transit Time (# of Days)</t>
  </si>
  <si>
    <t>OT Delv?</t>
  </si>
  <si>
    <t>Issues?</t>
  </si>
  <si>
    <t xml:space="preserve">   </t>
  </si>
  <si>
    <t>DLV MILES </t>
  </si>
  <si>
    <t>REF # </t>
  </si>
  <si>
    <t>PALLETS</t>
  </si>
  <si>
    <t>UNITS</t>
  </si>
  <si>
    <t>WGT (LBS</t>
  </si>
  <si>
    <t>MODE</t>
  </si>
  <si>
    <t>CARRIER ACCOUNT</t>
  </si>
  <si>
    <t>CARRIER</t>
  </si>
  <si>
    <t>SERVICE LEVEL</t>
  </si>
  <si>
    <t>SERVICE COST</t>
  </si>
  <si>
    <t>QUOTED COST FROM SUPPLIER</t>
  </si>
  <si>
    <t>COST SAVINGS</t>
  </si>
  <si>
    <t>CARGO VALUE</t>
  </si>
  <si>
    <t>Cost per Skid</t>
  </si>
  <si>
    <t>Cost per Unit</t>
  </si>
  <si>
    <t>Cost per Mile</t>
  </si>
  <si>
    <t>Cost Center</t>
  </si>
  <si>
    <t>GL String / PO #</t>
  </si>
  <si>
    <t>Inbound</t>
  </si>
  <si>
    <t>Vendor to Site</t>
  </si>
  <si>
    <t>PA</t>
  </si>
  <si>
    <t>TTN2</t>
  </si>
  <si>
    <t>NJ</t>
  </si>
  <si>
    <t>RXO6225764</t>
  </si>
  <si>
    <t>No</t>
  </si>
  <si>
    <t>138875133</t>
  </si>
  <si>
    <t>Yes</t>
  </si>
  <si>
    <t>Awaiting delivery appt; site contacted twice to make delivery appt. Delivery appt finally made on 1/22.</t>
  </si>
  <si>
    <t>2D-19833922</t>
  </si>
  <si>
    <t>LTL</t>
  </si>
  <si>
    <t>RXO</t>
  </si>
  <si>
    <t>XPO LOGISTICS</t>
  </si>
  <si>
    <t>GROUND</t>
  </si>
  <si>
    <t>1085</t>
  </si>
  <si>
    <t>2D-20454099</t>
  </si>
  <si>
    <t>CA</t>
  </si>
  <si>
    <t>AUS3</t>
  </si>
  <si>
    <t>TX</t>
  </si>
  <si>
    <t>RXO6227023</t>
  </si>
  <si>
    <t>138875365</t>
  </si>
  <si>
    <t>N/A</t>
  </si>
  <si>
    <t>2D-19819566</t>
  </si>
  <si>
    <t>1290</t>
  </si>
  <si>
    <t>2D-18027285</t>
  </si>
  <si>
    <t>WA</t>
  </si>
  <si>
    <t>SEA109</t>
  </si>
  <si>
    <t>RXO6254027</t>
  </si>
  <si>
    <t>59738987359</t>
  </si>
  <si>
    <t>Driver told site doesn't receive freight; onsite POC provided correct dock and phone number for redelivery on 1/8</t>
  </si>
  <si>
    <t>2D-19224048</t>
  </si>
  <si>
    <t>OLD DOMINION</t>
  </si>
  <si>
    <t>7812</t>
  </si>
  <si>
    <t>2D-20412467</t>
  </si>
  <si>
    <t>TPA8</t>
  </si>
  <si>
    <t>FL</t>
  </si>
  <si>
    <t xml:space="preserve"> RXONC20O05XEV56A26</t>
  </si>
  <si>
    <t>Driver had family emergency on 1/12; RXO found another driver to deliver on 1/13</t>
  </si>
  <si>
    <t>2D-19570095</t>
  </si>
  <si>
    <t>FTL</t>
  </si>
  <si>
    <t>YLD TRANSPORT INC</t>
  </si>
  <si>
    <t>1173</t>
  </si>
  <si>
    <t>2D-19973674</t>
  </si>
  <si>
    <t>IAH5</t>
  </si>
  <si>
    <t>RXO6266501</t>
  </si>
  <si>
    <t>178325114</t>
  </si>
  <si>
    <t>2D-19878523</t>
  </si>
  <si>
    <t>2D-18027278</t>
  </si>
  <si>
    <t>RXO6266361</t>
  </si>
  <si>
    <t>178325125</t>
  </si>
  <si>
    <t>2D-19869169</t>
  </si>
  <si>
    <t>SJC8</t>
  </si>
  <si>
    <t>RXONC20OTEC2TY7A26</t>
  </si>
  <si>
    <t>2D-19276008</t>
  </si>
  <si>
    <t>G T LOGISTICS</t>
  </si>
  <si>
    <t>2D-19966575</t>
  </si>
  <si>
    <t>OWD9</t>
  </si>
  <si>
    <t>MA</t>
  </si>
  <si>
    <t>RXO6288660</t>
  </si>
  <si>
    <t>138884045</t>
  </si>
  <si>
    <t>2D-19916799</t>
  </si>
  <si>
    <t>LGB3</t>
  </si>
  <si>
    <t>RXO6299350</t>
  </si>
  <si>
    <t>138886554</t>
  </si>
  <si>
    <t>Pickup originally scheduled for 1/9</t>
  </si>
  <si>
    <t>2D-19920350</t>
  </si>
  <si>
    <t>Vendor to RAD</t>
  </si>
  <si>
    <t>RAD1</t>
  </si>
  <si>
    <t>TN</t>
  </si>
  <si>
    <t>RXO6343885</t>
  </si>
  <si>
    <t>138892246</t>
  </si>
  <si>
    <t>Awaiting delivery appt; appt scheduled for 1/21</t>
  </si>
  <si>
    <t>2D-19010710</t>
  </si>
  <si>
    <t>1060</t>
  </si>
  <si>
    <t>2D-20053262</t>
  </si>
  <si>
    <t>DPD4</t>
  </si>
  <si>
    <t>OR</t>
  </si>
  <si>
    <t>RXO6371067</t>
  </si>
  <si>
    <t>2938031892</t>
  </si>
  <si>
    <t>2D-20005187</t>
  </si>
  <si>
    <t>ESTES EXPRESS LINES</t>
  </si>
  <si>
    <t>1172</t>
  </si>
  <si>
    <t>STX4</t>
  </si>
  <si>
    <t>RXO6371500</t>
  </si>
  <si>
    <t>121495229100</t>
  </si>
  <si>
    <t>2D-20023807</t>
  </si>
  <si>
    <t>SAIA MOTOR FREIGHT LINES</t>
  </si>
  <si>
    <t>DVL4</t>
  </si>
  <si>
    <t>NV</t>
  </si>
  <si>
    <t>RXO6371780</t>
  </si>
  <si>
    <t>138896601</t>
  </si>
  <si>
    <t>2D-20035279</t>
  </si>
  <si>
    <t>DLV7</t>
  </si>
  <si>
    <t>RXO6372046</t>
  </si>
  <si>
    <t>138896634</t>
  </si>
  <si>
    <t>2D-20035280</t>
  </si>
  <si>
    <t>DLV2</t>
  </si>
  <si>
    <t>RXO6372233</t>
  </si>
  <si>
    <t>138896726</t>
  </si>
  <si>
    <t>2D-20035262</t>
  </si>
  <si>
    <t>HLV1</t>
  </si>
  <si>
    <t>RXO6372682</t>
  </si>
  <si>
    <t>138896811</t>
  </si>
  <si>
    <t>2D-20035281</t>
  </si>
  <si>
    <t>1067</t>
  </si>
  <si>
    <t>RXO6391057</t>
  </si>
  <si>
    <t>138898841</t>
  </si>
  <si>
    <t>Carrier arrived after 4pm on 1/23, receive team not available to download. New appt scheduled for 1/30 at 12pm.</t>
  </si>
  <si>
    <t>2D-20004237</t>
  </si>
  <si>
    <t>1084</t>
  </si>
  <si>
    <t>RXO6395594</t>
  </si>
  <si>
    <t>0248881230</t>
  </si>
  <si>
    <t>Pickup originally scheduled for 1/20; delivery appt made for 1/28. Carrier did not show up. Delivery appt made for 2/3</t>
  </si>
  <si>
    <t>2D-20032788</t>
  </si>
  <si>
    <t>SLC1</t>
  </si>
  <si>
    <t>UT</t>
  </si>
  <si>
    <t>RXO6397159</t>
  </si>
  <si>
    <t>2930081672</t>
  </si>
  <si>
    <t>2D-20048918</t>
  </si>
  <si>
    <t>HOU6</t>
  </si>
  <si>
    <t>RXO6396248</t>
  </si>
  <si>
    <t>138899902</t>
  </si>
  <si>
    <t>2D-18704369</t>
  </si>
  <si>
    <t>RXO6396517</t>
  </si>
  <si>
    <t>138899994</t>
  </si>
  <si>
    <t>Inclement weather near date of delivery; delivery appt scheduled for 2/6</t>
  </si>
  <si>
    <t>2D-20046415</t>
  </si>
  <si>
    <t>SWA5</t>
  </si>
  <si>
    <t>RXO6410867</t>
  </si>
  <si>
    <t>2358063475</t>
  </si>
  <si>
    <t>2D-19437804</t>
  </si>
  <si>
    <t>2D-20127131</t>
  </si>
  <si>
    <t>LUK2</t>
  </si>
  <si>
    <t>OH</t>
  </si>
  <si>
    <t>RXONC20O3NUYRHLA26</t>
  </si>
  <si>
    <t>2D-18059221 2D-17905562</t>
  </si>
  <si>
    <t>GROUND EXPRESS LLC</t>
  </si>
  <si>
    <t>2D-20129254</t>
  </si>
  <si>
    <t>RDU1</t>
  </si>
  <si>
    <t>NC</t>
  </si>
  <si>
    <t>RXO6421540</t>
  </si>
  <si>
    <t>138903575</t>
  </si>
  <si>
    <t>2D-19648985</t>
  </si>
  <si>
    <t>MQJ2</t>
  </si>
  <si>
    <t>IN</t>
  </si>
  <si>
    <t>RXO6421835</t>
  </si>
  <si>
    <t>5055151547</t>
  </si>
  <si>
    <t>2D-20063543</t>
  </si>
  <si>
    <t>PITT OHIO EXPRESS</t>
  </si>
  <si>
    <t>RXO6450759</t>
  </si>
  <si>
    <t>0248881909</t>
  </si>
  <si>
    <t>Delivery appt scheduled for 2/3</t>
  </si>
  <si>
    <t>2D-19972156</t>
  </si>
  <si>
    <t>WWT</t>
  </si>
  <si>
    <t>IL</t>
  </si>
  <si>
    <t>MQJ9</t>
  </si>
  <si>
    <t>RXO6467305</t>
  </si>
  <si>
    <t>34198815</t>
  </si>
  <si>
    <t>Original pickup date on 1/28. Dock supervisor rejected truck but didn't realize he was already sent the BOL 3 hours prior.</t>
  </si>
  <si>
    <t>2D-19493807</t>
  </si>
  <si>
    <t>DAYTON FREIGHT LINES</t>
  </si>
  <si>
    <t>2D-20192827</t>
  </si>
  <si>
    <t>RXO6461424</t>
  </si>
  <si>
    <t>360097986</t>
  </si>
  <si>
    <t>Delivery appt scheduled for 2/2; rescheduled for 2/6</t>
  </si>
  <si>
    <t>2D-19734426</t>
  </si>
  <si>
    <t>1061</t>
  </si>
  <si>
    <t>2D-20184532</t>
  </si>
  <si>
    <t>RIC6</t>
  </si>
  <si>
    <t>VA</t>
  </si>
  <si>
    <t>RXONC20O11YRIYTA26</t>
  </si>
  <si>
    <t>2D-17506884</t>
  </si>
  <si>
    <t>BG 011 LLC</t>
  </si>
  <si>
    <t>2D-20206125</t>
  </si>
  <si>
    <t>SUT3</t>
  </si>
  <si>
    <t>RXONC20ODCZZ2GSA26</t>
  </si>
  <si>
    <t>2D-19401897</t>
  </si>
  <si>
    <t>SHOD EXPRESS</t>
  </si>
  <si>
    <t>2D-20198327</t>
  </si>
  <si>
    <t>DGS3</t>
  </si>
  <si>
    <t>SC</t>
  </si>
  <si>
    <t>RXO6474872</t>
  </si>
  <si>
    <t>317980666</t>
  </si>
  <si>
    <t>2D-19965883</t>
  </si>
  <si>
    <t>2D-20199408</t>
  </si>
  <si>
    <t>PCW1</t>
  </si>
  <si>
    <t>RXO6486130</t>
  </si>
  <si>
    <t>5055152049</t>
  </si>
  <si>
    <t>2D-20048465</t>
  </si>
  <si>
    <t>2D-20213194</t>
  </si>
  <si>
    <t>BDL2</t>
  </si>
  <si>
    <t>CT</t>
  </si>
  <si>
    <t>RXO6494263</t>
  </si>
  <si>
    <t>317980843</t>
  </si>
  <si>
    <t>Inclement weather near date of delivery</t>
  </si>
  <si>
    <t>2D-19503761</t>
  </si>
  <si>
    <t>2D-20223002</t>
  </si>
  <si>
    <t>HGR1</t>
  </si>
  <si>
    <t>MI</t>
  </si>
  <si>
    <t>RXO6494400</t>
  </si>
  <si>
    <t>317980832</t>
  </si>
  <si>
    <t>2D-19682085</t>
  </si>
  <si>
    <t>27-20223093</t>
  </si>
  <si>
    <t>AVP9</t>
  </si>
  <si>
    <t>RXO6495495</t>
  </si>
  <si>
    <t>5055151472</t>
  </si>
  <si>
    <t>2D-19679160</t>
  </si>
  <si>
    <t>2D-20223095</t>
  </si>
  <si>
    <t>TOL3</t>
  </si>
  <si>
    <t>RXO6491697</t>
  </si>
  <si>
    <t>5055152179</t>
  </si>
  <si>
    <t>2D-19239834</t>
  </si>
  <si>
    <t>2D-20215379</t>
  </si>
  <si>
    <t>CAZ5</t>
  </si>
  <si>
    <t>RXO6485336</t>
  </si>
  <si>
    <t>178932191</t>
  </si>
  <si>
    <t>2D-20149971</t>
  </si>
  <si>
    <t>DEN2</t>
  </si>
  <si>
    <t>CO</t>
  </si>
  <si>
    <t>RXO6499620</t>
  </si>
  <si>
    <t>138916013</t>
  </si>
  <si>
    <t>2D-20181256</t>
  </si>
  <si>
    <t>RXONC20OFSOFRJ2B26</t>
  </si>
  <si>
    <t>2D-17509383</t>
  </si>
  <si>
    <t>VIS INC</t>
  </si>
  <si>
    <t>2D-20241620</t>
  </si>
  <si>
    <t>RXONC20OFM52E02B26</t>
  </si>
  <si>
    <t>UNITED LANE LLC</t>
  </si>
  <si>
    <t>MTN1</t>
  </si>
  <si>
    <t>DE</t>
  </si>
  <si>
    <t>RXONC20OMQXX4L2B26</t>
  </si>
  <si>
    <t>2D-17905557 2D-18059220</t>
  </si>
  <si>
    <t>CADENCE PREMIER CARGO</t>
  </si>
  <si>
    <t>2D-20241623</t>
  </si>
  <si>
    <t>RXO6522224</t>
  </si>
  <si>
    <t>138919222</t>
  </si>
  <si>
    <t>Delivery appt set for 2/10</t>
  </si>
  <si>
    <t>2D-20183715 2D-20181430 2D-20212630</t>
  </si>
  <si>
    <t>RXO6535880</t>
  </si>
  <si>
    <t>138921322</t>
  </si>
  <si>
    <t>2D-20049875</t>
  </si>
  <si>
    <t>2D-20269505</t>
  </si>
  <si>
    <t>RXO6536077</t>
  </si>
  <si>
    <t>138921381</t>
  </si>
  <si>
    <t>2D-20149973</t>
  </si>
  <si>
    <t>2D-20268884</t>
  </si>
  <si>
    <t>RXONC20OORT1QD5B26</t>
  </si>
  <si>
    <t>Attempted delivery late 2/6 but dockclosed; delivering on 2/9. Carrier arrived and site said driver must offload. Site did not specify that requirement; increased cost.</t>
  </si>
  <si>
    <t>WHITE HILL LLC</t>
  </si>
  <si>
    <t>2D-20288326</t>
  </si>
  <si>
    <t>RXONC20OB41ZPM6B26</t>
  </si>
  <si>
    <t>2D-20210085 2D-20210089</t>
  </si>
  <si>
    <t>OVERLOG INC</t>
  </si>
  <si>
    <t>RXO6585466</t>
  </si>
  <si>
    <t>789772896</t>
  </si>
  <si>
    <t>2D-20246922</t>
  </si>
  <si>
    <t>MEM4</t>
  </si>
  <si>
    <t>RXO6602696</t>
  </si>
  <si>
    <t>789776363</t>
  </si>
  <si>
    <t>2D-20264425</t>
  </si>
  <si>
    <t>RXONC20OANA1RECB26</t>
  </si>
  <si>
    <t>2D-20106529 2D-20106658 2D-20107015 2D-20110863 2D-19165914 2D-19913873 2D-19930951 2D-19914064 2D-19913702 2D-19913703 2D-19913853</t>
  </si>
  <si>
    <t>AGH TRANSPORT</t>
  </si>
  <si>
    <t>2D-20356082</t>
  </si>
  <si>
    <t>DSX7</t>
  </si>
  <si>
    <t>RXO6653461</t>
  </si>
  <si>
    <t>121496309503</t>
  </si>
  <si>
    <t>2D-20131500</t>
  </si>
  <si>
    <t>SAIA MOTOR FREIGHT LINE</t>
  </si>
  <si>
    <t>2D-20346741</t>
  </si>
  <si>
    <t>DCA1</t>
  </si>
  <si>
    <t>MD</t>
  </si>
  <si>
    <t>RXO6652954</t>
  </si>
  <si>
    <t>5055151950</t>
  </si>
  <si>
    <t>2D-19756506</t>
  </si>
  <si>
    <t>2D-20400650</t>
  </si>
  <si>
    <t>RXO6652136</t>
  </si>
  <si>
    <t>5055151926</t>
  </si>
  <si>
    <t>2D-19770683</t>
  </si>
  <si>
    <t>RXO6653851</t>
  </si>
  <si>
    <t>121496307403</t>
  </si>
  <si>
    <t>2D-19813301</t>
  </si>
  <si>
    <t>BNAX</t>
  </si>
  <si>
    <t>RXO6653984</t>
  </si>
  <si>
    <t>121496321403</t>
  </si>
  <si>
    <t>2D-19814511</t>
  </si>
  <si>
    <t>FWA6</t>
  </si>
  <si>
    <t>RXO6654240</t>
  </si>
  <si>
    <t>5055151985</t>
  </si>
  <si>
    <t>2D-19496350</t>
  </si>
  <si>
    <t>ROC1</t>
  </si>
  <si>
    <t>NY</t>
  </si>
  <si>
    <t>RXO6654380</t>
  </si>
  <si>
    <t>789783680</t>
  </si>
  <si>
    <t>2D-19496349</t>
  </si>
  <si>
    <t>AGS1</t>
  </si>
  <si>
    <t>GA</t>
  </si>
  <si>
    <t>RXO6654473</t>
  </si>
  <si>
    <t>789783702</t>
  </si>
  <si>
    <t>2D-19496351</t>
  </si>
  <si>
    <t>WIO4</t>
  </si>
  <si>
    <t>IA</t>
  </si>
  <si>
    <t>RXO6654582</t>
  </si>
  <si>
    <t>00034198959</t>
  </si>
  <si>
    <t>2D-20235384</t>
  </si>
  <si>
    <t>2D-20363384</t>
  </si>
  <si>
    <t>RYY2</t>
  </si>
  <si>
    <t>RXO6654664</t>
  </si>
  <si>
    <t>789783772</t>
  </si>
  <si>
    <t>2D-19868118</t>
  </si>
  <si>
    <t>ATL2</t>
  </si>
  <si>
    <t>RXO6654888</t>
  </si>
  <si>
    <t>789783816</t>
  </si>
  <si>
    <t>2D-20200709 2D-20200706</t>
  </si>
  <si>
    <t>RXO6654799</t>
  </si>
  <si>
    <t>00034198962</t>
  </si>
  <si>
    <t>2D-19858736 2D-20153323</t>
  </si>
  <si>
    <t>IAG1</t>
  </si>
  <si>
    <t>RXO6655044</t>
  </si>
  <si>
    <t>789783820</t>
  </si>
  <si>
    <t>2D-20049267</t>
  </si>
  <si>
    <t>MCI4</t>
  </si>
  <si>
    <t>MO</t>
  </si>
  <si>
    <t>RXO6655188</t>
  </si>
  <si>
    <t>5055152028</t>
  </si>
  <si>
    <t>2D-20027847</t>
  </si>
  <si>
    <t>SAL4</t>
  </si>
  <si>
    <t>AL</t>
  </si>
  <si>
    <t>RXO6655279</t>
  </si>
  <si>
    <t>789783923</t>
  </si>
  <si>
    <t>2D-20041528</t>
  </si>
  <si>
    <t>SCF2</t>
  </si>
  <si>
    <t>RXO6655740</t>
  </si>
  <si>
    <t>317999161</t>
  </si>
  <si>
    <t>2D-20139809</t>
  </si>
  <si>
    <t>22271069</t>
  </si>
  <si>
    <t>2D-19734431</t>
  </si>
  <si>
    <t>DELTA FREIGHT SYSTEMS</t>
  </si>
  <si>
    <t>22270950</t>
  </si>
  <si>
    <t>VIPER FREIGHT</t>
  </si>
  <si>
    <t>22288312</t>
  </si>
  <si>
    <t>ARIES FREIGHT GROUP</t>
  </si>
  <si>
    <t>RAD13</t>
  </si>
  <si>
    <t>RXO6681658</t>
  </si>
  <si>
    <t>789787924</t>
  </si>
  <si>
    <t>2D-19794540</t>
  </si>
  <si>
    <t>PSP3</t>
  </si>
  <si>
    <t>RXO6682264</t>
  </si>
  <si>
    <t>6188139090</t>
  </si>
  <si>
    <t>2D-20272961</t>
  </si>
  <si>
    <t>FEDEX FREIGHT</t>
  </si>
  <si>
    <t>1391</t>
  </si>
  <si>
    <t>RXO6684938</t>
  </si>
  <si>
    <t>789788414</t>
  </si>
  <si>
    <t>2D-20328127 2D-20328227 2D-20327978 2D-20329429</t>
  </si>
  <si>
    <t>WTX5</t>
  </si>
  <si>
    <t>RXO6685068</t>
  </si>
  <si>
    <t>121496473303</t>
  </si>
  <si>
    <t>2D-20378595</t>
  </si>
  <si>
    <t>BOS38</t>
  </si>
  <si>
    <t>RXO6692456</t>
  </si>
  <si>
    <t>121496522303</t>
  </si>
  <si>
    <t>2D-20034603</t>
  </si>
  <si>
    <t>5776</t>
  </si>
  <si>
    <t>HOU2</t>
  </si>
  <si>
    <t>RXO6695723</t>
  </si>
  <si>
    <t>789790105</t>
  </si>
  <si>
    <t>2D-20395158</t>
  </si>
  <si>
    <t>ACY5</t>
  </si>
  <si>
    <t>RXO6714550</t>
  </si>
  <si>
    <t>5055152223</t>
  </si>
  <si>
    <t>2D-19944185</t>
  </si>
  <si>
    <t>DDP3</t>
  </si>
  <si>
    <t>RXO6714828</t>
  </si>
  <si>
    <t>5055151337</t>
  </si>
  <si>
    <t>2D-19944187</t>
  </si>
  <si>
    <t>LCT2</t>
  </si>
  <si>
    <t>22318423</t>
  </si>
  <si>
    <t>2D-19097803</t>
  </si>
  <si>
    <t>BARRU GROUP</t>
  </si>
  <si>
    <t>22318435</t>
  </si>
  <si>
    <t>MAX MOVE LLC</t>
  </si>
  <si>
    <t>YOW3</t>
  </si>
  <si>
    <t>ON</t>
  </si>
  <si>
    <t>RXO6718441</t>
  </si>
  <si>
    <t>0948205088</t>
  </si>
  <si>
    <t>Followed up with RXO on 3/6, told they were needing CI and Broker info. Reminded them that was already sent to RXO on 2/25.</t>
  </si>
  <si>
    <t>5Z-19985949 
5Z-20043225</t>
  </si>
  <si>
    <t>SNA4</t>
  </si>
  <si>
    <t>RXO6715359</t>
  </si>
  <si>
    <t>789791936</t>
  </si>
  <si>
    <t>2D-19882321</t>
  </si>
  <si>
    <t>RXO6718825</t>
  </si>
  <si>
    <t>00034198974</t>
  </si>
  <si>
    <t>2D-19901144 2D-20168935 2D-20370781</t>
  </si>
  <si>
    <t>YYZ4</t>
  </si>
  <si>
    <t>RXO6721042</t>
  </si>
  <si>
    <t>P3128748</t>
  </si>
  <si>
    <t>Reached out to RXO on 3/6 about excessive transit time; followed up on 3/11 about it still not being delivered. Resent documents to broker; cleared Customs on 3/13.</t>
  </si>
  <si>
    <t>5Z-20078179</t>
  </si>
  <si>
    <t>POLARIS TRANSPORT CARRIERS</t>
  </si>
  <si>
    <t>SAX2</t>
  </si>
  <si>
    <t>RXO6718954</t>
  </si>
  <si>
    <t>789792286</t>
  </si>
  <si>
    <t>2D-20268019</t>
  </si>
  <si>
    <t>1235</t>
  </si>
  <si>
    <t>BOS35</t>
  </si>
  <si>
    <t>RXO6715748</t>
  </si>
  <si>
    <t>121496541001</t>
  </si>
  <si>
    <t>2D-19534295</t>
  </si>
  <si>
    <t>7013</t>
  </si>
  <si>
    <t>RXO6715822</t>
  </si>
  <si>
    <t>121496541600</t>
  </si>
  <si>
    <t>2D-20041026</t>
  </si>
  <si>
    <t>RIC4</t>
  </si>
  <si>
    <t>RXO6715903</t>
  </si>
  <si>
    <t>5055151390</t>
  </si>
  <si>
    <t>2D-19368885</t>
  </si>
  <si>
    <t>RXO6715965</t>
  </si>
  <si>
    <t>121496544501</t>
  </si>
  <si>
    <t>2D-19950316</t>
  </si>
  <si>
    <t>RXO6716116</t>
  </si>
  <si>
    <t>121496547200</t>
  </si>
  <si>
    <t>2D-19142607</t>
  </si>
  <si>
    <t>MDW7</t>
  </si>
  <si>
    <t>RXO6716266</t>
  </si>
  <si>
    <t>00034199127</t>
  </si>
  <si>
    <t>2D-19934863</t>
  </si>
  <si>
    <t>SVA4</t>
  </si>
  <si>
    <t>RXO6716438</t>
  </si>
  <si>
    <t>5055151419</t>
  </si>
  <si>
    <t>2D-20036844</t>
  </si>
  <si>
    <t>RXO6728622</t>
  </si>
  <si>
    <t>789794025</t>
  </si>
  <si>
    <t>22332602</t>
  </si>
  <si>
    <t>2D-18272643</t>
  </si>
  <si>
    <t>SERVE YOU TRANSPORTERS</t>
  </si>
  <si>
    <t>22344236</t>
  </si>
  <si>
    <t>PREMIUM EXPRESS TRUCKING</t>
  </si>
  <si>
    <t>DUT5</t>
  </si>
  <si>
    <t>RXO6740417</t>
  </si>
  <si>
    <t>789795786</t>
  </si>
  <si>
    <t>2D-20425871</t>
  </si>
  <si>
    <t>SOH6</t>
  </si>
  <si>
    <t>22344631</t>
  </si>
  <si>
    <t>2D-20415240</t>
  </si>
  <si>
    <t>SIERRA LOGISTICS GROUP</t>
  </si>
  <si>
    <t>22357825</t>
  </si>
  <si>
    <t>2D-20470343</t>
  </si>
  <si>
    <t>KII TRANSPORTATION</t>
  </si>
  <si>
    <t>DDE8</t>
  </si>
  <si>
    <t>RXO6766990</t>
  </si>
  <si>
    <t>789804503</t>
  </si>
  <si>
    <t>2D-20467889</t>
  </si>
  <si>
    <t>DEN7</t>
  </si>
  <si>
    <t>RXO6767186</t>
  </si>
  <si>
    <t>789805004</t>
  </si>
  <si>
    <t>2D-20467506</t>
  </si>
  <si>
    <t>SAT1</t>
  </si>
  <si>
    <t>RXO6767232</t>
  </si>
  <si>
    <t>121496749803</t>
  </si>
  <si>
    <t>2D-20479058</t>
  </si>
  <si>
    <t>22378599</t>
  </si>
  <si>
    <t>2D-20301145  2D-17561589  2D-19582475  2D-19304072  2D-20252566  2D-20110863  2D-20225008  2D-19166720</t>
  </si>
  <si>
    <t>SHALOM TRANS INC</t>
  </si>
  <si>
    <t>BJC1</t>
  </si>
  <si>
    <t>22379403</t>
  </si>
  <si>
    <t>2D-19657497 2D-20297538</t>
  </si>
  <si>
    <t>NJARO LOGISTICS LLC</t>
  </si>
  <si>
    <t>CHA1</t>
  </si>
  <si>
    <t>RXO6783348</t>
  </si>
  <si>
    <t>789798844</t>
  </si>
  <si>
    <t>2D-19161359</t>
  </si>
  <si>
    <t>PDX8</t>
  </si>
  <si>
    <t>RXO6783654</t>
  </si>
  <si>
    <t>789800653</t>
  </si>
  <si>
    <t>2D-20148092</t>
  </si>
  <si>
    <t>ILM1</t>
  </si>
  <si>
    <t>RXO6785095</t>
  </si>
  <si>
    <t>606937380</t>
  </si>
  <si>
    <t>2D-20273374</t>
  </si>
  <si>
    <t>RXO6786078</t>
  </si>
  <si>
    <t>121496837101</t>
  </si>
  <si>
    <t>RXO6785028</t>
  </si>
  <si>
    <t>5056000333</t>
  </si>
  <si>
    <t>Original pickup was 3/3; picked requested multiple times through RXO but still not picked up. Told by RXO that pickup is 3/18.</t>
  </si>
  <si>
    <t>2D-20037663</t>
  </si>
  <si>
    <t>DMP4</t>
  </si>
  <si>
    <t>MN</t>
  </si>
  <si>
    <t>RXO6786364</t>
  </si>
  <si>
    <t>121496838501</t>
  </si>
  <si>
    <t>2D-20222634</t>
  </si>
  <si>
    <t>BOS27</t>
  </si>
  <si>
    <t>RXO6787587</t>
  </si>
  <si>
    <t>121496842600</t>
  </si>
  <si>
    <t xml:space="preserve">2D-20434273 </t>
  </si>
  <si>
    <t>7001</t>
  </si>
  <si>
    <t>HDC3</t>
  </si>
  <si>
    <t>RXO6792248</t>
  </si>
  <si>
    <t>5055151515</t>
  </si>
  <si>
    <t>2D-20465359</t>
  </si>
  <si>
    <t>1094</t>
  </si>
  <si>
    <t>FK-18027287</t>
  </si>
  <si>
    <t>RXO6800445</t>
  </si>
  <si>
    <t>121496897806</t>
  </si>
  <si>
    <t xml:space="preserve">2D-20300496 </t>
  </si>
  <si>
    <t>HOU3</t>
  </si>
  <si>
    <t>RXO6812016</t>
  </si>
  <si>
    <t>789806905</t>
  </si>
  <si>
    <t>2D-20505659</t>
  </si>
  <si>
    <t>ATS5</t>
  </si>
  <si>
    <t>AZ</t>
  </si>
  <si>
    <t>RXO6812569</t>
  </si>
  <si>
    <t>606941145</t>
  </si>
  <si>
    <t>2D-19800109</t>
  </si>
  <si>
    <t>DEN9</t>
  </si>
  <si>
    <t>RXO6815415</t>
  </si>
  <si>
    <t>606941123</t>
  </si>
  <si>
    <t>2D-20165065</t>
  </si>
  <si>
    <t>RXO6815699</t>
  </si>
  <si>
    <t>606941134</t>
  </si>
  <si>
    <t>2D-20002030</t>
  </si>
  <si>
    <t>DVH1</t>
  </si>
  <si>
    <t>RXO6828202</t>
  </si>
  <si>
    <t>606941160</t>
  </si>
  <si>
    <t>2D-20225259</t>
  </si>
  <si>
    <t>RXO6838086</t>
  </si>
  <si>
    <t>121497529906</t>
  </si>
  <si>
    <t>Original pickup was 3/6; picked requested multiple times through RXO but still not picked up. Told by RXO that pickup is 3/18.</t>
  </si>
  <si>
    <t>2D-20049267 2D-20121909</t>
  </si>
  <si>
    <t>SRH2</t>
  </si>
  <si>
    <t>RXO6829005</t>
  </si>
  <si>
    <t>121497026404</t>
  </si>
  <si>
    <t>2D-19987996</t>
  </si>
  <si>
    <t>22422024</t>
  </si>
  <si>
    <t>GE GE TRANSPORT INC</t>
  </si>
  <si>
    <t>RXO6835928</t>
  </si>
  <si>
    <t>121497062205</t>
  </si>
  <si>
    <t>Delivery appt set for 3/13</t>
  </si>
  <si>
    <t>2D-18682087</t>
  </si>
  <si>
    <t>22433819</t>
  </si>
  <si>
    <t>2D-19165981 2D-20000523 2D-20247570 2D-20155805</t>
  </si>
  <si>
    <t>YUGOS LOGISTICS LLC</t>
  </si>
  <si>
    <t>IAH1</t>
  </si>
  <si>
    <t>RXO6857302</t>
  </si>
  <si>
    <t>6188141945</t>
  </si>
  <si>
    <t>2D-20545427</t>
  </si>
  <si>
    <t>FEDEX ECONOMY</t>
  </si>
  <si>
    <t>1385</t>
  </si>
  <si>
    <t>SAB1</t>
  </si>
  <si>
    <t>22455840</t>
  </si>
  <si>
    <t>2D-19634650</t>
  </si>
  <si>
    <t>TWO CAPTAINS LLC</t>
  </si>
  <si>
    <t>CMH1</t>
  </si>
  <si>
    <t>RXO6887260</t>
  </si>
  <si>
    <t>5055152059</t>
  </si>
  <si>
    <t>2D-20432358 2D-20432374</t>
  </si>
  <si>
    <t>IND4</t>
  </si>
  <si>
    <t>RXO6888104</t>
  </si>
  <si>
    <t>121497285202</t>
  </si>
  <si>
    <t>2D-19636622</t>
  </si>
  <si>
    <t>RXO6888303</t>
  </si>
  <si>
    <t>637614036</t>
  </si>
  <si>
    <t>2D-20145074</t>
  </si>
  <si>
    <t>PSC2</t>
  </si>
  <si>
    <t>RXO6888498</t>
  </si>
  <si>
    <t>637614040</t>
  </si>
  <si>
    <t>Weather Delay</t>
  </si>
  <si>
    <t>2D-20201207</t>
  </si>
  <si>
    <t>JVL1</t>
  </si>
  <si>
    <t>WI</t>
  </si>
  <si>
    <t>RXO6889302</t>
  </si>
  <si>
    <t>121497288702</t>
  </si>
  <si>
    <t>2D-19636621</t>
  </si>
  <si>
    <t>DUA3</t>
  </si>
  <si>
    <t>RXO6889368</t>
  </si>
  <si>
    <t>637614073</t>
  </si>
  <si>
    <t xml:space="preserve">Held at service center. Emailed AE for update. Update:  Per my local team, it will go out for delivery tomorrow.  Thanks so much! </t>
  </si>
  <si>
    <t>2D-20237533</t>
  </si>
  <si>
    <t>CAE1</t>
  </si>
  <si>
    <t>RXO6889489</t>
  </si>
  <si>
    <t>121497289200</t>
  </si>
  <si>
    <t>2D-19671204</t>
  </si>
  <si>
    <t>MKE3</t>
  </si>
  <si>
    <t>RXO6889439</t>
  </si>
  <si>
    <t>637614084</t>
  </si>
  <si>
    <t>2D-20313166</t>
  </si>
  <si>
    <t>MCO2</t>
  </si>
  <si>
    <t>RXO6889569</t>
  </si>
  <si>
    <t>637614051</t>
  </si>
  <si>
    <t>2D-19636618</t>
  </si>
  <si>
    <t>ORD2</t>
  </si>
  <si>
    <t>RXO6890000</t>
  </si>
  <si>
    <t>121497290102</t>
  </si>
  <si>
    <t>2D-19636617</t>
  </si>
  <si>
    <t>1017</t>
  </si>
  <si>
    <t>2D-20368118</t>
  </si>
  <si>
    <t>GKC1</t>
  </si>
  <si>
    <t>RXO6893478</t>
  </si>
  <si>
    <t>121497304001</t>
  </si>
  <si>
    <t>2D-20197888</t>
  </si>
  <si>
    <t>3299</t>
  </si>
  <si>
    <t>RXO6890291</t>
  </si>
  <si>
    <t>00034199338</t>
  </si>
  <si>
    <t>2D-19582474 2D-19721230 2D-19900215 2D-19900238 2D-19900240</t>
  </si>
  <si>
    <t>22474802</t>
  </si>
  <si>
    <t>SAE LOGISTICS LLC</t>
  </si>
  <si>
    <t>CSG1</t>
  </si>
  <si>
    <t>RXO6898631</t>
  </si>
  <si>
    <t>527628441</t>
  </si>
  <si>
    <t>2D-20597698</t>
  </si>
  <si>
    <t>SMF1</t>
  </si>
  <si>
    <t>RXO6913243</t>
  </si>
  <si>
    <t>527631090</t>
  </si>
  <si>
    <t>2D-20619297</t>
  </si>
  <si>
    <t>WMI4</t>
  </si>
  <si>
    <t>RXO6960379</t>
  </si>
  <si>
    <t>34199527</t>
  </si>
  <si>
    <t xml:space="preserve">	2D-20337597</t>
  </si>
  <si>
    <t>MDW9</t>
  </si>
  <si>
    <t>RXO6962845</t>
  </si>
  <si>
    <t>5056000349</t>
  </si>
  <si>
    <t>2D-20492232</t>
  </si>
  <si>
    <t>CMH2</t>
  </si>
  <si>
    <t xml:space="preserve"> RXO6964100</t>
  </si>
  <si>
    <t>5056000358</t>
  </si>
  <si>
    <t>RE-DIRECTED TO ANOTHER SITE...PO site does not receive amazon shipments</t>
  </si>
  <si>
    <t>2D-20183321</t>
  </si>
  <si>
    <t>FTW9</t>
  </si>
  <si>
    <t>RXO6957890</t>
  </si>
  <si>
    <t>121497613704</t>
  </si>
  <si>
    <t>2D-20513680</t>
  </si>
  <si>
    <t>CLT4</t>
  </si>
  <si>
    <t>RXO6959493</t>
  </si>
  <si>
    <t>121497601003</t>
  </si>
  <si>
    <t>2D-20497109</t>
  </si>
  <si>
    <t>DET6</t>
  </si>
  <si>
    <t>RXO6962263</t>
  </si>
  <si>
    <t>527637854</t>
  </si>
  <si>
    <t>2D-20450235</t>
  </si>
  <si>
    <t>RXO6963531</t>
  </si>
  <si>
    <t>5056000353</t>
  </si>
  <si>
    <t>2D-20383878</t>
  </si>
  <si>
    <t>RXO6958959</t>
  </si>
  <si>
    <t>12149759850</t>
  </si>
  <si>
    <t>2D-20490624 2D-19719189 2D-19871173 2D-20478617 2D-20494255</t>
  </si>
  <si>
    <t xml:space="preserve"> RXO6964554</t>
  </si>
  <si>
    <t>34199474</t>
  </si>
  <si>
    <t>2D-20021268</t>
  </si>
  <si>
    <t>22541660</t>
  </si>
  <si>
    <t>2D-17551425</t>
  </si>
  <si>
    <t>RAYSTAR EXPRESS, LLC</t>
  </si>
  <si>
    <t xml:space="preserve">YYZ7 </t>
  </si>
  <si>
    <t>RXO6975128</t>
  </si>
  <si>
    <t>P3146761</t>
  </si>
  <si>
    <t>ETA 3.24.26 NEED TO F/U</t>
  </si>
  <si>
    <t>5Z-20499925</t>
  </si>
  <si>
    <t>YKF1</t>
  </si>
  <si>
    <t>RXO6974918</t>
  </si>
  <si>
    <t>P3146738</t>
  </si>
  <si>
    <t>ETA 3.24.26 NEED TO F/U Contacted RXO POC</t>
  </si>
  <si>
    <t>5Z-20513958</t>
  </si>
  <si>
    <t>RSW9</t>
  </si>
  <si>
    <t>22542223</t>
  </si>
  <si>
    <t>2D-19582561</t>
  </si>
  <si>
    <t>ZNZ LOGISTICS LLC</t>
  </si>
  <si>
    <t>RXO6986801</t>
  </si>
  <si>
    <t>527641671</t>
  </si>
  <si>
    <t>2D-19950418</t>
  </si>
  <si>
    <t>RXO6979340</t>
  </si>
  <si>
    <t>527640901</t>
  </si>
  <si>
    <t>OUT FOR DLV</t>
  </si>
  <si>
    <t>2D-19734435</t>
  </si>
  <si>
    <t>SAZ3</t>
  </si>
  <si>
    <t>RXO6979015</t>
  </si>
  <si>
    <t>527640584</t>
  </si>
  <si>
    <t>2D-20671226</t>
  </si>
  <si>
    <t>AFW1</t>
  </si>
  <si>
    <t>RXO6978613</t>
  </si>
  <si>
    <t>4749680784</t>
  </si>
  <si>
    <t>ETA 3.26.26</t>
  </si>
  <si>
    <t>2D-20663463</t>
  </si>
  <si>
    <t>RXO6977482</t>
  </si>
  <si>
    <t>527639906</t>
  </si>
  <si>
    <t>CONTACTED  XPO - DLV'D ON 3.30.26 ASK DAVID</t>
  </si>
  <si>
    <t>RXO6965136</t>
  </si>
  <si>
    <t>527637504</t>
  </si>
  <si>
    <t>RXO6991878</t>
  </si>
  <si>
    <t>527642706</t>
  </si>
  <si>
    <t>CONTACTED XPO...SET FOR TOMORROW 4.3.26</t>
  </si>
  <si>
    <t>2D-20687630</t>
  </si>
  <si>
    <t>SBN1</t>
  </si>
  <si>
    <t>RXO6991234</t>
  </si>
  <si>
    <t>22559138</t>
  </si>
  <si>
    <t>Picked up on 3.27.26</t>
  </si>
  <si>
    <t>2D-20685970</t>
  </si>
  <si>
    <t xml:space="preserve">PITT OHIO EXPRESS, LLC </t>
  </si>
  <si>
    <t>22575100</t>
  </si>
  <si>
    <t xml:space="preserve">This has been attempted twice. No appt and the latest refusal is due to pallets being stacked. Working with RAD1 team to resolve. </t>
  </si>
  <si>
    <t xml:space="preserve">KY EXPRESS LLC </t>
  </si>
  <si>
    <t>SNV5</t>
  </si>
  <si>
    <t>22574278</t>
  </si>
  <si>
    <t>2D-19505218</t>
  </si>
  <si>
    <t>DEKSA INC</t>
  </si>
  <si>
    <t>Launch</t>
  </si>
  <si>
    <t>SSC1</t>
  </si>
  <si>
    <t>22559246</t>
  </si>
  <si>
    <t>2D-20130730</t>
  </si>
  <si>
    <t>MDK TRUCKING INC</t>
  </si>
  <si>
    <t>2D-20647598</t>
  </si>
  <si>
    <t>RXO7014351</t>
  </si>
  <si>
    <t>527644353</t>
  </si>
  <si>
    <t xml:space="preserve">2D-20708361 </t>
  </si>
  <si>
    <t>MGE1</t>
  </si>
  <si>
    <t>RXO7023249</t>
  </si>
  <si>
    <t>22582647</t>
  </si>
  <si>
    <t>Tracking number not valid</t>
  </si>
  <si>
    <t>2D-20704201</t>
  </si>
  <si>
    <t>RXO7052412</t>
  </si>
  <si>
    <t>527650012</t>
  </si>
  <si>
    <t>2D-20738190</t>
  </si>
  <si>
    <t>DPL7</t>
  </si>
  <si>
    <t>RXO7046235</t>
  </si>
  <si>
    <t>5056000412</t>
  </si>
  <si>
    <t>2D-20708255</t>
  </si>
  <si>
    <t>RXO7053412</t>
  </si>
  <si>
    <t>527650266</t>
  </si>
  <si>
    <t xml:space="preserve">2D-20738180 </t>
  </si>
  <si>
    <t>RXO7052388</t>
  </si>
  <si>
    <t>527650001</t>
  </si>
  <si>
    <t>2D-20736082</t>
  </si>
  <si>
    <t xml:space="preserve"> RXO7052910</t>
  </si>
  <si>
    <t>527650104</t>
  </si>
  <si>
    <t xml:space="preserve">2D-20736019 </t>
  </si>
  <si>
    <t xml:space="preserve"> RXO7053357</t>
  </si>
  <si>
    <t>527650244</t>
  </si>
  <si>
    <t xml:space="preserve">2D-20738177 </t>
  </si>
  <si>
    <t>FTW8</t>
  </si>
  <si>
    <t xml:space="preserve"> RXO7056288</t>
  </si>
  <si>
    <t>121498048303</t>
  </si>
  <si>
    <t>CONTACTED SAIA - DLV'D 3.30.26 - Ask David</t>
  </si>
  <si>
    <t>2D-20753935</t>
  </si>
  <si>
    <t>1491</t>
  </si>
  <si>
    <t>RXO7053697</t>
  </si>
  <si>
    <t>527650373</t>
  </si>
  <si>
    <t>2D-20735670</t>
  </si>
  <si>
    <t>RXO7056361</t>
  </si>
  <si>
    <t>527651014</t>
  </si>
  <si>
    <t>EMAILED RXO FOR UPDATE</t>
  </si>
  <si>
    <t>2D-19952467</t>
  </si>
  <si>
    <t>DCA6</t>
  </si>
  <si>
    <t>RXO7071713</t>
  </si>
  <si>
    <t>121498121904</t>
  </si>
  <si>
    <t>2D-19671673</t>
  </si>
  <si>
    <t>MEM8</t>
  </si>
  <si>
    <t>RXO7061078</t>
  </si>
  <si>
    <t>121498074405</t>
  </si>
  <si>
    <t>2D-19671671</t>
  </si>
  <si>
    <t>LIT3</t>
  </si>
  <si>
    <t>AR</t>
  </si>
  <si>
    <t>RXO7060972</t>
  </si>
  <si>
    <t>121498073900</t>
  </si>
  <si>
    <t>2D-20645686</t>
  </si>
  <si>
    <t>RXO7066897</t>
  </si>
  <si>
    <t>527652532</t>
  </si>
  <si>
    <t>2D-19657497</t>
  </si>
  <si>
    <t xml:space="preserve"> RXO7070860</t>
  </si>
  <si>
    <t>527653232</t>
  </si>
  <si>
    <t>2D-19868722 2D-20106705</t>
  </si>
  <si>
    <t>2D-20454099 / 2D-20346741</t>
  </si>
  <si>
    <t>OLV1</t>
  </si>
  <si>
    <t>MS</t>
  </si>
  <si>
    <t>RXO7068104</t>
  </si>
  <si>
    <t>121498104700</t>
  </si>
  <si>
    <t>2D-20665067</t>
  </si>
  <si>
    <t>BOS12</t>
  </si>
  <si>
    <t>RXO7091413</t>
  </si>
  <si>
    <t>121498215805</t>
  </si>
  <si>
    <t>2D-20369428</t>
  </si>
  <si>
    <t>7009</t>
  </si>
  <si>
    <t>RXO7068618</t>
  </si>
  <si>
    <t>121498107601</t>
  </si>
  <si>
    <t>2D-20111332</t>
  </si>
  <si>
    <t>SCA9</t>
  </si>
  <si>
    <t>RXO7069849</t>
  </si>
  <si>
    <t>121498113100</t>
  </si>
  <si>
    <t>2D-20155178</t>
  </si>
  <si>
    <t>LAS8</t>
  </si>
  <si>
    <t>RXO7071682</t>
  </si>
  <si>
    <t>22625497</t>
  </si>
  <si>
    <t>2D-20649227</t>
  </si>
  <si>
    <t>6188</t>
  </si>
  <si>
    <t>SJC7</t>
  </si>
  <si>
    <t>RXO7075080</t>
  </si>
  <si>
    <t>87549489</t>
  </si>
  <si>
    <t>Delivered Signature-Dominic Lasquete</t>
  </si>
  <si>
    <t>2D-19401896</t>
  </si>
  <si>
    <t>OAK HARBOR FREIGHT LINES, INC.</t>
  </si>
  <si>
    <t>SCA8</t>
  </si>
  <si>
    <t>22639708</t>
  </si>
  <si>
    <t xml:space="preserve">ETA 4.2.26 </t>
  </si>
  <si>
    <t>2D-20318796</t>
  </si>
  <si>
    <t>ROAD RUNNERS AMERICA</t>
  </si>
  <si>
    <t>RXO7101239</t>
  </si>
  <si>
    <t>527657266</t>
  </si>
  <si>
    <t>2D-20738177</t>
  </si>
  <si>
    <t>RXO7101066</t>
  </si>
  <si>
    <t>527657546</t>
  </si>
  <si>
    <t>2D-20792176</t>
  </si>
  <si>
    <t>OSC9</t>
  </si>
  <si>
    <t>RXO7116389</t>
  </si>
  <si>
    <t>121498325900</t>
  </si>
  <si>
    <t>2D-20236547</t>
  </si>
  <si>
    <t>RXO7116623</t>
  </si>
  <si>
    <t>87549482</t>
  </si>
  <si>
    <t>2D-20767563</t>
  </si>
  <si>
    <t>TXZ5</t>
  </si>
  <si>
    <t>RXO7116650</t>
  </si>
  <si>
    <t>527659532</t>
  </si>
  <si>
    <t>4/7/2026 5:37 PM: Delivery was attempted by the destination service center; however, the recipient was not able to receive it. The shipment will not be taken back out for delivery until either the consignee or the shipper has contacted XPO Logistics with further instructions.The shipment has arrived at an interim service center.</t>
  </si>
  <si>
    <t>2D-20617584</t>
  </si>
  <si>
    <t xml:space="preserve"> RXO7123587</t>
  </si>
  <si>
    <t>527660980</t>
  </si>
  <si>
    <t>2D-20236995</t>
  </si>
  <si>
    <t>RXO7129822</t>
  </si>
  <si>
    <t>121498547100</t>
  </si>
  <si>
    <t>2D-20708283</t>
  </si>
  <si>
    <t>MQY2</t>
  </si>
  <si>
    <t>RXO7136783</t>
  </si>
  <si>
    <t>34911449</t>
  </si>
  <si>
    <t xml:space="preserve">2D-20702536 </t>
  </si>
  <si>
    <t>22682422</t>
  </si>
  <si>
    <t xml:space="preserve">Holiday weekend. Delivery expected as schedule for Modnay 04/06. </t>
  </si>
  <si>
    <t>2D-19836419</t>
  </si>
  <si>
    <t>VZ UNITED INC</t>
  </si>
  <si>
    <t>IGQ2</t>
  </si>
  <si>
    <t>RXO7139028</t>
  </si>
  <si>
    <t>5056000582</t>
  </si>
  <si>
    <t xml:space="preserve">2D-19636634 </t>
  </si>
  <si>
    <t>RXO7139310</t>
  </si>
  <si>
    <t>121498480506</t>
  </si>
  <si>
    <t>2D-19918649</t>
  </si>
  <si>
    <t>RXO7139306</t>
  </si>
  <si>
    <t>121498444200</t>
  </si>
  <si>
    <t>22697370</t>
  </si>
  <si>
    <t>AMBER LINE TRUCKING INC</t>
  </si>
  <si>
    <t>RXO7149518</t>
  </si>
  <si>
    <t>121498618702</t>
  </si>
  <si>
    <t>2D-19505284</t>
  </si>
  <si>
    <t>YYZ1</t>
  </si>
  <si>
    <t>RXO7149699</t>
  </si>
  <si>
    <t>P3158213</t>
  </si>
  <si>
    <t>CI issues</t>
  </si>
  <si>
    <t>5Z-20346782</t>
  </si>
  <si>
    <t>RXO7150621</t>
  </si>
  <si>
    <t>121498670906</t>
  </si>
  <si>
    <t>2D-17254787</t>
  </si>
  <si>
    <t>RXO7149884</t>
  </si>
  <si>
    <t>524498413</t>
  </si>
  <si>
    <t xml:space="preserve">
Issue with CI
</t>
  </si>
  <si>
    <t xml:space="preserve">5Z-20400188 </t>
  </si>
  <si>
    <t>TFORCE FREIGHT, INC</t>
  </si>
  <si>
    <t xml:space="preserve"> RXO7150355</t>
  </si>
  <si>
    <t>527664826</t>
  </si>
  <si>
    <t>2D-18809337</t>
  </si>
  <si>
    <t>DUT1</t>
  </si>
  <si>
    <t>RXO7162607</t>
  </si>
  <si>
    <t>527665460</t>
  </si>
  <si>
    <t>771-177094 NEW PRO#</t>
  </si>
  <si>
    <t>2D-20815847</t>
  </si>
  <si>
    <t>22705673</t>
  </si>
  <si>
    <t>RXO7177883</t>
  </si>
  <si>
    <t>527669063</t>
  </si>
  <si>
    <t>2D-18170884</t>
  </si>
  <si>
    <t>RXO7168452</t>
  </si>
  <si>
    <t>527667210</t>
  </si>
  <si>
    <t>2D-20652092</t>
  </si>
  <si>
    <t>OFL9</t>
  </si>
  <si>
    <t>22708097</t>
  </si>
  <si>
    <t>2D-20266793</t>
  </si>
  <si>
    <t>TARAN</t>
  </si>
  <si>
    <t xml:space="preserve">IN </t>
  </si>
  <si>
    <t>RXO7175566</t>
  </si>
  <si>
    <t>827062308</t>
  </si>
  <si>
    <t>FAT1</t>
  </si>
  <si>
    <t>RXO7175891</t>
  </si>
  <si>
    <t>121498521604</t>
  </si>
  <si>
    <t>2D-20632105</t>
  </si>
  <si>
    <t>SAIA MOTOR FREIGHT LINE, LLC</t>
  </si>
  <si>
    <t>RXO7176188</t>
  </si>
  <si>
    <t>121498559000</t>
  </si>
  <si>
    <t>RXO7176327</t>
  </si>
  <si>
    <t>827062316</t>
  </si>
  <si>
    <t>EDD 4.10.2026</t>
  </si>
  <si>
    <t>CDW5</t>
  </si>
  <si>
    <t>RXO7176399</t>
  </si>
  <si>
    <t>5056000662</t>
  </si>
  <si>
    <t>2D-20691179</t>
  </si>
  <si>
    <t>RXO7178976</t>
  </si>
  <si>
    <t>527669542</t>
  </si>
  <si>
    <t>2D-20654545</t>
  </si>
  <si>
    <t>22712030</t>
  </si>
  <si>
    <t>Cancelled</t>
  </si>
  <si>
    <t>This order was not DLV'd. It was combined with 22811804 and shipped under 22836772.</t>
  </si>
  <si>
    <t>RXO7179257</t>
  </si>
  <si>
    <t>121498547706</t>
  </si>
  <si>
    <t>Arrived at service center on 4.10(Friday) and delivery 4.13(monday)</t>
  </si>
  <si>
    <t>2D-20346479</t>
  </si>
  <si>
    <t>RXO7176659</t>
  </si>
  <si>
    <t>360044720</t>
  </si>
  <si>
    <t>2D-20354597</t>
  </si>
  <si>
    <t>22715103</t>
  </si>
  <si>
    <t>2D-20695614</t>
  </si>
  <si>
    <t>MEGA PRIME INC</t>
  </si>
  <si>
    <t>MDT9</t>
  </si>
  <si>
    <t>22715235</t>
  </si>
  <si>
    <t>2D-20060430</t>
  </si>
  <si>
    <t>EDER EXPRESS INCORPORATED</t>
  </si>
  <si>
    <t>RAD11</t>
  </si>
  <si>
    <t>22715837</t>
  </si>
  <si>
    <t>2D-20095794</t>
  </si>
  <si>
    <t xml:space="preserve">MMK TRANSPORTATION, LLC </t>
  </si>
  <si>
    <t>RXO7181234</t>
  </si>
  <si>
    <t>121498659100</t>
  </si>
  <si>
    <t>2D-20152534</t>
  </si>
  <si>
    <t>RXO7192949</t>
  </si>
  <si>
    <t>121498726603</t>
  </si>
  <si>
    <t>APPT scheduled after ETA date.</t>
  </si>
  <si>
    <t>RXO7196729</t>
  </si>
  <si>
    <t>527671760</t>
  </si>
  <si>
    <t>RAD APPT needed</t>
  </si>
  <si>
    <t>22729290</t>
  </si>
  <si>
    <t>BLAVOR LOGISTICS INC</t>
  </si>
  <si>
    <t>22729301</t>
  </si>
  <si>
    <t>BLUESTAR SERVICES LLC</t>
  </si>
  <si>
    <t>22729314</t>
  </si>
  <si>
    <t>MAHAT TRANSPORT LLC</t>
  </si>
  <si>
    <t>HSD2</t>
  </si>
  <si>
    <t>RXO7219090</t>
  </si>
  <si>
    <t>527676192</t>
  </si>
  <si>
    <t>2D-20853364</t>
  </si>
  <si>
    <t>PDX9</t>
  </si>
  <si>
    <t>RXO7218774</t>
  </si>
  <si>
    <t>527675982</t>
  </si>
  <si>
    <t>2D-20853697</t>
  </si>
  <si>
    <t>OMA2</t>
  </si>
  <si>
    <t>NE</t>
  </si>
  <si>
    <t xml:space="preserve"> RXO7240898</t>
  </si>
  <si>
    <t>321356685</t>
  </si>
  <si>
    <t>2D-20925904</t>
  </si>
  <si>
    <t>MGE5</t>
  </si>
  <si>
    <t xml:space="preserve"> RXO7242853</t>
  </si>
  <si>
    <t>321357072</t>
  </si>
  <si>
    <t>2D-20911321</t>
  </si>
  <si>
    <t>RXO7249609</t>
  </si>
  <si>
    <t>429578461</t>
  </si>
  <si>
    <t>2D-20931876</t>
  </si>
  <si>
    <t>22774504</t>
  </si>
  <si>
    <t>2D-20921917</t>
  </si>
  <si>
    <t>PREMIUM CARGO INC</t>
  </si>
  <si>
    <t>RXO7267203</t>
  </si>
  <si>
    <t>10938404110</t>
  </si>
  <si>
    <t>2D-20934272</t>
  </si>
  <si>
    <t>RXO7281368</t>
  </si>
  <si>
    <t>321362672</t>
  </si>
  <si>
    <t>ICA1 / SAN6</t>
  </si>
  <si>
    <t>22793724</t>
  </si>
  <si>
    <t>Did not off load entire truck. ETA 4.21.26</t>
  </si>
  <si>
    <t>2D-20870149</t>
  </si>
  <si>
    <t xml:space="preserve">RICHLAND FREIGHTLINES INC </t>
  </si>
  <si>
    <t>1289</t>
  </si>
  <si>
    <t>RXO7285865</t>
  </si>
  <si>
    <t>321364046</t>
  </si>
  <si>
    <t>2D-20924673 2D-20924668  2D-20924669</t>
  </si>
  <si>
    <t>RXO7286007</t>
  </si>
  <si>
    <t>321364083</t>
  </si>
  <si>
    <t>2D-20924678  2D-20924671</t>
  </si>
  <si>
    <t>RXO7286258</t>
  </si>
  <si>
    <t>321364186</t>
  </si>
  <si>
    <t>2D-20932309 2D-20932308</t>
  </si>
  <si>
    <t>RXO7286387</t>
  </si>
  <si>
    <t>4749685032</t>
  </si>
  <si>
    <t>2D-20955761</t>
  </si>
  <si>
    <t>RXO7286524</t>
  </si>
  <si>
    <t>321364256</t>
  </si>
  <si>
    <t>2D-20978844</t>
  </si>
  <si>
    <t>RXO7286675</t>
  </si>
  <si>
    <t>321364304</t>
  </si>
  <si>
    <t xml:space="preserve">2D-20978758 </t>
  </si>
  <si>
    <t>RXO7286810</t>
  </si>
  <si>
    <t>321364352</t>
  </si>
  <si>
    <t xml:space="preserve">2D-20978664 </t>
  </si>
  <si>
    <t>OGA9</t>
  </si>
  <si>
    <t>22809126</t>
  </si>
  <si>
    <t>2D-20032773</t>
  </si>
  <si>
    <t xml:space="preserve">JUZNI VETAR LOGISTICS INC. </t>
  </si>
  <si>
    <t>RXO7290044</t>
  </si>
  <si>
    <t>10918398830</t>
  </si>
  <si>
    <t xml:space="preserve">2D-20934272 </t>
  </si>
  <si>
    <t>RXO7297745</t>
  </si>
  <si>
    <t>121499282504</t>
  </si>
  <si>
    <t>2D-20865391</t>
  </si>
  <si>
    <t>RXO7301173</t>
  </si>
  <si>
    <t>321366942</t>
  </si>
  <si>
    <t>2D-20983624 2D-20980534 2D-20978993 2D-20979003 2D-20999253</t>
  </si>
  <si>
    <t>KCVG</t>
  </si>
  <si>
    <t xml:space="preserve"> RXO7301197</t>
  </si>
  <si>
    <t>5056000821</t>
  </si>
  <si>
    <t xml:space="preserve">2D-20979131 </t>
  </si>
  <si>
    <t>1904</t>
  </si>
  <si>
    <t>22811804</t>
  </si>
  <si>
    <t>This order was not DLV'd. It was combined with 22712030 and shipped under 22836772. Received TONU charge.</t>
  </si>
  <si>
    <t>OIN9</t>
  </si>
  <si>
    <t>22813051</t>
  </si>
  <si>
    <t>2D-20134371</t>
  </si>
  <si>
    <t>ONE WAY LOGISTICS INC</t>
  </si>
  <si>
    <t>RXO7319362</t>
  </si>
  <si>
    <t>321369090</t>
  </si>
  <si>
    <t>2D-21004012</t>
  </si>
  <si>
    <t>RXO7343790</t>
  </si>
  <si>
    <t>34911723</t>
  </si>
  <si>
    <t>FTW1</t>
  </si>
  <si>
    <t xml:space="preserve"> RXO7344216</t>
  </si>
  <si>
    <t>121499253905</t>
  </si>
  <si>
    <t>2D-20375772</t>
  </si>
  <si>
    <t>RXO7344358</t>
  </si>
  <si>
    <t>121499266505</t>
  </si>
  <si>
    <t>2D-20049302</t>
  </si>
  <si>
    <t>WKS2</t>
  </si>
  <si>
    <t>KS</t>
  </si>
  <si>
    <t xml:space="preserve"> RXO7345912</t>
  </si>
  <si>
    <t>321374255</t>
  </si>
  <si>
    <t>2D-20340406</t>
  </si>
  <si>
    <t>WOR2</t>
  </si>
  <si>
    <t>RXO7345322</t>
  </si>
  <si>
    <t>321374115</t>
  </si>
  <si>
    <t>2D-20269555</t>
  </si>
  <si>
    <t>RXO7346257</t>
  </si>
  <si>
    <t>637450752</t>
  </si>
  <si>
    <t>2D-20840179</t>
  </si>
  <si>
    <t>RXO7346706</t>
  </si>
  <si>
    <t>12149955020</t>
  </si>
  <si>
    <t>2D-19417986</t>
  </si>
  <si>
    <t>RXO7348713</t>
  </si>
  <si>
    <t>321374745</t>
  </si>
  <si>
    <t>2D-20837471</t>
  </si>
  <si>
    <t>22836772</t>
  </si>
  <si>
    <t>2D-20813397 2D-20813398</t>
  </si>
  <si>
    <t>NIS FREIGHT LLC</t>
  </si>
  <si>
    <t>RXO7350050</t>
  </si>
  <si>
    <t>321374944</t>
  </si>
  <si>
    <t>The shipment is being held at the destination service center until an appointment for delivery has been set or met at the request of the recipient. Service Center: NASHVILLE, TN</t>
  </si>
  <si>
    <t>2D-21041095</t>
  </si>
  <si>
    <t>RXO7356229</t>
  </si>
  <si>
    <t>121499580206</t>
  </si>
  <si>
    <t xml:space="preserve">Saia will P/U 5.4.2026
</t>
  </si>
  <si>
    <t xml:space="preserve"> RXO7356576</t>
  </si>
  <si>
    <t>826912463</t>
  </si>
  <si>
    <t>4/28/2026 (ETA/Appointment)</t>
  </si>
  <si>
    <t xml:space="preserve"> RXO7357634</t>
  </si>
  <si>
    <t>5056000854</t>
  </si>
  <si>
    <t>Delivery Attempted - Long Wait</t>
  </si>
  <si>
    <t>2D-20790888</t>
  </si>
  <si>
    <t>RXO7357262</t>
  </si>
  <si>
    <t>826912497</t>
  </si>
  <si>
    <t>2D-19505206</t>
  </si>
  <si>
    <t xml:space="preserve"> RXO7358061</t>
  </si>
  <si>
    <t>P3172642</t>
  </si>
  <si>
    <t>ETA 4.27.2026</t>
  </si>
  <si>
    <t>5Z-20400188</t>
  </si>
  <si>
    <t>POLARIS TRANSPORT CARRIERS INC.</t>
  </si>
  <si>
    <t>DWA7</t>
  </si>
  <si>
    <t>RXO7362542</t>
  </si>
  <si>
    <t>321377394</t>
  </si>
  <si>
    <t>2D-21044279</t>
  </si>
  <si>
    <t>SFO81</t>
  </si>
  <si>
    <t>RXO7361023</t>
  </si>
  <si>
    <t>321376985</t>
  </si>
  <si>
    <t>2D-20775892</t>
  </si>
  <si>
    <t>7306</t>
  </si>
  <si>
    <t>SAT8</t>
  </si>
  <si>
    <t>22869103</t>
  </si>
  <si>
    <t>2D-20811418</t>
  </si>
  <si>
    <t>WARRIORS FREIGHT INC</t>
  </si>
  <si>
    <t>RXO7370058</t>
  </si>
  <si>
    <t>826912489</t>
  </si>
  <si>
    <t xml:space="preserve"> RXO7370272</t>
  </si>
  <si>
    <t>321378444</t>
  </si>
  <si>
    <t>OIL9</t>
  </si>
  <si>
    <t>RXO7370410</t>
  </si>
  <si>
    <t>826912471</t>
  </si>
  <si>
    <t>2D-20781428</t>
  </si>
  <si>
    <t>RXO7372684</t>
  </si>
  <si>
    <t>321378960</t>
  </si>
  <si>
    <t xml:space="preserve">2D-21044967 </t>
  </si>
  <si>
    <t>SWA2</t>
  </si>
  <si>
    <t>RXO7372971</t>
  </si>
  <si>
    <t>59739004733</t>
  </si>
  <si>
    <t>2D-18942270</t>
  </si>
  <si>
    <t>OLD DOMINION FREIGHT LINE INC</t>
  </si>
  <si>
    <t>HOU5</t>
  </si>
  <si>
    <t>RXO7375862</t>
  </si>
  <si>
    <t>321379380</t>
  </si>
  <si>
    <t>Will be picked up 5.6.2026</t>
  </si>
  <si>
    <t>2D-21054711</t>
  </si>
  <si>
    <t>22882969</t>
  </si>
  <si>
    <t>2D-20911876</t>
  </si>
  <si>
    <t>SOMSTAR TRUCKING LLC</t>
  </si>
  <si>
    <t>ELP1</t>
  </si>
  <si>
    <t>RXO7402549</t>
  </si>
  <si>
    <t>321382902</t>
  </si>
  <si>
    <t>2D-21076972</t>
  </si>
  <si>
    <t>DWA6</t>
  </si>
  <si>
    <t>RXO7397971</t>
  </si>
  <si>
    <t>321382062</t>
  </si>
  <si>
    <t>2D-21089501</t>
  </si>
  <si>
    <t>OGS9</t>
  </si>
  <si>
    <t>22892972</t>
  </si>
  <si>
    <t>2D-20257088</t>
  </si>
  <si>
    <t xml:space="preserve">Chandi Logistics LLC </t>
  </si>
  <si>
    <t>OKS9</t>
  </si>
  <si>
    <t>22892935</t>
  </si>
  <si>
    <t>2D-20446244</t>
  </si>
  <si>
    <t xml:space="preserve">MIDAMERICAN CARGO INC </t>
  </si>
  <si>
    <t>RXO7408719</t>
  </si>
  <si>
    <t>321383823</t>
  </si>
  <si>
    <t>2D-21024529</t>
  </si>
  <si>
    <t>WNB2</t>
  </si>
  <si>
    <t>RXO7407539</t>
  </si>
  <si>
    <t>321384276</t>
  </si>
  <si>
    <t>2D-21093387</t>
  </si>
  <si>
    <t>RXO7409719</t>
  </si>
  <si>
    <t>34911806</t>
  </si>
  <si>
    <t>2D-20679924</t>
  </si>
  <si>
    <t>DAYTON FREIGHT LINES, INC</t>
  </si>
  <si>
    <t>RXO7410479</t>
  </si>
  <si>
    <t>5056000917</t>
  </si>
  <si>
    <t>2D-20870651</t>
  </si>
  <si>
    <t xml:space="preserve"> RXO7410965</t>
  </si>
  <si>
    <t>121499794702</t>
  </si>
  <si>
    <t>2D-19671537</t>
  </si>
  <si>
    <t>RXO7419033</t>
  </si>
  <si>
    <t>121499835201</t>
  </si>
  <si>
    <t>22905091</t>
  </si>
  <si>
    <t>UMMAH TRANSPORTATION LLC</t>
  </si>
  <si>
    <t>RXO7423478</t>
  </si>
  <si>
    <t>34911820</t>
  </si>
  <si>
    <t>2D-20337850</t>
  </si>
  <si>
    <t>RXO7424523</t>
  </si>
  <si>
    <t>121499870403</t>
  </si>
  <si>
    <t xml:space="preserve">2D-20346479 </t>
  </si>
  <si>
    <t>22914700</t>
  </si>
  <si>
    <t>K PRO INC</t>
  </si>
  <si>
    <t>RXO7426354</t>
  </si>
  <si>
    <t>321387581</t>
  </si>
  <si>
    <t>2D-20890861</t>
  </si>
  <si>
    <t>RXO7427324</t>
  </si>
  <si>
    <t>321387824</t>
  </si>
  <si>
    <t>20-20708283</t>
  </si>
  <si>
    <t>RXO7427670</t>
  </si>
  <si>
    <t>321388200</t>
  </si>
  <si>
    <t>2D-20481308</t>
  </si>
  <si>
    <t>RXO7428203</t>
  </si>
  <si>
    <t>321388141</t>
  </si>
  <si>
    <t>2D-20823625</t>
  </si>
  <si>
    <t>RXO7428506</t>
  </si>
  <si>
    <t>121499893301</t>
  </si>
  <si>
    <t>22914939</t>
  </si>
  <si>
    <t>2D-20922924</t>
  </si>
  <si>
    <t>OWL EXPEDITED LLC</t>
  </si>
  <si>
    <t>RXO7429388</t>
  </si>
  <si>
    <t>321388104</t>
  </si>
  <si>
    <t>2D-20957248</t>
  </si>
  <si>
    <t>LGB4</t>
  </si>
  <si>
    <t>RXO7429747</t>
  </si>
  <si>
    <t>321388001</t>
  </si>
  <si>
    <t>2D-20239811</t>
  </si>
  <si>
    <t>ICA1</t>
  </si>
  <si>
    <t xml:space="preserve"> RXO7439095</t>
  </si>
  <si>
    <t>321390090</t>
  </si>
  <si>
    <t>2D-20912825</t>
  </si>
  <si>
    <t>SOH7</t>
  </si>
  <si>
    <t>22925101</t>
  </si>
  <si>
    <t>2D-20228438</t>
  </si>
  <si>
    <t>New Path Logistics Llc</t>
  </si>
  <si>
    <t>OWA8</t>
  </si>
  <si>
    <t>22930809</t>
  </si>
  <si>
    <t>2D-20124860</t>
  </si>
  <si>
    <t>SSF3</t>
  </si>
  <si>
    <t>22936388</t>
  </si>
  <si>
    <t>2D-20495703</t>
  </si>
  <si>
    <t>CCG LOGISTICS INC</t>
  </si>
  <si>
    <t>RXO7472141</t>
  </si>
  <si>
    <t>321395233</t>
  </si>
  <si>
    <t>AVP3</t>
  </si>
  <si>
    <t>22966249</t>
  </si>
  <si>
    <t xml:space="preserve">2D-18252440 </t>
  </si>
  <si>
    <t>RL DIRECT SERVICE INC</t>
  </si>
  <si>
    <t>22966435</t>
  </si>
  <si>
    <t>2D-18241360</t>
  </si>
  <si>
    <t>G&amp;A TRUCKING SERVICES LLC</t>
  </si>
  <si>
    <t xml:space="preserve"> RXO7492257</t>
  </si>
  <si>
    <t>121500243402</t>
  </si>
  <si>
    <t>SEA29</t>
  </si>
  <si>
    <t>RXO7492619</t>
  </si>
  <si>
    <t>321398475</t>
  </si>
  <si>
    <t xml:space="preserve">2D-20954308 </t>
  </si>
  <si>
    <t xml:space="preserve"> RXO7493355</t>
  </si>
  <si>
    <t>321398685</t>
  </si>
  <si>
    <t>2D-21015209</t>
  </si>
  <si>
    <t>OOH9</t>
  </si>
  <si>
    <t>22971080</t>
  </si>
  <si>
    <t>2D-20095732</t>
  </si>
  <si>
    <t>PINICON LOGISTICS INC</t>
  </si>
  <si>
    <t>OSW9</t>
  </si>
  <si>
    <t>RXO7497950</t>
  </si>
  <si>
    <t>321399831</t>
  </si>
  <si>
    <t>2D-21036880</t>
  </si>
  <si>
    <t>RXO7497539</t>
  </si>
  <si>
    <t>321400030</t>
  </si>
  <si>
    <t>2D-20404318</t>
  </si>
  <si>
    <t>RXO7497634</t>
  </si>
  <si>
    <t>3214000424</t>
  </si>
  <si>
    <t>2D-21024986</t>
  </si>
  <si>
    <t>RXO7498382</t>
  </si>
  <si>
    <t>5056001037</t>
  </si>
  <si>
    <t>2D-20446250</t>
  </si>
  <si>
    <t>RXO7498419</t>
  </si>
  <si>
    <t>321399481</t>
  </si>
  <si>
    <t>2D-20447708</t>
  </si>
  <si>
    <t>RXO7503217</t>
  </si>
  <si>
    <t>321400435</t>
  </si>
  <si>
    <t>2D-20404317</t>
  </si>
  <si>
    <t xml:space="preserve"> RXO7503102</t>
  </si>
  <si>
    <t>321400376</t>
  </si>
  <si>
    <t>2D-20446249</t>
  </si>
  <si>
    <t>RXO7503483</t>
  </si>
  <si>
    <t>321400461</t>
  </si>
  <si>
    <t>2D-20402565</t>
  </si>
  <si>
    <t>OPA8</t>
  </si>
  <si>
    <t>RXO7503565</t>
  </si>
  <si>
    <t>5056001046</t>
  </si>
  <si>
    <t>2D-21119573</t>
  </si>
  <si>
    <t>RXO7504165</t>
  </si>
  <si>
    <t>121500304605</t>
  </si>
  <si>
    <t>2D-21006651</t>
  </si>
  <si>
    <t>YYC8</t>
  </si>
  <si>
    <t>AB</t>
  </si>
  <si>
    <t>RXO7505579</t>
  </si>
  <si>
    <t>432369136</t>
  </si>
  <si>
    <t>5Z-21043598</t>
  </si>
  <si>
    <t>RXO7509133</t>
  </si>
  <si>
    <t>121500338306</t>
  </si>
  <si>
    <t>2D-20000443</t>
  </si>
  <si>
    <t>RXO7509131</t>
  </si>
  <si>
    <t>121500338104</t>
  </si>
  <si>
    <t>2D-20813398</t>
  </si>
  <si>
    <t>MCI3</t>
  </si>
  <si>
    <t>RXO7509455</t>
  </si>
  <si>
    <t>321401986</t>
  </si>
  <si>
    <t>2D-20999148</t>
  </si>
  <si>
    <t>GEU5</t>
  </si>
  <si>
    <t>RXO7509761</t>
  </si>
  <si>
    <t>321401791</t>
  </si>
  <si>
    <t>2D-21119515</t>
  </si>
  <si>
    <t>RXO7510353</t>
  </si>
  <si>
    <t>00034911957</t>
  </si>
  <si>
    <t>2D-20736510</t>
  </si>
  <si>
    <t xml:space="preserve"> RXO7510989</t>
  </si>
  <si>
    <t>321402266</t>
  </si>
  <si>
    <t>2D-21091057</t>
  </si>
  <si>
    <t>RXO7511143</t>
  </si>
  <si>
    <t>321401743</t>
  </si>
  <si>
    <t>2D-21105122</t>
  </si>
  <si>
    <t xml:space="preserve"> RXO7511379</t>
  </si>
  <si>
    <t>321402012</t>
  </si>
  <si>
    <t>2D-20673958</t>
  </si>
  <si>
    <t>RXO7511514</t>
  </si>
  <si>
    <t>321402185</t>
  </si>
  <si>
    <t>2D-21065831</t>
  </si>
  <si>
    <t>RXO7516013</t>
  </si>
  <si>
    <t>87549762</t>
  </si>
  <si>
    <t>2D-21012787</t>
  </si>
  <si>
    <t>OAK HARBOR FREIGHT LINES, INC</t>
  </si>
  <si>
    <t>SNC7</t>
  </si>
  <si>
    <t>RXO7519340</t>
  </si>
  <si>
    <t>321403633</t>
  </si>
  <si>
    <t>2D-19988019</t>
  </si>
  <si>
    <t>RXO7519569</t>
  </si>
  <si>
    <t>121500399206</t>
  </si>
  <si>
    <t>2D-20928164</t>
  </si>
  <si>
    <t>1900</t>
  </si>
  <si>
    <t>RXO7519462</t>
  </si>
  <si>
    <t>637457192</t>
  </si>
  <si>
    <t>SAN6</t>
  </si>
  <si>
    <t>RXO7519629</t>
  </si>
  <si>
    <t>121500399300</t>
  </si>
  <si>
    <t>2D-20937015</t>
  </si>
  <si>
    <t>SNY2</t>
  </si>
  <si>
    <t>RXO7519825</t>
  </si>
  <si>
    <t>5056001071</t>
  </si>
  <si>
    <t>2D-20911046</t>
  </si>
  <si>
    <t>RXO7520179</t>
  </si>
  <si>
    <t>771-190022</t>
  </si>
  <si>
    <t>Schduled to be delivered on 5.22.2026</t>
  </si>
  <si>
    <t>2D-21056115</t>
  </si>
  <si>
    <t>RXO7520221</t>
  </si>
  <si>
    <t>5056001072</t>
  </si>
  <si>
    <t xml:space="preserve">5/12/2026 	9:16 AM 	Shipment out for delivery to consignee in Hazleton, PA </t>
  </si>
  <si>
    <t>2D-20243517</t>
  </si>
  <si>
    <t>HTX3</t>
  </si>
  <si>
    <t>RXO7522550</t>
  </si>
  <si>
    <t>321404366</t>
  </si>
  <si>
    <t>2D-21234981</t>
  </si>
  <si>
    <t>1230</t>
  </si>
  <si>
    <t>SDF4</t>
  </si>
  <si>
    <t>KY</t>
  </si>
  <si>
    <t>RXO7538547</t>
  </si>
  <si>
    <t>59739005912</t>
  </si>
  <si>
    <t>2D-20566987</t>
  </si>
  <si>
    <t>RXO7541226</t>
  </si>
  <si>
    <t>5/18/206</t>
  </si>
  <si>
    <t>5056001169</t>
  </si>
  <si>
    <t>2D-20735919</t>
  </si>
  <si>
    <t>RXO7541200</t>
  </si>
  <si>
    <t>00034912050</t>
  </si>
  <si>
    <t>2D-20329416</t>
  </si>
  <si>
    <t>RXO7541358</t>
  </si>
  <si>
    <t>451220243</t>
  </si>
  <si>
    <t xml:space="preserve">5/18/2026 6:35 PM (Mountain Daylight Time) Delivery was attempted by the destination service center; however, the recipient was not able to receive it. The shipment will not be taken back out for delivery until either the consignee or the shipper has contacted XPO Logistics with further instructions. Service Center: PHOENIX, AZ  </t>
  </si>
  <si>
    <t>RXO7541402</t>
  </si>
  <si>
    <t>5056001176</t>
  </si>
  <si>
    <t>RXO7541508</t>
  </si>
  <si>
    <t>5056001180</t>
  </si>
  <si>
    <t>2D-21089617</t>
  </si>
  <si>
    <t>RXO7541599</t>
  </si>
  <si>
    <t>451213921</t>
  </si>
  <si>
    <t>RXO7541641</t>
  </si>
  <si>
    <t>331845780</t>
  </si>
  <si>
    <t>Per Debbie, This shipment will be delivered today (5.21.2026)</t>
  </si>
  <si>
    <t>ABF FREIGHT SYSTEM, INC</t>
  </si>
  <si>
    <t xml:space="preserve"> RXO7550290</t>
  </si>
  <si>
    <t>451220416</t>
  </si>
  <si>
    <t xml:space="preserve"> 2D-21233136</t>
  </si>
  <si>
    <t>RXO7551827</t>
  </si>
  <si>
    <t>451217594</t>
  </si>
  <si>
    <t>2D-21059453</t>
  </si>
  <si>
    <t>RXO7551831</t>
  </si>
  <si>
    <t>121500540902</t>
  </si>
  <si>
    <t>2D-20885451</t>
  </si>
  <si>
    <t>RXO7552363</t>
  </si>
  <si>
    <t>00034912020</t>
  </si>
  <si>
    <t>RXO7552047</t>
  </si>
  <si>
    <t>451218154</t>
  </si>
  <si>
    <t>RXO7552254</t>
  </si>
  <si>
    <t>5056001273</t>
  </si>
  <si>
    <t>2D-21046449</t>
  </si>
  <si>
    <t>QMO9</t>
  </si>
  <si>
    <t>RXO7552692</t>
  </si>
  <si>
    <t>00034912041</t>
  </si>
  <si>
    <t>2D-20670384</t>
  </si>
  <si>
    <t>RXO7560689</t>
  </si>
  <si>
    <t>451216706</t>
  </si>
  <si>
    <t>2D-20720212</t>
  </si>
  <si>
    <t>23031175</t>
  </si>
  <si>
    <t>2D-20138570</t>
  </si>
  <si>
    <t xml:space="preserve">SMARTWAY CARRIER LLC </t>
  </si>
  <si>
    <t>23033539</t>
  </si>
  <si>
    <t>2D-20779939</t>
  </si>
  <si>
    <t xml:space="preserve">WHITE HILL LLC </t>
  </si>
  <si>
    <t>SNV2</t>
  </si>
  <si>
    <t xml:space="preserve"> NV</t>
  </si>
  <si>
    <t>RXO7567177</t>
  </si>
  <si>
    <t>451216301</t>
  </si>
  <si>
    <t>2D-20806268</t>
  </si>
  <si>
    <t>RXO7576928</t>
  </si>
  <si>
    <t>451224922</t>
  </si>
  <si>
    <t>RXO7579036</t>
  </si>
  <si>
    <t>637399206</t>
  </si>
  <si>
    <t xml:space="preserve">RAD1 </t>
  </si>
  <si>
    <t xml:space="preserve"> RXO7586369</t>
  </si>
  <si>
    <t>121500618400</t>
  </si>
  <si>
    <t>2D-20000443 2D-19978751 2D-20000418 2D-19868665</t>
  </si>
  <si>
    <t>RXO7579212</t>
  </si>
  <si>
    <t>451223065</t>
  </si>
  <si>
    <t>2D-20318786</t>
  </si>
  <si>
    <t>SAZ4</t>
  </si>
  <si>
    <t>23057132</t>
  </si>
  <si>
    <t>2D-20034210</t>
  </si>
  <si>
    <t>SMARTWAY CARRIER LLC</t>
  </si>
  <si>
    <t>AUS2</t>
  </si>
  <si>
    <t>RXO7592801</t>
  </si>
  <si>
    <t>451225353</t>
  </si>
  <si>
    <t>2D-21234044</t>
  </si>
  <si>
    <t>23066881</t>
  </si>
  <si>
    <t>2D-19734431 2D-19734428 2D-19734426</t>
  </si>
  <si>
    <t>IQRA TRANSPORTATION COMPANY</t>
  </si>
  <si>
    <t>RXO7603147</t>
  </si>
  <si>
    <t>451238981</t>
  </si>
  <si>
    <t>CALL XPO 5.28.2026</t>
  </si>
  <si>
    <t>2D-19252518</t>
  </si>
  <si>
    <t>23072280</t>
  </si>
  <si>
    <t xml:space="preserve">2D-19844172  2D-19797826  2D-19844149  2D-19871801 2D-19876516 </t>
  </si>
  <si>
    <t>MAYBACH INTERNATIONAL GROUP</t>
  </si>
  <si>
    <t>RXO7620235</t>
  </si>
  <si>
    <t>38845659</t>
  </si>
  <si>
    <t>Emailed RXO for new pick up date.</t>
  </si>
  <si>
    <t>RXO7631166</t>
  </si>
  <si>
    <t>121501025605</t>
  </si>
  <si>
    <t>2D-20021268 2D-20692044</t>
  </si>
  <si>
    <t>RXO7635046</t>
  </si>
  <si>
    <t>451228573</t>
  </si>
  <si>
    <t>Marked on - time based on appt being set</t>
  </si>
  <si>
    <t>2D-20183407</t>
  </si>
  <si>
    <t>RXO7637349</t>
  </si>
  <si>
    <t>5/29/22026</t>
  </si>
  <si>
    <t>451229100</t>
  </si>
  <si>
    <t>2D-19868052</t>
  </si>
  <si>
    <t>SEA37</t>
  </si>
  <si>
    <t>RXO7643572</t>
  </si>
  <si>
    <t>451230264</t>
  </si>
  <si>
    <t>2D-21057787</t>
  </si>
  <si>
    <t>8143</t>
  </si>
  <si>
    <t>RXO7643585</t>
  </si>
  <si>
    <t>270974964</t>
  </si>
  <si>
    <t>RXO7643834</t>
  </si>
  <si>
    <t>121501098701</t>
  </si>
  <si>
    <t>2D-20721436</t>
  </si>
  <si>
    <t>RXO7643995</t>
  </si>
  <si>
    <t>5056001203</t>
  </si>
  <si>
    <t>2D-20903097</t>
  </si>
  <si>
    <t>RXO7644433</t>
  </si>
  <si>
    <t>451230566</t>
  </si>
  <si>
    <t>2D-20023347</t>
  </si>
  <si>
    <t>1004</t>
  </si>
  <si>
    <t>RXO7645852</t>
  </si>
  <si>
    <t>5056001205</t>
  </si>
  <si>
    <t>2D-20243523</t>
  </si>
  <si>
    <t>23105725</t>
  </si>
  <si>
    <t>2D-18805744 2D-19251456</t>
  </si>
  <si>
    <t xml:space="preserve">LUND'S TRUCKING LLC </t>
  </si>
  <si>
    <t>23105762</t>
  </si>
  <si>
    <t xml:space="preserve"> RXO7655049</t>
  </si>
  <si>
    <t>451233075</t>
  </si>
  <si>
    <t xml:space="preserve"> 2D-21221421</t>
  </si>
  <si>
    <t xml:space="preserve"> RXO7657989</t>
  </si>
  <si>
    <t>451233672</t>
  </si>
  <si>
    <t>2D-21163493</t>
  </si>
  <si>
    <t>RXO7655857</t>
  </si>
  <si>
    <t>121501176704</t>
  </si>
  <si>
    <t>2D-21162712  2D-21186033 2D-20236922</t>
  </si>
  <si>
    <t>RXO7660200</t>
  </si>
  <si>
    <t>451238642</t>
  </si>
  <si>
    <t>2D-21264573</t>
  </si>
  <si>
    <t xml:space="preserve"> RXO7676611</t>
  </si>
  <si>
    <t>121501256800</t>
  </si>
  <si>
    <t>2D-21228745 2D-20243844 2D-20388150</t>
  </si>
  <si>
    <t>RXO7677932</t>
  </si>
  <si>
    <t>5056001262</t>
  </si>
  <si>
    <t>2D-20372360 2D-20270949</t>
  </si>
  <si>
    <t>RXO7690106</t>
  </si>
  <si>
    <t>451238830</t>
  </si>
  <si>
    <t>2D-21016150</t>
  </si>
  <si>
    <t>RXO7690271</t>
  </si>
  <si>
    <t>80642501</t>
  </si>
  <si>
    <t>2D-21041951</t>
  </si>
  <si>
    <t>DOHRN TRANSFER COMPANY</t>
  </si>
  <si>
    <t>AMA1</t>
  </si>
  <si>
    <t>RXO7693620</t>
  </si>
  <si>
    <t>451239913</t>
  </si>
  <si>
    <t>2D-21247688</t>
  </si>
  <si>
    <t>RXO7690566</t>
  </si>
  <si>
    <t>451239025</t>
  </si>
  <si>
    <t>2D-21077550</t>
  </si>
  <si>
    <t>MWH1</t>
  </si>
  <si>
    <t>RXO7690783</t>
  </si>
  <si>
    <t>451239121</t>
  </si>
  <si>
    <t>2D-21225591</t>
  </si>
  <si>
    <t>MEM6</t>
  </si>
  <si>
    <t>RXO7690839</t>
  </si>
  <si>
    <t>00034912305</t>
  </si>
  <si>
    <t>2D-21171421</t>
  </si>
  <si>
    <t>23143913</t>
  </si>
  <si>
    <t>2D-20236920 
2D-19464674 
2D-20226245 
2D-20253145 
2D-20329488 
2D-20327982 
2D-20241259 
2D-20238153 
J1-20908158</t>
  </si>
  <si>
    <t>AT LOGISTICS</t>
  </si>
  <si>
    <t>SYR1</t>
  </si>
  <si>
    <t>RXO7702249</t>
  </si>
  <si>
    <t>451241722</t>
  </si>
  <si>
    <t>2D-21377837</t>
  </si>
  <si>
    <t>RXO7703392</t>
  </si>
  <si>
    <t>121501440705</t>
  </si>
  <si>
    <t>J1-20908159 
2D-20687615 
2D-20238877</t>
  </si>
  <si>
    <t>RXO7704122</t>
  </si>
  <si>
    <t>121501444905</t>
  </si>
  <si>
    <t>2D-20924255</t>
  </si>
  <si>
    <t>RXO7704198</t>
  </si>
  <si>
    <t>451242201</t>
  </si>
  <si>
    <t>2D-21145154</t>
  </si>
  <si>
    <t>RXO7707740</t>
  </si>
  <si>
    <t>451243111</t>
  </si>
  <si>
    <t>2D-21274748</t>
  </si>
  <si>
    <t>RXO7707943</t>
  </si>
  <si>
    <t>451243170</t>
  </si>
  <si>
    <t>2D-21186024</t>
  </si>
  <si>
    <t>ISF3</t>
  </si>
  <si>
    <t>RXO7708118</t>
  </si>
  <si>
    <t>451243251</t>
  </si>
  <si>
    <t>Waiting for APPT</t>
  </si>
  <si>
    <t>2D-21408949</t>
  </si>
  <si>
    <t>RXO7708720</t>
  </si>
  <si>
    <t>451249864</t>
  </si>
  <si>
    <t xml:space="preserve"> 2D-21227567</t>
  </si>
  <si>
    <t xml:space="preserve"> RXO7709041</t>
  </si>
  <si>
    <t>381-520812</t>
  </si>
  <si>
    <t>2D-21288802</t>
  </si>
  <si>
    <t xml:space="preserve">OAK HARBOR FREIGHT LINES, INC. </t>
  </si>
  <si>
    <t>MOI1</t>
  </si>
  <si>
    <t>RXO7717440</t>
  </si>
  <si>
    <t>80642512</t>
  </si>
  <si>
    <t>2D-20919711</t>
  </si>
  <si>
    <t>RXO7717398</t>
  </si>
  <si>
    <t>811284299</t>
  </si>
  <si>
    <t>2D-20049298</t>
  </si>
  <si>
    <t>RXO7717602</t>
  </si>
  <si>
    <t>451245443</t>
  </si>
  <si>
    <t>SJC</t>
  </si>
  <si>
    <t>23173520</t>
  </si>
  <si>
    <t>GREEN LINE LOGISTICS INC</t>
  </si>
  <si>
    <t>SUT2</t>
  </si>
  <si>
    <t>RXO7721271</t>
  </si>
  <si>
    <t>451246386</t>
  </si>
  <si>
    <t>RXO7732108</t>
  </si>
  <si>
    <t>451247311</t>
  </si>
  <si>
    <t>RXO7732954</t>
  </si>
  <si>
    <t>121501618902</t>
  </si>
  <si>
    <t>2D-20925905</t>
  </si>
  <si>
    <t>YYZ3</t>
  </si>
  <si>
    <t>RXO7733153</t>
  </si>
  <si>
    <t>P3200821</t>
  </si>
  <si>
    <t xml:space="preserve">out for delivery </t>
  </si>
  <si>
    <t>5Z-20958985</t>
  </si>
  <si>
    <t>POLARIS TRANSPORT CARRIERS INC</t>
  </si>
  <si>
    <t>SIL5</t>
  </si>
  <si>
    <t>23194019</t>
  </si>
  <si>
    <t>2D-20318777 2D-20299597</t>
  </si>
  <si>
    <t>New Way Transport LLC</t>
  </si>
  <si>
    <t>RXO7752744</t>
  </si>
  <si>
    <t>451251356</t>
  </si>
  <si>
    <t>2D-20511334</t>
  </si>
  <si>
    <t>RXO7753298</t>
  </si>
  <si>
    <t>451251511</t>
  </si>
  <si>
    <t>2D-20963233</t>
  </si>
  <si>
    <t>RXO7759359</t>
  </si>
  <si>
    <t>00034912392</t>
  </si>
  <si>
    <t>23213158</t>
  </si>
  <si>
    <t>2D-21041087 2D-21044966 2D-21056587</t>
  </si>
  <si>
    <t>EM WAY INC</t>
  </si>
  <si>
    <t>RXO7760803</t>
  </si>
  <si>
    <t>121501795100</t>
  </si>
  <si>
    <t>2D-20957242 2D-19868665 2D-20687521</t>
  </si>
  <si>
    <t>RXO7763122</t>
  </si>
  <si>
    <t>451253364</t>
  </si>
  <si>
    <t>2D-21380697</t>
  </si>
  <si>
    <t>MTN9</t>
  </si>
  <si>
    <t>RXO7764278</t>
  </si>
  <si>
    <t>451253611</t>
  </si>
  <si>
    <t>2D-21402285</t>
  </si>
  <si>
    <t xml:space="preserve"> RXO7765460</t>
  </si>
  <si>
    <t>357964412</t>
  </si>
  <si>
    <t>RDU2</t>
  </si>
  <si>
    <t>RXO7765701</t>
  </si>
  <si>
    <t>121501834603</t>
  </si>
  <si>
    <t>2D-20886139</t>
  </si>
  <si>
    <t>HEU1</t>
  </si>
  <si>
    <t xml:space="preserve"> RXO7766764</t>
  </si>
  <si>
    <t>429-650001</t>
  </si>
  <si>
    <t>2D-21433017</t>
  </si>
  <si>
    <t>OXR1</t>
  </si>
  <si>
    <t xml:space="preserve"> RXO7788596</t>
  </si>
  <si>
    <t>451258205</t>
  </si>
  <si>
    <t>2D-21422780</t>
  </si>
  <si>
    <t>RXO7791524</t>
  </si>
  <si>
    <t>121502000200</t>
  </si>
  <si>
    <t>2D-20318777</t>
  </si>
  <si>
    <t xml:space="preserve">	RXO7802925</t>
  </si>
  <si>
    <t>451259723</t>
  </si>
  <si>
    <t>SCK1</t>
  </si>
  <si>
    <t>RXO7804507</t>
  </si>
  <si>
    <t>606904944</t>
  </si>
  <si>
    <t>2D-21239171</t>
  </si>
  <si>
    <t>1057</t>
  </si>
  <si>
    <t xml:space="preserve">	2D-20400650</t>
  </si>
  <si>
    <t>RXO7803209</t>
  </si>
  <si>
    <t>451259782</t>
  </si>
  <si>
    <t>RXO7804965</t>
  </si>
  <si>
    <t>121502041406</t>
  </si>
  <si>
    <t>MQY1</t>
  </si>
  <si>
    <t>RXO7804063</t>
  </si>
  <si>
    <t>00034912490</t>
  </si>
  <si>
    <t>2D-20401035</t>
  </si>
  <si>
    <t>ORD5</t>
  </si>
  <si>
    <t>RXO7804079</t>
  </si>
  <si>
    <t>00034912482</t>
  </si>
  <si>
    <t>2D-21263845</t>
  </si>
  <si>
    <t>HMY1</t>
  </si>
  <si>
    <t>LA</t>
  </si>
  <si>
    <t>RXO7815036</t>
  </si>
  <si>
    <t>163441062</t>
  </si>
  <si>
    <t>2D-21276510</t>
  </si>
  <si>
    <t>RXO7816916</t>
  </si>
  <si>
    <t>163441515</t>
  </si>
  <si>
    <t>2D-21297031</t>
  </si>
  <si>
    <t>RXO7818986</t>
  </si>
  <si>
    <t>163442123</t>
  </si>
  <si>
    <t>RXO7820799</t>
  </si>
  <si>
    <t>163442462</t>
  </si>
  <si>
    <t>2D-21297246</t>
  </si>
  <si>
    <t>SFW4</t>
  </si>
  <si>
    <t>23268074</t>
  </si>
  <si>
    <t>2D-20299439</t>
  </si>
  <si>
    <t>NOOR EXPRESS LOGISTICS INC</t>
  </si>
  <si>
    <t xml:space="preserve"> RXO7834112</t>
  </si>
  <si>
    <t>121502213202</t>
  </si>
  <si>
    <t>2D-20738176</t>
  </si>
  <si>
    <t>RXO7835828</t>
  </si>
  <si>
    <t>163445693</t>
  </si>
  <si>
    <t>FTW6</t>
  </si>
  <si>
    <t>RXO7835585</t>
  </si>
  <si>
    <t>163445601</t>
  </si>
  <si>
    <t>2D-21400138</t>
  </si>
  <si>
    <t>SCO1</t>
  </si>
  <si>
    <t>RXO7835866</t>
  </si>
  <si>
    <t>163445726</t>
  </si>
  <si>
    <t>2D-21449328</t>
  </si>
  <si>
    <t>RXO7835664</t>
  </si>
  <si>
    <t>163445623</t>
  </si>
  <si>
    <t>2D-20983076</t>
  </si>
  <si>
    <t>RXO4465</t>
  </si>
  <si>
    <t>4536380045</t>
  </si>
  <si>
    <t>RXO7837621</t>
  </si>
  <si>
    <t>00034912543</t>
  </si>
  <si>
    <t>out for delivery from LOWELL, IN (LOW)</t>
  </si>
  <si>
    <t>2D-21421030</t>
  </si>
  <si>
    <t>YHM5</t>
  </si>
  <si>
    <t>RXO7837709</t>
  </si>
  <si>
    <t>357967595</t>
  </si>
  <si>
    <t>SCHEDULED FOR DLV TODAY</t>
  </si>
  <si>
    <t>5Z-21329361</t>
  </si>
  <si>
    <t>SEA71</t>
  </si>
  <si>
    <t>RXO7836767</t>
  </si>
  <si>
    <t>163445866</t>
  </si>
  <si>
    <t>2D-21078254</t>
  </si>
  <si>
    <t>RXO7837019</t>
  </si>
  <si>
    <t>121502236403</t>
  </si>
  <si>
    <t>BFI4</t>
  </si>
  <si>
    <t>RXO7837473</t>
  </si>
  <si>
    <t>163445925</t>
  </si>
  <si>
    <t>2D-21277809</t>
  </si>
  <si>
    <t>SLN1</t>
  </si>
  <si>
    <t>23295921</t>
  </si>
  <si>
    <t>2D-20155812 2D-21343836 2D-20938694</t>
  </si>
  <si>
    <t>Diesel Powered Inc</t>
  </si>
  <si>
    <t>SSJ2</t>
  </si>
  <si>
    <t>23300498</t>
  </si>
  <si>
    <t>2D-20415917</t>
  </si>
  <si>
    <t xml:space="preserve">IMKAT TRANSPORTATION INC </t>
  </si>
  <si>
    <t>YOW6</t>
  </si>
  <si>
    <t>RXO7850398</t>
  </si>
  <si>
    <t>357967901</t>
  </si>
  <si>
    <t>Delayed by Late PU</t>
  </si>
  <si>
    <t>5Z-17987591</t>
  </si>
  <si>
    <t>23307405</t>
  </si>
  <si>
    <t>2D-19988019 2D-21603855</t>
  </si>
  <si>
    <t xml:space="preserve">ZION TRANSPORT LLC </t>
  </si>
  <si>
    <t>SPA3</t>
  </si>
  <si>
    <t xml:space="preserve">23309589 </t>
  </si>
  <si>
    <t>2D-19988081
2D-20537175
2D-20259476</t>
  </si>
  <si>
    <t xml:space="preserve">CARAVAN GROUP LLC </t>
  </si>
  <si>
    <t>RXO7879267</t>
  </si>
  <si>
    <t>828824864</t>
  </si>
  <si>
    <t xml:space="preserve">2D-21228704 </t>
  </si>
  <si>
    <t>RXO7876967</t>
  </si>
  <si>
    <t>163455320</t>
  </si>
  <si>
    <t>2D-20853916 2D-20924255</t>
  </si>
  <si>
    <t>RXO7877679</t>
  </si>
  <si>
    <t>163455316</t>
  </si>
  <si>
    <t>2D-20318795 2D-20183236</t>
  </si>
  <si>
    <t>SAX8</t>
  </si>
  <si>
    <t>RXO7878248</t>
  </si>
  <si>
    <t>163455541</t>
  </si>
  <si>
    <t>Site not ready to receive, Delivered to RAD13</t>
  </si>
  <si>
    <t>2D-19417997 2D-19704623</t>
  </si>
  <si>
    <t>OTX7</t>
  </si>
  <si>
    <t>RXO7878098</t>
  </si>
  <si>
    <t>163455460</t>
  </si>
  <si>
    <t>This shipment has been returned back to Denali IN until the October NBD</t>
  </si>
  <si>
    <t>2D-21156250</t>
  </si>
  <si>
    <t>RXO7878642</t>
  </si>
  <si>
    <t>5057002099</t>
  </si>
  <si>
    <t>2D-20168555</t>
  </si>
  <si>
    <t>PITT OHIO EXPRESS, LLC</t>
  </si>
  <si>
    <t>RXO7878939</t>
  </si>
  <si>
    <t>163455692</t>
  </si>
  <si>
    <t>2D-20402917</t>
  </si>
  <si>
    <t>RXO7879039</t>
  </si>
  <si>
    <t>163455725</t>
  </si>
  <si>
    <t>2D-20632648</t>
  </si>
  <si>
    <t>SAZ1</t>
  </si>
  <si>
    <t>RXO7879705</t>
  </si>
  <si>
    <t>163455876</t>
  </si>
  <si>
    <t>2D-21597741</t>
  </si>
  <si>
    <t>RXO7880280</t>
  </si>
  <si>
    <t>163456230</t>
  </si>
  <si>
    <t>2D-20020148</t>
  </si>
  <si>
    <t>SNJ5</t>
  </si>
  <si>
    <t>23331951</t>
  </si>
  <si>
    <t>Driver rec'd incorrect shipment. RXO decided to go with a different carrier see line 458</t>
  </si>
  <si>
    <t>2D-20259488</t>
  </si>
  <si>
    <t xml:space="preserve">GBU LOGISTICS INC </t>
  </si>
  <si>
    <t>23367667</t>
  </si>
  <si>
    <t xml:space="preserve">CARGO SOLUTION EXPRESS INC </t>
  </si>
  <si>
    <t>RXO7882454</t>
  </si>
  <si>
    <t>00034912643</t>
  </si>
  <si>
    <t>2D-20183407 2D-20692044 2D-20388150 2D-20372357 2D-20388200 2D-20604899</t>
  </si>
  <si>
    <t>RXO7883271</t>
  </si>
  <si>
    <t>5057002094</t>
  </si>
  <si>
    <t xml:space="preserve">6/23/2026 	9:27 AM 	Scheduled for Delivery to Consignee </t>
  </si>
  <si>
    <t>2D-20270949</t>
  </si>
  <si>
    <t>RXO7883488</t>
  </si>
  <si>
    <t>163456694</t>
  </si>
  <si>
    <t>2D-21077505</t>
  </si>
  <si>
    <t>RXO7883698</t>
  </si>
  <si>
    <t>163456753</t>
  </si>
  <si>
    <t>2D-20998983</t>
  </si>
  <si>
    <t>HMW3</t>
  </si>
  <si>
    <t>RXO7884067</t>
  </si>
  <si>
    <t>5057002053</t>
  </si>
  <si>
    <t>2D-21387553</t>
  </si>
  <si>
    <t xml:space="preserve"> RXO7883943</t>
  </si>
  <si>
    <t>163456786</t>
  </si>
  <si>
    <t>2D-20967628</t>
  </si>
  <si>
    <t>RXO7884135</t>
  </si>
  <si>
    <t>163456882</t>
  </si>
  <si>
    <t>RXO7884243</t>
  </si>
  <si>
    <t>163456893</t>
  </si>
  <si>
    <t>2D-21394579</t>
  </si>
  <si>
    <t>RXO7884267</t>
  </si>
  <si>
    <t>163456915</t>
  </si>
  <si>
    <t>DNA6</t>
  </si>
  <si>
    <t>RXO7884486</t>
  </si>
  <si>
    <t>00034912647</t>
  </si>
  <si>
    <t>Last Activity: In transit from LOUISVILLE, KY (LVL) to LEBANON, TN</t>
  </si>
  <si>
    <t>2D-21433596</t>
  </si>
  <si>
    <t>RXO7884699</t>
  </si>
  <si>
    <t>5057002065</t>
  </si>
  <si>
    <t>6/18/2026 	6:42 AM 	Arrived at PITT OHIO intermediate terminal in Harrisburg,PA</t>
  </si>
  <si>
    <t>2D-21352682</t>
  </si>
  <si>
    <t>SAV3</t>
  </si>
  <si>
    <t>RXO7885077</t>
  </si>
  <si>
    <t>163457022</t>
  </si>
  <si>
    <t>2D-21298754</t>
  </si>
  <si>
    <t>RXO7885320</t>
  </si>
  <si>
    <t>80642611</t>
  </si>
  <si>
    <t>RXO7885566</t>
  </si>
  <si>
    <t>5057002076</t>
  </si>
  <si>
    <t>2D-21372303</t>
  </si>
  <si>
    <t>PHL4</t>
  </si>
  <si>
    <t>RXO7885878</t>
  </si>
  <si>
    <t>5057002101</t>
  </si>
  <si>
    <t>PRO number changed however no data as of yet.</t>
  </si>
  <si>
    <t>2D-21238624</t>
  </si>
  <si>
    <t>MCO5</t>
  </si>
  <si>
    <t>RXO7891062</t>
  </si>
  <si>
    <t>163457453</t>
  </si>
  <si>
    <t>2D-21512852</t>
  </si>
  <si>
    <t>SWI2</t>
  </si>
  <si>
    <t>23343665</t>
  </si>
  <si>
    <t>ETA OF DLV 6.22.2026</t>
  </si>
  <si>
    <t>2D-19720080</t>
  </si>
  <si>
    <t>PDX TRANS LLC</t>
  </si>
  <si>
    <t>23347001</t>
  </si>
  <si>
    <t>2D-20108988 2D-20109006 2D-20109041 2D-20106813  2D-20108976  2D-20108979 2D-20106815 2D-20108995  2D-20108987 2D-20108978 2D-20108977</t>
  </si>
  <si>
    <t xml:space="preserve">ARAVAN CARGO INC </t>
  </si>
  <si>
    <t>RXO7901014</t>
  </si>
  <si>
    <t>00034912667</t>
  </si>
  <si>
    <t>2D-21172952</t>
  </si>
  <si>
    <t>2D-21704056</t>
  </si>
  <si>
    <t>RXO7907069</t>
  </si>
  <si>
    <t>163460135</t>
  </si>
  <si>
    <t>2D-21359070</t>
  </si>
  <si>
    <t>RXO7907121</t>
  </si>
  <si>
    <t>00034912676</t>
  </si>
  <si>
    <t>2D-21172902  2D-20318798</t>
  </si>
  <si>
    <t>RXO7907385</t>
  </si>
  <si>
    <t>163460216</t>
  </si>
  <si>
    <t>2D-20392732</t>
  </si>
  <si>
    <t xml:space="preserve"> RXO7907519</t>
  </si>
  <si>
    <t>163460290</t>
  </si>
  <si>
    <t>2D-21380692</t>
  </si>
  <si>
    <t xml:space="preserve"> RXO7907637</t>
  </si>
  <si>
    <t>80642631</t>
  </si>
  <si>
    <t>2D-21218595</t>
  </si>
  <si>
    <t>STL6</t>
  </si>
  <si>
    <t>RXO7909859</t>
  </si>
  <si>
    <t>5057002097</t>
  </si>
  <si>
    <t xml:space="preserve">6/22/2026 	5:17 AM 	Scheduled for Delivery to Consignee </t>
  </si>
  <si>
    <t>2D-20051217 2D-20123038</t>
  </si>
  <si>
    <t>SND2</t>
  </si>
  <si>
    <t>23356918</t>
  </si>
  <si>
    <t>2D-20388160</t>
  </si>
  <si>
    <t>USA FREIGHT INC</t>
  </si>
  <si>
    <t>SNJ6</t>
  </si>
  <si>
    <t>23369196</t>
  </si>
  <si>
    <t>2D-20415930</t>
  </si>
  <si>
    <t xml:space="preserve">AGA EXPRESS LLC </t>
  </si>
  <si>
    <t>RXO7935503</t>
  </si>
  <si>
    <t>253688385</t>
  </si>
  <si>
    <t>2D-21537910</t>
  </si>
  <si>
    <t>RXO7937093</t>
  </si>
  <si>
    <t>34912735</t>
  </si>
  <si>
    <t>RXO7942115</t>
  </si>
  <si>
    <t>163466295</t>
  </si>
  <si>
    <t>RXO7937363</t>
  </si>
  <si>
    <t>2D-19161343</t>
  </si>
  <si>
    <t>DAYTON FREIGHT LINES, INC.</t>
  </si>
  <si>
    <t>RXO7953350</t>
  </si>
  <si>
    <t>357971316</t>
  </si>
  <si>
    <t>5Z-21537726</t>
  </si>
  <si>
    <t>23394046</t>
  </si>
  <si>
    <t>2D-20111158</t>
  </si>
  <si>
    <t xml:space="preserve">CHASE LOGISTICS LLC </t>
  </si>
  <si>
    <t>DUK3</t>
  </si>
  <si>
    <t>23395106</t>
  </si>
  <si>
    <t>2D-20296310</t>
  </si>
  <si>
    <t>SARBEL EXPRESS INC</t>
  </si>
  <si>
    <t>DHS2</t>
  </si>
  <si>
    <t>23398709</t>
  </si>
  <si>
    <t xml:space="preserve">2D-20309756 </t>
  </si>
  <si>
    <t>RXO7964829</t>
  </si>
  <si>
    <t>5057002362</t>
  </si>
  <si>
    <t>2D-19862855</t>
  </si>
  <si>
    <t>23403365</t>
  </si>
  <si>
    <t>PU date changed</t>
  </si>
  <si>
    <t>2D-20829972</t>
  </si>
  <si>
    <t>FML LOGISTICS INC</t>
  </si>
  <si>
    <t>RXO7965990</t>
  </si>
  <si>
    <t>163470532</t>
  </si>
  <si>
    <t>2D-21599126</t>
  </si>
  <si>
    <t>RXO7966110</t>
  </si>
  <si>
    <t>163470764</t>
  </si>
  <si>
    <t>2D-21681440</t>
  </si>
  <si>
    <t>ABQ1</t>
  </si>
  <si>
    <t>NM</t>
  </si>
  <si>
    <t>RXO7966177</t>
  </si>
  <si>
    <t>16347814</t>
  </si>
  <si>
    <t>2D-21609438</t>
  </si>
  <si>
    <t>DHT2</t>
  </si>
  <si>
    <t>RXO7966697</t>
  </si>
  <si>
    <t>163471103</t>
  </si>
  <si>
    <t>2D-21475172</t>
  </si>
  <si>
    <t>DEN4</t>
  </si>
  <si>
    <t>RXO7966966</t>
  </si>
  <si>
    <t>163471593</t>
  </si>
  <si>
    <t>2D-21516052</t>
  </si>
  <si>
    <t>RXO7967287</t>
  </si>
  <si>
    <t>5057002509</t>
  </si>
  <si>
    <t>PPO4</t>
  </si>
  <si>
    <t>RXO7967489</t>
  </si>
  <si>
    <t>80642650</t>
  </si>
  <si>
    <t>2D-20922927</t>
  </si>
  <si>
    <t>RXO7967542</t>
  </si>
  <si>
    <t>163470860</t>
  </si>
  <si>
    <t>2D-21625118</t>
  </si>
  <si>
    <t xml:space="preserve"> RXO7967795</t>
  </si>
  <si>
    <t>163471954</t>
  </si>
  <si>
    <t>RXO7967966</t>
  </si>
  <si>
    <t>163472551</t>
  </si>
  <si>
    <t>2D-21394579 2D-21341943</t>
  </si>
  <si>
    <t>RXO7970582</t>
  </si>
  <si>
    <t>163470753</t>
  </si>
  <si>
    <t>2D-20126280</t>
  </si>
  <si>
    <t>DAK TRANSPORT INC</t>
  </si>
  <si>
    <t>2D-21718206</t>
  </si>
  <si>
    <t>SFL9</t>
  </si>
  <si>
    <t>23411967</t>
  </si>
  <si>
    <t>2D-21341126</t>
  </si>
  <si>
    <t xml:space="preserve">Zuza Logistics LLC </t>
  </si>
  <si>
    <t>RXO7982545</t>
  </si>
  <si>
    <t>00034912798</t>
  </si>
  <si>
    <t>2D-20000418 2D-20388168</t>
  </si>
  <si>
    <t>RXO7993557</t>
  </si>
  <si>
    <t>163475082</t>
  </si>
  <si>
    <t>2D-21229422</t>
  </si>
  <si>
    <t>DRK3</t>
  </si>
  <si>
    <t>23432584</t>
  </si>
  <si>
    <t>2D-20329276</t>
  </si>
  <si>
    <t>LANDSTAR RANGER, INC (GWYNN
LOGISTICS)</t>
  </si>
  <si>
    <t>23438071</t>
  </si>
  <si>
    <t>2D-20111952 2D-20111360 2D-20111953</t>
  </si>
  <si>
    <t>TAQWA TRUCKING LLC</t>
  </si>
  <si>
    <t>23438279</t>
  </si>
  <si>
    <t>2D-19932116</t>
  </si>
  <si>
    <t xml:space="preserve">Axper LLC (USD) </t>
  </si>
  <si>
    <t>RXO8007249</t>
  </si>
  <si>
    <t>163479503</t>
  </si>
  <si>
    <t>2D-20402475</t>
  </si>
  <si>
    <t>RXO8007687</t>
  </si>
  <si>
    <t>163478033</t>
  </si>
  <si>
    <t>2D-20477667</t>
  </si>
  <si>
    <t>RXO8009551</t>
  </si>
  <si>
    <t>80642656</t>
  </si>
  <si>
    <t>2D-20402470</t>
  </si>
  <si>
    <t>23446838</t>
  </si>
  <si>
    <t>2D-20111949 2D-20111788 2D-20116361 2D-20111950 2D-20114236 2D-20116377</t>
  </si>
  <si>
    <t xml:space="preserve">RAASO TRUCKING LLC </t>
  </si>
  <si>
    <t>SAH2</t>
  </si>
  <si>
    <t>23450170</t>
  </si>
  <si>
    <t>2D-20318809 2D-20318766</t>
  </si>
  <si>
    <t>KRYPTON LOGISTICS LLC</t>
  </si>
  <si>
    <t>23446037</t>
  </si>
  <si>
    <t>2D-21570827</t>
  </si>
  <si>
    <t>ZION TRANSPORT LLC</t>
  </si>
  <si>
    <t>23446193</t>
  </si>
  <si>
    <t>2D-21570859</t>
  </si>
  <si>
    <t>PARK TRANS LLC</t>
  </si>
  <si>
    <t>23446324</t>
  </si>
  <si>
    <t>2D-21587796</t>
  </si>
  <si>
    <t>Trinity Valley Transportation LLC</t>
  </si>
  <si>
    <t>23446548</t>
  </si>
  <si>
    <t>2D-21570871</t>
  </si>
  <si>
    <t xml:space="preserve">CRV EXPRESS LOGISTICS INC </t>
  </si>
  <si>
    <t>23446856</t>
  </si>
  <si>
    <t>2D-21587797</t>
  </si>
  <si>
    <t>23447024</t>
  </si>
  <si>
    <t>2D-21570825</t>
  </si>
  <si>
    <t>NBL</t>
  </si>
  <si>
    <t>OPA9</t>
  </si>
  <si>
    <t>23447031</t>
  </si>
  <si>
    <t>2D-21570864</t>
  </si>
  <si>
    <t>VMVM LOGISTICS LLC</t>
  </si>
  <si>
    <t>23447124</t>
  </si>
  <si>
    <t>2D-21587798</t>
  </si>
  <si>
    <t>ASAP GIO CORP</t>
  </si>
  <si>
    <t>RXO8019779</t>
  </si>
  <si>
    <t>163479282</t>
  </si>
  <si>
    <t>2D-20936743</t>
  </si>
  <si>
    <t>RXO8020836</t>
  </si>
  <si>
    <t>00034912862</t>
  </si>
  <si>
    <t>Delivered to destination 7/02/2026 10:23 AM. Avoided FTL by using LTL Guaranteed.</t>
  </si>
  <si>
    <t>2D-20922000</t>
  </si>
  <si>
    <t>RXO8021554</t>
  </si>
  <si>
    <t>5057002792</t>
  </si>
  <si>
    <t>2D-20372360</t>
  </si>
  <si>
    <t>LAN2</t>
  </si>
  <si>
    <t>RXO8021559</t>
  </si>
  <si>
    <t>5057002762</t>
  </si>
  <si>
    <t>2D-20927296</t>
  </si>
  <si>
    <t>23456099</t>
  </si>
  <si>
    <t>2D-20922465</t>
  </si>
  <si>
    <t xml:space="preserve">Aml Freight Inc (USD) </t>
  </si>
  <si>
    <t>RDU4</t>
  </si>
  <si>
    <t>RXO8025890</t>
  </si>
  <si>
    <t>163481474</t>
  </si>
  <si>
    <t>2D-20966999</t>
  </si>
  <si>
    <t>WBW2</t>
  </si>
  <si>
    <t>RXO8025800</t>
  </si>
  <si>
    <t>163480133</t>
  </si>
  <si>
    <t>2D-20919781</t>
  </si>
  <si>
    <t>YXX1</t>
  </si>
  <si>
    <t>BC</t>
  </si>
  <si>
    <t>RXO8026144</t>
  </si>
  <si>
    <t>357973943</t>
  </si>
  <si>
    <t>5Z-21512917</t>
  </si>
  <si>
    <t>RXO8026336</t>
  </si>
  <si>
    <t>87549605</t>
  </si>
  <si>
    <t>2D-21631381</t>
  </si>
  <si>
    <t>RXO8032279</t>
  </si>
  <si>
    <t>163483246</t>
  </si>
  <si>
    <t>2D-21763836</t>
  </si>
  <si>
    <t>23467322</t>
  </si>
  <si>
    <t>2D-21151287</t>
  </si>
  <si>
    <t>DAR-US INC</t>
  </si>
  <si>
    <t>1410</t>
  </si>
  <si>
    <t>2D-20391636</t>
  </si>
  <si>
    <t>IAG2</t>
  </si>
  <si>
    <t>RXO8037138</t>
  </si>
  <si>
    <t>163482410</t>
  </si>
  <si>
    <t>SBD6</t>
  </si>
  <si>
    <t>RXO8039289</t>
  </si>
  <si>
    <t>163482723</t>
  </si>
  <si>
    <t>2D-20517452</t>
  </si>
  <si>
    <t>RXO8036612</t>
  </si>
  <si>
    <t>163483191</t>
  </si>
  <si>
    <t>2D-20304323</t>
  </si>
  <si>
    <t>RXO8037011</t>
  </si>
  <si>
    <t>163482266</t>
  </si>
  <si>
    <t>2D-21210923</t>
  </si>
  <si>
    <t>RXO8047534</t>
  </si>
  <si>
    <t>163486761</t>
  </si>
  <si>
    <t>2D-21228713</t>
  </si>
  <si>
    <t>RXO8047835</t>
  </si>
  <si>
    <t>163487321</t>
  </si>
  <si>
    <t>2D-21186382</t>
  </si>
  <si>
    <t>RXO8063283</t>
  </si>
  <si>
    <t>80642668</t>
  </si>
  <si>
    <t>2D-20956748</t>
  </si>
  <si>
    <t>23495645</t>
  </si>
  <si>
    <t>BEST TRANSPORTATION</t>
  </si>
  <si>
    <t>RXO8074421</t>
  </si>
  <si>
    <t>163486680</t>
  </si>
  <si>
    <t>2D-21656274</t>
  </si>
  <si>
    <t>RXO8077716</t>
  </si>
  <si>
    <t>5057002535</t>
  </si>
  <si>
    <t>2D-21132456</t>
  </si>
  <si>
    <t>RXO8079861</t>
  </si>
  <si>
    <t>216794583</t>
  </si>
  <si>
    <t xml:space="preserve">	RXO8081120</t>
  </si>
  <si>
    <t>00034912953</t>
  </si>
  <si>
    <t>2D-21132489</t>
  </si>
  <si>
    <t>2D-21918554</t>
  </si>
  <si>
    <t xml:space="preserve">	RXO8081858</t>
  </si>
  <si>
    <t>23512973</t>
  </si>
  <si>
    <t>2D-21162712</t>
  </si>
  <si>
    <t>DDK3</t>
  </si>
  <si>
    <t>RXO8083387</t>
  </si>
  <si>
    <t>216795283</t>
  </si>
  <si>
    <t>2D-21100527</t>
  </si>
  <si>
    <t>RXO8083345</t>
  </si>
  <si>
    <t>216795246</t>
  </si>
  <si>
    <t>2D-20737858</t>
  </si>
  <si>
    <t>RXO8094378</t>
  </si>
  <si>
    <t>216797210</t>
  </si>
  <si>
    <t>2D-21719682</t>
  </si>
  <si>
    <t>RXO8103788</t>
  </si>
  <si>
    <t>00034912995</t>
  </si>
  <si>
    <t>2D-20124856 2D-19972150 2D-19809322</t>
  </si>
  <si>
    <t>RXO8103698</t>
  </si>
  <si>
    <t>216798654</t>
  </si>
  <si>
    <t>2D-21138468</t>
  </si>
  <si>
    <t>RXO8105206</t>
  </si>
  <si>
    <t>5057003072</t>
  </si>
  <si>
    <t>2D-21464678</t>
  </si>
  <si>
    <t xml:space="preserve">	RXO8109037</t>
  </si>
  <si>
    <t>216800006</t>
  </si>
  <si>
    <t>2D-21593206 2D-21600220</t>
  </si>
  <si>
    <t>23538976</t>
  </si>
  <si>
    <t>TUNKARA TRUCKING LLC</t>
  </si>
  <si>
    <t>23538119</t>
  </si>
  <si>
    <t xml:space="preserve">USA FREIGHT INC </t>
  </si>
  <si>
    <t>23538394</t>
  </si>
  <si>
    <t>2D-21857051</t>
  </si>
  <si>
    <t>23538940</t>
  </si>
  <si>
    <t>2D-21617437</t>
  </si>
  <si>
    <t>Trinity Valley Transportation LLC (USD)</t>
  </si>
  <si>
    <t>23539320</t>
  </si>
  <si>
    <t>23539606</t>
  </si>
  <si>
    <t xml:space="preserve">	2D-21570825</t>
  </si>
  <si>
    <t xml:space="preserve">ASAP GIO CORP </t>
  </si>
  <si>
    <t>23539922</t>
  </si>
  <si>
    <t>23540016</t>
  </si>
  <si>
    <t>Tomi Express LLC (USD)</t>
  </si>
  <si>
    <t>23540410</t>
  </si>
  <si>
    <t>USKO EXPEDITE INC</t>
  </si>
  <si>
    <t>23540217</t>
  </si>
  <si>
    <t>MGR FREIGHT SYSTEM INC</t>
  </si>
  <si>
    <t>YHM1</t>
  </si>
  <si>
    <t>23546670</t>
  </si>
  <si>
    <t>5Z-21801116</t>
  </si>
  <si>
    <t xml:space="preserve">WHEEL KING TRANSHAUL INC </t>
  </si>
  <si>
    <t xml:space="preserve">	RXO8116593</t>
  </si>
  <si>
    <t>34913017</t>
  </si>
  <si>
    <t>2D-20701468</t>
  </si>
  <si>
    <t>RXO8118435</t>
  </si>
  <si>
    <t>537998705</t>
  </si>
  <si>
    <t>BDL5</t>
  </si>
  <si>
    <t xml:space="preserve">	RXO8132008</t>
  </si>
  <si>
    <t>216802913</t>
  </si>
  <si>
    <t>2D-21386292</t>
  </si>
  <si>
    <t>RXO8139548</t>
  </si>
  <si>
    <t>216804195</t>
  </si>
  <si>
    <t>2D-21889140</t>
  </si>
  <si>
    <t>RXO8139271</t>
  </si>
  <si>
    <t>216804151</t>
  </si>
  <si>
    <t>2D-21752283</t>
  </si>
  <si>
    <t>RXO8147533</t>
  </si>
  <si>
    <t>5057002238</t>
  </si>
  <si>
    <t>2D-21762041</t>
  </si>
  <si>
    <t>RXO8154705</t>
  </si>
  <si>
    <t>00034913066</t>
  </si>
  <si>
    <t>7/23/2026 (ETA/Appointment)</t>
  </si>
  <si>
    <t>2D-20417930 2D-18734556</t>
  </si>
  <si>
    <t>RXO8154856</t>
  </si>
  <si>
    <t>216807205</t>
  </si>
  <si>
    <t>2D-20340334</t>
  </si>
  <si>
    <t>RXO8155070</t>
  </si>
  <si>
    <t>59739010243</t>
  </si>
  <si>
    <t>23581423</t>
  </si>
  <si>
    <t>NEED  TO EMAIL RXO</t>
  </si>
  <si>
    <t>CRV EXPRESS LOGISTICS INC BOL</t>
  </si>
  <si>
    <t>RXO8155682</t>
  </si>
  <si>
    <t>00034913067</t>
  </si>
  <si>
    <t>DDX3</t>
  </si>
  <si>
    <t>RXO8160806</t>
  </si>
  <si>
    <t>59739011928</t>
  </si>
  <si>
    <t>2D-21090968</t>
  </si>
  <si>
    <t>RXO8160255</t>
  </si>
  <si>
    <t>5057002395</t>
  </si>
  <si>
    <t>2D-21113171</t>
  </si>
  <si>
    <t>23584385</t>
  </si>
  <si>
    <t>2D-20095798 2D-20124858</t>
  </si>
  <si>
    <t xml:space="preserve">DM TRUCKING LLC </t>
  </si>
  <si>
    <t>RXO8160785</t>
  </si>
  <si>
    <t>00034913072</t>
  </si>
  <si>
    <t>2D-20318795</t>
  </si>
  <si>
    <t>WMS1</t>
  </si>
  <si>
    <t>RXO8161239</t>
  </si>
  <si>
    <t>216808130</t>
  </si>
  <si>
    <t>2D-20927949</t>
  </si>
  <si>
    <t>RXO8161368</t>
  </si>
  <si>
    <t>216808200</t>
  </si>
  <si>
    <t>2D-20935579</t>
  </si>
  <si>
    <t>WND2</t>
  </si>
  <si>
    <t>ND</t>
  </si>
  <si>
    <t>RXO8161974</t>
  </si>
  <si>
    <t>216810554</t>
  </si>
  <si>
    <t>2D-20265627</t>
  </si>
  <si>
    <t>RXO8163595</t>
  </si>
  <si>
    <t>80642739</t>
  </si>
  <si>
    <t>RXO8162904</t>
  </si>
  <si>
    <t>216808572</t>
  </si>
  <si>
    <t>2D-20463046</t>
  </si>
  <si>
    <t xml:space="preserve">	RXO8164052</t>
  </si>
  <si>
    <t>216809106</t>
  </si>
  <si>
    <t>23591063</t>
  </si>
  <si>
    <t>2D-22002834</t>
  </si>
  <si>
    <t xml:space="preserve">LION KING EXPRESS INC </t>
  </si>
  <si>
    <t>SHI</t>
  </si>
  <si>
    <t>Was already shipped</t>
  </si>
  <si>
    <t>2D-20404307</t>
  </si>
  <si>
    <t>AIR</t>
  </si>
  <si>
    <t>RXO AIR TRANSPORT LLC</t>
  </si>
  <si>
    <t>NDA-GS</t>
  </si>
  <si>
    <t>2D-22012747</t>
  </si>
  <si>
    <t>2D-20402462</t>
  </si>
  <si>
    <t>2D-22015357</t>
  </si>
  <si>
    <t>2D-20446243</t>
  </si>
  <si>
    <t xml:space="preserve">SUPERIOR TRANSPORTATION INC </t>
  </si>
  <si>
    <t>2D-22012756</t>
  </si>
  <si>
    <t xml:space="preserve">	RXO8174631</t>
  </si>
  <si>
    <t>216810440</t>
  </si>
  <si>
    <t>2D-21668278</t>
  </si>
  <si>
    <t>RXO8174877</t>
  </si>
  <si>
    <t xml:space="preserve">	RXO8175182</t>
  </si>
  <si>
    <t>216810580</t>
  </si>
  <si>
    <t>2D-21668381</t>
  </si>
  <si>
    <t>RXO8175231</t>
  </si>
  <si>
    <t>80642758</t>
  </si>
  <si>
    <t>2D-21631432</t>
  </si>
  <si>
    <t>RXO8175508</t>
  </si>
  <si>
    <t>80642764</t>
  </si>
  <si>
    <t>2D-21631431</t>
  </si>
  <si>
    <t>RXO8175661</t>
  </si>
  <si>
    <t>80642769</t>
  </si>
  <si>
    <t>RXO8175843</t>
  </si>
  <si>
    <t>5057002599</t>
  </si>
  <si>
    <t xml:space="preserve">7/17/2026 	8:47 AM 	Shipment out for delivery to consignee in Tremont, PA </t>
  </si>
  <si>
    <t>2D-21631608</t>
  </si>
  <si>
    <t>DKY4</t>
  </si>
  <si>
    <t>RXO8178239</t>
  </si>
  <si>
    <t>216811265</t>
  </si>
  <si>
    <t>2D-21770301</t>
  </si>
  <si>
    <t>RXO8179746</t>
  </si>
  <si>
    <t>216811556</t>
  </si>
  <si>
    <t>Shipment is scheduled to move today</t>
  </si>
  <si>
    <t>2D-21733935</t>
  </si>
  <si>
    <t>2D-22345260</t>
  </si>
  <si>
    <t>23607317</t>
  </si>
  <si>
    <t>2D-22003788</t>
  </si>
  <si>
    <t>2SONS TRUCKING LLC</t>
  </si>
  <si>
    <t>RXO8193942</t>
  </si>
  <si>
    <t>216813822</t>
  </si>
  <si>
    <t>DOK4</t>
  </si>
  <si>
    <t>OK</t>
  </si>
  <si>
    <t>RXO8194628</t>
  </si>
  <si>
    <t>216814006</t>
  </si>
  <si>
    <t>2D-21275997</t>
  </si>
  <si>
    <t>DDA9</t>
  </si>
  <si>
    <t>RXO8195743</t>
  </si>
  <si>
    <t>216817941</t>
  </si>
  <si>
    <t>2D-21275326</t>
  </si>
  <si>
    <t>RXO8194401</t>
  </si>
  <si>
    <t>216813914</t>
  </si>
  <si>
    <t>2D-21275909</t>
  </si>
  <si>
    <t>2D-22345221</t>
  </si>
  <si>
    <t>RXO8206987</t>
  </si>
  <si>
    <t>216815012</t>
  </si>
  <si>
    <t>RXO8211048</t>
  </si>
  <si>
    <t>216816036</t>
  </si>
  <si>
    <t>2D-22345236</t>
  </si>
  <si>
    <t>WFB1</t>
  </si>
  <si>
    <t>AK</t>
  </si>
  <si>
    <t>RXO8195709</t>
  </si>
  <si>
    <t>216814636</t>
  </si>
  <si>
    <t>2D-21275429</t>
  </si>
  <si>
    <t>DUT3</t>
  </si>
  <si>
    <t>RXO8211436</t>
  </si>
  <si>
    <t>216820004</t>
  </si>
  <si>
    <t>2D-21275387</t>
  </si>
  <si>
    <t>DDF2</t>
  </si>
  <si>
    <t>RXO8211840</t>
  </si>
  <si>
    <t>216816176</t>
  </si>
  <si>
    <t xml:space="preserve">7/24/2026 6:19 AM (Mountain Daylight Time) Service Exemption is processed by the XPO Logistics with exclusive discretion under the following circumstances:&lt;br/&gt; 1.When freight movement is significantly delayed due to acts of God, weather, or due to the intervention of a governmental authority, including when freight movement is delayed due to the closure of a road or highway on the scheduled route by federal, state or local authorities.&lt;br/&gt; 2. When Customs delays freight movement at border crossings. Exemption allowed only if the delay is 2 hours or more and is caused by Customs clearing the freight at the border-crossing point, assuming that the shipment arrived on-time at the border.
Service Center: SALT LAKE CITY, UT </t>
  </si>
  <si>
    <t>2D-21275272</t>
  </si>
  <si>
    <t>DOH3</t>
  </si>
  <si>
    <t>RXO8222874</t>
  </si>
  <si>
    <t>2D-21276073</t>
  </si>
  <si>
    <t>RXO8212403</t>
  </si>
  <si>
    <t>00034913143</t>
  </si>
  <si>
    <t>23630402</t>
  </si>
  <si>
    <t>2D-20994227</t>
  </si>
  <si>
    <t>CRV EXPRESS LOGISTICS INC</t>
  </si>
  <si>
    <t>23637915</t>
  </si>
  <si>
    <t>23641880</t>
  </si>
  <si>
    <t xml:space="preserve">RXO AIR TRANSPORT LLC </t>
  </si>
  <si>
    <t>23638455</t>
  </si>
  <si>
    <t xml:space="preserve">Axper LLC </t>
  </si>
  <si>
    <t>OTX9</t>
  </si>
  <si>
    <t xml:space="preserve">	RXO8224696</t>
  </si>
  <si>
    <t>216818335</t>
  </si>
  <si>
    <t>2D-21043962</t>
  </si>
  <si>
    <t>YHM2</t>
  </si>
  <si>
    <t>RXO8224382</t>
  </si>
  <si>
    <t>357980140</t>
  </si>
  <si>
    <t>5Z-21314657</t>
  </si>
  <si>
    <t xml:space="preserve"> TFORCE FREIGHT INC </t>
  </si>
  <si>
    <t>RXO8224693</t>
  </si>
  <si>
    <t>5057002614</t>
  </si>
  <si>
    <t>2D-19988081</t>
  </si>
  <si>
    <t>PITT OHIO EXPRESS LLC</t>
  </si>
  <si>
    <t xml:space="preserve">	RXO8225037</t>
  </si>
  <si>
    <t>832568573</t>
  </si>
  <si>
    <t>2D-21018174</t>
  </si>
  <si>
    <t>DXO4</t>
  </si>
  <si>
    <t>RXO8225121</t>
  </si>
  <si>
    <t>216818453</t>
  </si>
  <si>
    <t>2D-21056354</t>
  </si>
  <si>
    <t>DLI6</t>
  </si>
  <si>
    <t>RXO8225647</t>
  </si>
  <si>
    <t>82036437</t>
  </si>
  <si>
    <t>2D-21275230</t>
  </si>
  <si>
    <t xml:space="preserve">	RXO8226511</t>
  </si>
  <si>
    <t>216818873</t>
  </si>
  <si>
    <t>2D-19417997</t>
  </si>
  <si>
    <t>RXO8229017</t>
  </si>
  <si>
    <t>216819411</t>
  </si>
  <si>
    <t>2D-20966999 2D-21044727</t>
  </si>
  <si>
    <t>OKC1</t>
  </si>
  <si>
    <t xml:space="preserve">	RXO8238926</t>
  </si>
  <si>
    <t>216821474</t>
  </si>
  <si>
    <t>2D-21262236</t>
  </si>
  <si>
    <t>STL8</t>
  </si>
  <si>
    <t xml:space="preserve">	RXO8239366</t>
  </si>
  <si>
    <t>216821625</t>
  </si>
  <si>
    <t>2D-21262030</t>
  </si>
  <si>
    <t>PHX6</t>
  </si>
  <si>
    <t>RXO8239615</t>
  </si>
  <si>
    <t>216821732</t>
  </si>
  <si>
    <t>2D-21276315</t>
  </si>
  <si>
    <t>TUL2</t>
  </si>
  <si>
    <t xml:space="preserve">	RXO8239554</t>
  </si>
  <si>
    <t>216821706</t>
  </si>
  <si>
    <t>2D-21261984</t>
  </si>
  <si>
    <t>RXO8240041</t>
  </si>
  <si>
    <t>216821835</t>
  </si>
  <si>
    <t>2D-21276143</t>
  </si>
  <si>
    <t>CNO5</t>
  </si>
  <si>
    <t>RXO8241493</t>
  </si>
  <si>
    <t>674657056</t>
  </si>
  <si>
    <t>2D-21275052</t>
  </si>
  <si>
    <t>2D-22345308</t>
  </si>
  <si>
    <t>MCI7</t>
  </si>
  <si>
    <t>RXO8241435</t>
  </si>
  <si>
    <t>216822196</t>
  </si>
  <si>
    <t>2D-21276398</t>
  </si>
  <si>
    <t>FTW3</t>
  </si>
  <si>
    <t>RXO8240865</t>
  </si>
  <si>
    <t>216822023</t>
  </si>
  <si>
    <t>2D-21276117</t>
  </si>
  <si>
    <t>RXO8250853</t>
  </si>
  <si>
    <t>216823806</t>
  </si>
  <si>
    <t>FTW5</t>
  </si>
  <si>
    <t>RXO8251083</t>
  </si>
  <si>
    <t>216823832</t>
  </si>
  <si>
    <t>2D-21276116</t>
  </si>
  <si>
    <t>23667140</t>
  </si>
  <si>
    <t>2D-21275992</t>
  </si>
  <si>
    <t xml:space="preserve">PAL LOGISTIC INC </t>
  </si>
  <si>
    <t>KAFW</t>
  </si>
  <si>
    <t>RXO8251990</t>
  </si>
  <si>
    <t>216824053</t>
  </si>
  <si>
    <t>2D-21276441</t>
  </si>
  <si>
    <t>WWG1</t>
  </si>
  <si>
    <t>RXO8252295</t>
  </si>
  <si>
    <t>216824160</t>
  </si>
  <si>
    <t>2D-21275672</t>
  </si>
  <si>
    <t>WZN4</t>
  </si>
  <si>
    <t>RXO8252486</t>
  </si>
  <si>
    <t>216824226</t>
  </si>
  <si>
    <t>2D-21275729</t>
  </si>
  <si>
    <t>DAU7</t>
  </si>
  <si>
    <t>RXO8252471</t>
  </si>
  <si>
    <t>216824230</t>
  </si>
  <si>
    <t>2D-21275872</t>
  </si>
  <si>
    <t>DLX1</t>
  </si>
  <si>
    <t>RXO8252781</t>
  </si>
  <si>
    <t>216824333</t>
  </si>
  <si>
    <t>2D-21275270</t>
  </si>
  <si>
    <t>TCY1</t>
  </si>
  <si>
    <t>RXO8253037</t>
  </si>
  <si>
    <t>216824366</t>
  </si>
  <si>
    <t xml:space="preserve">2D-21314802 </t>
  </si>
  <si>
    <t>SAX6</t>
  </si>
  <si>
    <t>RXO8253176</t>
  </si>
  <si>
    <t>216824392</t>
  </si>
  <si>
    <t>2D-21275540</t>
  </si>
  <si>
    <t>DDX6</t>
  </si>
  <si>
    <t>RXO8253149</t>
  </si>
  <si>
    <t>216824381</t>
  </si>
  <si>
    <t xml:space="preserve">2D-21275273 </t>
  </si>
  <si>
    <t>WMT3</t>
  </si>
  <si>
    <t>MT</t>
  </si>
  <si>
    <t>RXO8253393</t>
  </si>
  <si>
    <t>216824451</t>
  </si>
  <si>
    <t>2D-21275409</t>
  </si>
  <si>
    <t>UWA6</t>
  </si>
  <si>
    <t>RXO8253364</t>
  </si>
  <si>
    <t>101091572</t>
  </si>
  <si>
    <t>?</t>
  </si>
  <si>
    <t>2D-21314830</t>
  </si>
  <si>
    <t>2D-22345251</t>
  </si>
  <si>
    <t>POC1</t>
  </si>
  <si>
    <t>RXO8253506</t>
  </si>
  <si>
    <t>216824473</t>
  </si>
  <si>
    <t xml:space="preserve">2D-21314882 </t>
  </si>
  <si>
    <t>23669551</t>
  </si>
  <si>
    <t>2D-20111988 2D-20116363 2D-20116365 2D-20116376 2D-20116378 2D-20116379 2D-20116362</t>
  </si>
  <si>
    <t>Landstar Ranger Inc</t>
  </si>
  <si>
    <t>POC2</t>
  </si>
  <si>
    <t>RXO8255003</t>
  </si>
  <si>
    <t>216828124</t>
  </si>
  <si>
    <t>2D-21314879</t>
  </si>
  <si>
    <t>DIB7</t>
  </si>
  <si>
    <t>RXO8255515</t>
  </si>
  <si>
    <t>216826245</t>
  </si>
  <si>
    <t>2D-21275277</t>
  </si>
  <si>
    <t>HLI2</t>
  </si>
  <si>
    <t>RXO8255295</t>
  </si>
  <si>
    <t>216824926</t>
  </si>
  <si>
    <t>2D-21275383</t>
  </si>
  <si>
    <t>DAU5</t>
  </si>
  <si>
    <t>RXO8255461</t>
  </si>
  <si>
    <t>216826223</t>
  </si>
  <si>
    <t>2D-21275057</t>
  </si>
  <si>
    <t>SBD3</t>
  </si>
  <si>
    <t>RXO8255577</t>
  </si>
  <si>
    <t>216826271</t>
  </si>
  <si>
    <t>2D-21275529</t>
  </si>
  <si>
    <t>RXO8255922</t>
  </si>
  <si>
    <t>216827796</t>
  </si>
  <si>
    <t>23677521</t>
  </si>
  <si>
    <t>OGS9 escalation shipment</t>
  </si>
  <si>
    <t xml:space="preserve">	2D-20477660</t>
  </si>
  <si>
    <t>2D-22108366</t>
  </si>
  <si>
    <t>WPT2</t>
  </si>
  <si>
    <t>RXO8265968</t>
  </si>
  <si>
    <t>216838705</t>
  </si>
  <si>
    <t>2D-21275677</t>
  </si>
  <si>
    <t>RXO8278584</t>
  </si>
  <si>
    <t>216847400</t>
  </si>
  <si>
    <t>2D-21275838</t>
  </si>
  <si>
    <t>DCA2</t>
  </si>
  <si>
    <t>RXO8278724</t>
  </si>
  <si>
    <t>216848520</t>
  </si>
  <si>
    <t>2D-21275915</t>
  </si>
  <si>
    <t>LGB9</t>
  </si>
  <si>
    <t>RXO8278910</t>
  </si>
  <si>
    <t>216849710</t>
  </si>
  <si>
    <t>2D-21915178</t>
  </si>
  <si>
    <t>SNA3</t>
  </si>
  <si>
    <t>RXO8279317</t>
  </si>
  <si>
    <t>216850664</t>
  </si>
  <si>
    <t>2D-21932286</t>
  </si>
  <si>
    <t>7020</t>
  </si>
  <si>
    <t>LEX1</t>
  </si>
  <si>
    <t>RXO8280043</t>
  </si>
  <si>
    <t>216850734</t>
  </si>
  <si>
    <t>2D-21276400</t>
  </si>
  <si>
    <t>DMS2</t>
  </si>
  <si>
    <t>RXO8280283</t>
  </si>
  <si>
    <t>216825114</t>
  </si>
  <si>
    <t>2D-21276031</t>
  </si>
  <si>
    <t>RXO8268270</t>
  </si>
  <si>
    <t>216843852</t>
  </si>
  <si>
    <t>2D-21276268</t>
  </si>
  <si>
    <t>RXO8268404</t>
  </si>
  <si>
    <t>216845263</t>
  </si>
  <si>
    <t>2D-21275384</t>
  </si>
  <si>
    <t>SCA2</t>
  </si>
  <si>
    <t>RXO8268588</t>
  </si>
  <si>
    <t>216845834</t>
  </si>
  <si>
    <t>2D-21275412</t>
  </si>
  <si>
    <t>23676179</t>
  </si>
  <si>
    <t>OOH9 shipment picked up from SAIA</t>
  </si>
  <si>
    <t>FELIX TRANSPORTATION LLC</t>
  </si>
  <si>
    <t>23684509</t>
  </si>
  <si>
    <t>OSW9 SHIPMENT PICKED UP FROM OSW9</t>
  </si>
  <si>
    <t>2D-20402560</t>
  </si>
  <si>
    <t xml:space="preserve">MDK TRUCKING INC </t>
  </si>
  <si>
    <t>2D-22102689</t>
  </si>
  <si>
    <t>23677509</t>
  </si>
  <si>
    <t>OSC9 shipment picked up from SAIA</t>
  </si>
  <si>
    <t>Del Trucking LLC</t>
  </si>
  <si>
    <t>RXO8277796</t>
  </si>
  <si>
    <t>216845484</t>
  </si>
  <si>
    <t>2D-21314689</t>
  </si>
  <si>
    <t>DLI4</t>
  </si>
  <si>
    <t>RXO8278134</t>
  </si>
  <si>
    <t>216846361</t>
  </si>
  <si>
    <t xml:space="preserve">2D-21275095 </t>
  </si>
  <si>
    <t>BUF5</t>
  </si>
  <si>
    <t>RXO8278337</t>
  </si>
  <si>
    <t>216846954</t>
  </si>
  <si>
    <t xml:space="preserve">7/30/2026 12:48 PM (Eastern) Delivery was attempted by the destination service center; however, the recipient was not able to receive it. The shipment will not be taken back out for delivery until either the consignee or the shipper has contacted XPO Logistics with further instructions. Service Center: TONAWANDA, NY </t>
  </si>
  <si>
    <t>2D-21275046</t>
  </si>
  <si>
    <t>DXH6</t>
  </si>
  <si>
    <t>RXO8278570</t>
  </si>
  <si>
    <t>5057002186</t>
  </si>
  <si>
    <t>2D-21276149</t>
  </si>
  <si>
    <t>LBE1</t>
  </si>
  <si>
    <t>RXO8278874</t>
  </si>
  <si>
    <t>5057002205</t>
  </si>
  <si>
    <t>2D-21276440</t>
  </si>
  <si>
    <t>DML6</t>
  </si>
  <si>
    <t>RXO8279958</t>
  </si>
  <si>
    <t>216852123</t>
  </si>
  <si>
    <t>2D-21276030</t>
  </si>
  <si>
    <t>MKE1</t>
  </si>
  <si>
    <t>RXO8282709</t>
  </si>
  <si>
    <t>216829045</t>
  </si>
  <si>
    <t>2D-21276396</t>
  </si>
  <si>
    <t>SFL6</t>
  </si>
  <si>
    <t>RXO8283018</t>
  </si>
  <si>
    <t>216830596</t>
  </si>
  <si>
    <t>2D-21275531</t>
  </si>
  <si>
    <t>RXO8283477</t>
  </si>
  <si>
    <t>5057002297</t>
  </si>
  <si>
    <t>2D-21275806</t>
  </si>
  <si>
    <t>RXO8285701</t>
  </si>
  <si>
    <t>216837714</t>
  </si>
  <si>
    <t>2D-21275843</t>
  </si>
  <si>
    <t>DGR8</t>
  </si>
  <si>
    <t>RXO8285871</t>
  </si>
  <si>
    <t>216838366</t>
  </si>
  <si>
    <t>2D-21275173</t>
  </si>
  <si>
    <t>RXO8286039</t>
  </si>
  <si>
    <t>216826411</t>
  </si>
  <si>
    <t>2D-21228745</t>
  </si>
  <si>
    <t>DCL4</t>
  </si>
  <si>
    <t>RXO8286320</t>
  </si>
  <si>
    <t>216826492</t>
  </si>
  <si>
    <t>2D-21275953</t>
  </si>
  <si>
    <t>DLN8</t>
  </si>
  <si>
    <t>RXO8286731</t>
  </si>
  <si>
    <t>5057002263</t>
  </si>
  <si>
    <t>2D-21276070</t>
  </si>
  <si>
    <t>HBO1</t>
  </si>
  <si>
    <t>RXO8286905</t>
  </si>
  <si>
    <t>216829211</t>
  </si>
  <si>
    <t>2D-21276109</t>
  </si>
  <si>
    <t>DYN9</t>
  </si>
  <si>
    <t>RXO8286953</t>
  </si>
  <si>
    <t>216829583</t>
  </si>
  <si>
    <t>2D-21276148</t>
  </si>
  <si>
    <t>MDW2</t>
  </si>
  <si>
    <t>RXO8287113</t>
  </si>
  <si>
    <t>5057002278</t>
  </si>
  <si>
    <t xml:space="preserve">2D-21276407 </t>
  </si>
  <si>
    <t>SAT2</t>
  </si>
  <si>
    <t>RXO8299620</t>
  </si>
  <si>
    <t>216831845</t>
  </si>
  <si>
    <t>2D-21387884 2D-22066317</t>
  </si>
  <si>
    <t xml:space="preserve">	RXO8295478</t>
  </si>
  <si>
    <t>5057002268</t>
  </si>
  <si>
    <t>DCM3</t>
  </si>
  <si>
    <t>RXO8296631</t>
  </si>
  <si>
    <t>216831904</t>
  </si>
  <si>
    <t xml:space="preserve"> 2D-21275911</t>
  </si>
  <si>
    <t>RXO8297234</t>
  </si>
  <si>
    <t>216834354</t>
  </si>
  <si>
    <t>SHV1</t>
  </si>
  <si>
    <t>RXO8296970</t>
  </si>
  <si>
    <t>216833271</t>
  </si>
  <si>
    <t>2D-21314887</t>
  </si>
  <si>
    <t>DOZ6</t>
  </si>
  <si>
    <t>RXO8297681</t>
  </si>
  <si>
    <t>82037840</t>
  </si>
  <si>
    <t>2D-21023821</t>
  </si>
  <si>
    <t xml:space="preserve">YYC8 </t>
  </si>
  <si>
    <t>RXO8298554</t>
  </si>
  <si>
    <t>432369184</t>
  </si>
  <si>
    <t>5Z-21548894</t>
  </si>
  <si>
    <t>TFORCE FREIGHT INC</t>
  </si>
  <si>
    <t>SGA6</t>
  </si>
  <si>
    <t>23705856</t>
  </si>
  <si>
    <t>2D-19855179</t>
  </si>
  <si>
    <t>DCB3</t>
  </si>
  <si>
    <t>RXO8300091</t>
  </si>
  <si>
    <t>216833411</t>
  </si>
  <si>
    <t>2D-21275923</t>
  </si>
  <si>
    <t>RXO8300526</t>
  </si>
  <si>
    <t>216834612</t>
  </si>
  <si>
    <t>2D-21801040</t>
  </si>
  <si>
    <t>DOI9</t>
  </si>
  <si>
    <t>RXO8301209</t>
  </si>
  <si>
    <t>376354344</t>
  </si>
  <si>
    <t>5Z-21957503</t>
  </si>
  <si>
    <t>DLT6</t>
  </si>
  <si>
    <t>RXO8301948</t>
  </si>
  <si>
    <t>216838624</t>
  </si>
  <si>
    <t>2D-21275368</t>
  </si>
  <si>
    <t>CLT5</t>
  </si>
  <si>
    <t>RXO8302147</t>
  </si>
  <si>
    <t>216838790</t>
  </si>
  <si>
    <t>2D-21275882</t>
  </si>
  <si>
    <t>SFL3</t>
  </si>
  <si>
    <t>RXO8302328</t>
  </si>
  <si>
    <t>216840050</t>
  </si>
  <si>
    <t>2D-21275407</t>
  </si>
  <si>
    <t>PVD2</t>
  </si>
  <si>
    <t>RI</t>
  </si>
  <si>
    <t>23709396</t>
  </si>
  <si>
    <t>2D-21314935</t>
  </si>
  <si>
    <t xml:space="preserve">Jl Familia Freight Llc </t>
  </si>
  <si>
    <t>MGE8</t>
  </si>
  <si>
    <t>RXO8302703</t>
  </si>
  <si>
    <t>216840551</t>
  </si>
  <si>
    <t>2D-21276399</t>
  </si>
  <si>
    <t>KLAL</t>
  </si>
  <si>
    <t>RXO8302899</t>
  </si>
  <si>
    <t>216841446</t>
  </si>
  <si>
    <t>2D-21314748</t>
  </si>
  <si>
    <t>ORH3</t>
  </si>
  <si>
    <t>RXO8306887</t>
  </si>
  <si>
    <t>216847632</t>
  </si>
  <si>
    <t>2D-21314751</t>
  </si>
  <si>
    <t>MQJ1</t>
  </si>
  <si>
    <t>RXO8308505</t>
  </si>
  <si>
    <t>5057002280</t>
  </si>
  <si>
    <t>2D-21275881</t>
  </si>
  <si>
    <t>HTP2</t>
  </si>
  <si>
    <t>RXO8307376</t>
  </si>
  <si>
    <t>216840606</t>
  </si>
  <si>
    <t>2D-21275766</t>
  </si>
  <si>
    <t>BNA6</t>
  </si>
  <si>
    <t>RXO8307676</t>
  </si>
  <si>
    <t>216842883</t>
  </si>
  <si>
    <t>2D-21341889</t>
  </si>
  <si>
    <t>RXO8309177</t>
  </si>
  <si>
    <t>5057002257</t>
  </si>
  <si>
    <t>WBM3</t>
  </si>
  <si>
    <t>RXO8314108</t>
  </si>
  <si>
    <t>216841623</t>
  </si>
  <si>
    <t>2D-21275410</t>
  </si>
  <si>
    <t>RXO8311927</t>
  </si>
  <si>
    <t>216834553</t>
  </si>
  <si>
    <t>2D-21341884</t>
  </si>
  <si>
    <t>RXO8313127</t>
  </si>
  <si>
    <t>00034913294</t>
  </si>
  <si>
    <t>2D-21228713 2D-20000443</t>
  </si>
  <si>
    <t>RXO8313473</t>
  </si>
  <si>
    <t>376354510</t>
  </si>
  <si>
    <t>5Z-21713457</t>
  </si>
  <si>
    <t>RXO8314315</t>
  </si>
  <si>
    <t>216842264</t>
  </si>
  <si>
    <t>2D-22067420</t>
  </si>
  <si>
    <t>MSP1</t>
  </si>
  <si>
    <t>RXO8317413</t>
  </si>
  <si>
    <t>216831020</t>
  </si>
  <si>
    <t>2D-21275767</t>
  </si>
  <si>
    <t>LEX2</t>
  </si>
  <si>
    <t>RXO8314736</t>
  </si>
  <si>
    <t>216844331</t>
  </si>
  <si>
    <t>2D-21276405</t>
  </si>
  <si>
    <t>23718040</t>
  </si>
  <si>
    <t>Terminal PU OPA9</t>
  </si>
  <si>
    <t>2D-21119569</t>
  </si>
  <si>
    <t>Rift Transportation</t>
  </si>
  <si>
    <t>2D-22102754</t>
  </si>
  <si>
    <t>23727272</t>
  </si>
  <si>
    <t>Delivered to site OKS9</t>
  </si>
  <si>
    <t>CHEGAR CORP</t>
  </si>
  <si>
    <t>23705213</t>
  </si>
  <si>
    <t>Terminla PU OGA9</t>
  </si>
  <si>
    <t>2D-20404311</t>
  </si>
  <si>
    <t>2D-22102842</t>
  </si>
  <si>
    <t>23719928</t>
  </si>
  <si>
    <t>23719191</t>
  </si>
  <si>
    <t>23718373</t>
  </si>
  <si>
    <t>2D-20446242</t>
  </si>
  <si>
    <t xml:space="preserve">ANN LOGISTICS LLC </t>
  </si>
  <si>
    <t>2D-22102681</t>
  </si>
  <si>
    <t>23718191</t>
  </si>
  <si>
    <t>2D-20477660</t>
  </si>
  <si>
    <t>DEMIX TRANSPORT INC</t>
  </si>
  <si>
    <t>Cancel request submitted by POC</t>
  </si>
  <si>
    <t>2D-21765704</t>
  </si>
  <si>
    <t>RXO8328935</t>
  </si>
  <si>
    <t>216836933</t>
  </si>
  <si>
    <t xml:space="preserve">2D-21392670 </t>
  </si>
  <si>
    <t>SNJ3</t>
  </si>
  <si>
    <t>RXO8328994</t>
  </si>
  <si>
    <t>5057002360</t>
  </si>
  <si>
    <t>2D-21946418</t>
  </si>
  <si>
    <t>RXO8336866</t>
  </si>
  <si>
    <t>216838926</t>
  </si>
  <si>
    <t>2D-21341943</t>
  </si>
  <si>
    <t>RXO8337187</t>
  </si>
  <si>
    <t>5057002342</t>
  </si>
  <si>
    <t>RXO8343302</t>
  </si>
  <si>
    <t>216833024</t>
  </si>
  <si>
    <t>2D-19775201 2D-19876675 2D-19794080</t>
  </si>
  <si>
    <t>RXO8337446</t>
  </si>
  <si>
    <t>216842603</t>
  </si>
  <si>
    <t>RXO8337895</t>
  </si>
  <si>
    <t>216844821</t>
  </si>
  <si>
    <t>2D-21157809</t>
  </si>
  <si>
    <t>B &amp; H</t>
  </si>
  <si>
    <t>RXO8342415</t>
  </si>
  <si>
    <t>216826890</t>
  </si>
  <si>
    <t>2D-21813825</t>
  </si>
  <si>
    <t>1151</t>
  </si>
  <si>
    <t>ATLX</t>
  </si>
  <si>
    <t>RXO8371436</t>
  </si>
  <si>
    <t>253674374</t>
  </si>
  <si>
    <t>RXO8362181</t>
  </si>
  <si>
    <t>216834516</t>
  </si>
  <si>
    <t>2D-22186324</t>
  </si>
  <si>
    <t>RXO8374774</t>
  </si>
  <si>
    <t>00034913373</t>
  </si>
  <si>
    <t>DAYTON FREIGHT LINES INC</t>
  </si>
  <si>
    <t>RXO8375102</t>
  </si>
  <si>
    <t>216841962</t>
  </si>
  <si>
    <t>2D-21775466</t>
  </si>
  <si>
    <t>RXO8376875</t>
  </si>
  <si>
    <t>23771094</t>
  </si>
  <si>
    <t>2D-21631429</t>
  </si>
  <si>
    <t>RXO8383782</t>
  </si>
  <si>
    <t>216847050</t>
  </si>
  <si>
    <t>RXO8378487</t>
  </si>
  <si>
    <t>216839490</t>
  </si>
  <si>
    <t>RXO8386879</t>
  </si>
  <si>
    <t>216828194</t>
  </si>
  <si>
    <t xml:space="preserve">2D-21988101 </t>
  </si>
  <si>
    <t>DJZ5</t>
  </si>
  <si>
    <t>RXO8386742</t>
  </si>
  <si>
    <t>5057002380</t>
  </si>
  <si>
    <t>2D-21275229</t>
  </si>
  <si>
    <t>BNA7</t>
  </si>
  <si>
    <t>23792343</t>
  </si>
  <si>
    <t>2D-21934441</t>
  </si>
  <si>
    <t>CRV EXPRESS LOGISTICS</t>
  </si>
  <si>
    <t>23792310</t>
  </si>
  <si>
    <t>2D-22200259</t>
  </si>
  <si>
    <t>LUX WAY INTERNATIONAL</t>
  </si>
  <si>
    <t>2D-19978748</t>
  </si>
  <si>
    <t xml:space="preserve">LINKWAY LLC </t>
  </si>
  <si>
    <t>SBD1</t>
  </si>
  <si>
    <t>RXO8406601</t>
  </si>
  <si>
    <t>216839571</t>
  </si>
  <si>
    <t>2D-21999638</t>
  </si>
  <si>
    <t>DUJ3</t>
  </si>
  <si>
    <t>PR</t>
  </si>
  <si>
    <t>RXO8435871</t>
  </si>
  <si>
    <t>216853744</t>
  </si>
  <si>
    <t>First PR shipment...concerns with cost, mode of transportation, and communcation of needed documents</t>
  </si>
  <si>
    <t>B997-21501341</t>
  </si>
  <si>
    <t>RXO8413060</t>
  </si>
  <si>
    <t>216844353</t>
  </si>
  <si>
    <t xml:space="preserve">Delivery was attempted on 8/12, however, the recipient was not able to receive it. 8/17 delivery was attempted again, recipient was not able to receive. </t>
  </si>
  <si>
    <t>2D-21744341</t>
  </si>
  <si>
    <t>IWA6</t>
  </si>
  <si>
    <t>RXO8413292</t>
  </si>
  <si>
    <t>216844832</t>
  </si>
  <si>
    <t>2D-22021326</t>
  </si>
  <si>
    <t>RXO8413540</t>
  </si>
  <si>
    <t>216845123</t>
  </si>
  <si>
    <t>2D-21766778</t>
  </si>
  <si>
    <t>RXO8413826</t>
  </si>
  <si>
    <t>376357575</t>
  </si>
  <si>
    <t>5Z-21056096</t>
  </si>
  <si>
    <t>RXO8414189</t>
  </si>
  <si>
    <t>00034913424</t>
  </si>
  <si>
    <t>2D-20004221 2D-20318811</t>
  </si>
  <si>
    <t>RXO8415376</t>
  </si>
  <si>
    <t>216847396</t>
  </si>
  <si>
    <t>RXO8416916</t>
  </si>
  <si>
    <t>87549893</t>
  </si>
  <si>
    <t>2D-21296181</t>
  </si>
  <si>
    <t>OAK HARBOR FREIGHT LINES INC</t>
  </si>
  <si>
    <t>RXO8420576</t>
  </si>
  <si>
    <t>216851261</t>
  </si>
  <si>
    <t>RXO8433314</t>
  </si>
  <si>
    <t>00034913456</t>
  </si>
  <si>
    <t xml:space="preserve">2D-20823628 2D-20823630 </t>
  </si>
  <si>
    <t>RXO8434967</t>
  </si>
  <si>
    <t>0867079367</t>
  </si>
  <si>
    <t>2D-21188142</t>
  </si>
  <si>
    <t xml:space="preserve">AVERITT EXPRESS INC </t>
  </si>
  <si>
    <t>23819512</t>
  </si>
  <si>
    <t>2D-21667751</t>
  </si>
  <si>
    <t>RXO8439224</t>
  </si>
  <si>
    <t>748923405</t>
  </si>
  <si>
    <t>Deylayed due to customs</t>
  </si>
  <si>
    <t>DLR8</t>
  </si>
  <si>
    <t>RXO8439989</t>
  </si>
  <si>
    <t>80642877</t>
  </si>
  <si>
    <t>2D-21715304</t>
  </si>
  <si>
    <t>RXO8448266</t>
  </si>
  <si>
    <t>216855833</t>
  </si>
  <si>
    <t>2D-22219141</t>
  </si>
  <si>
    <t>TLH2</t>
  </si>
  <si>
    <t>212948245</t>
  </si>
  <si>
    <t>2D-22101806</t>
  </si>
  <si>
    <t>RXO8445481</t>
  </si>
  <si>
    <t>828719213</t>
  </si>
  <si>
    <t>2D-21242697</t>
  </si>
  <si>
    <t>23809942</t>
  </si>
  <si>
    <t>RXO8449063</t>
  </si>
  <si>
    <t>381558306</t>
  </si>
  <si>
    <t>2D-19181553</t>
  </si>
  <si>
    <t>CMH4</t>
  </si>
  <si>
    <t>RXO8450451</t>
  </si>
  <si>
    <t>216856231</t>
  </si>
  <si>
    <t>2D-21262364</t>
  </si>
  <si>
    <t>VGT1</t>
  </si>
  <si>
    <t>RXO8453165</t>
  </si>
  <si>
    <t>381558310</t>
  </si>
  <si>
    <t>2D-19119548</t>
  </si>
  <si>
    <t>RXO8463810</t>
  </si>
  <si>
    <t xml:space="preserve">According to shipper, this shipment has picked up...Emailed RXO for validation. </t>
  </si>
  <si>
    <t>2D-21228774</t>
  </si>
  <si>
    <t>BOS55</t>
  </si>
  <si>
    <t>23845288</t>
  </si>
  <si>
    <t>2D-22032719</t>
  </si>
  <si>
    <t>Site Transfer</t>
  </si>
  <si>
    <t>23845306</t>
  </si>
  <si>
    <t>1DC Escalations</t>
  </si>
  <si>
    <t>Noe Logistics LLC</t>
  </si>
  <si>
    <t>RXO8473119</t>
  </si>
  <si>
    <t>59739007967</t>
  </si>
  <si>
    <t>2D-22101425</t>
  </si>
  <si>
    <t>SAT3</t>
  </si>
  <si>
    <t>RXO8475712</t>
  </si>
  <si>
    <t>934366112</t>
  </si>
  <si>
    <t>2D-22093412</t>
  </si>
  <si>
    <t xml:space="preserve">	2D-18027285</t>
  </si>
  <si>
    <t>RXO8477247</t>
  </si>
  <si>
    <t>00034913531</t>
  </si>
  <si>
    <t>2D-21172902 2D-20687631</t>
  </si>
  <si>
    <t>RXO8478002</t>
  </si>
  <si>
    <t>216860206</t>
  </si>
  <si>
    <t>RXO8477873</t>
  </si>
  <si>
    <t>00034913537</t>
  </si>
  <si>
    <t>2D-20318383</t>
  </si>
  <si>
    <t>RXO8477878</t>
  </si>
  <si>
    <t>216860173</t>
  </si>
  <si>
    <t>RXO8478190</t>
  </si>
  <si>
    <t>00034913538</t>
  </si>
  <si>
    <t>RXO8478144</t>
  </si>
  <si>
    <t>216860280</t>
  </si>
  <si>
    <t>RXO8478252</t>
  </si>
  <si>
    <t>00034913544</t>
  </si>
  <si>
    <t>RXO8479259</t>
  </si>
  <si>
    <t>216860663</t>
  </si>
  <si>
    <t>RXO8480164</t>
  </si>
  <si>
    <t>216860792</t>
  </si>
  <si>
    <t>2D-21354517</t>
  </si>
  <si>
    <t>RXO8481889</t>
  </si>
  <si>
    <t>00034913551</t>
  </si>
  <si>
    <t>2D-21800254</t>
  </si>
  <si>
    <t>GAZ5</t>
  </si>
  <si>
    <t>23859796</t>
  </si>
  <si>
    <t>2D-21699886</t>
  </si>
  <si>
    <t xml:space="preserve">GOD BLESS TRUCKING INC </t>
  </si>
  <si>
    <t>23859815</t>
  </si>
  <si>
    <t>BONIVUK LOGISTICS INC</t>
  </si>
  <si>
    <t>YOO1</t>
  </si>
  <si>
    <t>RXO8487164</t>
  </si>
  <si>
    <t>216861573</t>
  </si>
  <si>
    <t>5Z-21991227</t>
  </si>
  <si>
    <t>RXO8486950</t>
  </si>
  <si>
    <t>934249433</t>
  </si>
  <si>
    <t>2D-22047354</t>
  </si>
  <si>
    <t>RXO8487390</t>
  </si>
  <si>
    <t>5057003350</t>
  </si>
  <si>
    <t>RXO8488362</t>
  </si>
  <si>
    <t>216861901</t>
  </si>
  <si>
    <t>2D-21420044</t>
  </si>
  <si>
    <t>RXO8487804</t>
  </si>
  <si>
    <t>5057003373</t>
  </si>
  <si>
    <t>CLE2</t>
  </si>
  <si>
    <t>RXO8488093</t>
  </si>
  <si>
    <t>5057003402</t>
  </si>
  <si>
    <t>2D-22117335</t>
  </si>
  <si>
    <t>RXO8488404</t>
  </si>
  <si>
    <t>00034913561</t>
  </si>
  <si>
    <t>2D-20021268 2D-20769726</t>
  </si>
  <si>
    <t>23871947</t>
  </si>
  <si>
    <t>TOTO EXPEDITED INC</t>
  </si>
  <si>
    <t>DOG4</t>
  </si>
  <si>
    <t>RXO8508386</t>
  </si>
  <si>
    <t>00034913574</t>
  </si>
  <si>
    <t>2D-21699119</t>
  </si>
  <si>
    <t>RXO8508380</t>
  </si>
  <si>
    <t>00034913573</t>
  </si>
  <si>
    <t>2D-21641017</t>
  </si>
  <si>
    <t>RXO8509112</t>
  </si>
  <si>
    <t>216864233</t>
  </si>
  <si>
    <t>2D-21186134</t>
  </si>
  <si>
    <t>RXO8509034</t>
  </si>
  <si>
    <t>216864222</t>
  </si>
  <si>
    <t>2D-21263490</t>
  </si>
  <si>
    <t>RXO8510999</t>
  </si>
  <si>
    <t>4536704972</t>
  </si>
  <si>
    <t>2D-21288728</t>
  </si>
  <si>
    <t>DOHRN TRANSFER COMPANY LLC</t>
  </si>
  <si>
    <t>RXO8511860</t>
  </si>
  <si>
    <t>Delivery was attempted on 8/25; however, the recipient was not able to receive it.</t>
  </si>
  <si>
    <t>2D-22146648</t>
  </si>
  <si>
    <t>23880125</t>
  </si>
  <si>
    <t>Service Center: FORT WORTH, TX</t>
  </si>
  <si>
    <t>2D-21211400</t>
  </si>
  <si>
    <t>IDEAL TRANS LLC</t>
  </si>
  <si>
    <t>RXO8520687</t>
  </si>
  <si>
    <t>216866322</t>
  </si>
  <si>
    <t>2D-21311214</t>
  </si>
  <si>
    <t>RXO8521404</t>
  </si>
  <si>
    <t>216866451</t>
  </si>
  <si>
    <t>YXU1</t>
  </si>
  <si>
    <t>RXO8522021</t>
  </si>
  <si>
    <t>216866683</t>
  </si>
  <si>
    <t>5Z-21719088</t>
  </si>
  <si>
    <t>RXO8521689</t>
  </si>
  <si>
    <t>216866554</t>
  </si>
  <si>
    <t>RXO8522839</t>
  </si>
  <si>
    <t>216866904</t>
  </si>
  <si>
    <t>2D-21889139</t>
  </si>
  <si>
    <t xml:space="preserve">	RXO8525344</t>
  </si>
  <si>
    <t>00034913605</t>
  </si>
  <si>
    <t>2D-21649010 2D-20632644 2D-21641011 2D-20957242 2D-21649036</t>
  </si>
  <si>
    <t>23891643</t>
  </si>
  <si>
    <t>2D-22309987</t>
  </si>
  <si>
    <t xml:space="preserve">	RXO8526879</t>
  </si>
  <si>
    <t>00034913606</t>
  </si>
  <si>
    <t>2D-21218621</t>
  </si>
  <si>
    <t>RXO8528101</t>
  </si>
  <si>
    <t>216867910</t>
  </si>
  <si>
    <t>2D-22127038</t>
  </si>
  <si>
    <t>RXO8528375</t>
  </si>
  <si>
    <t>216868050</t>
  </si>
  <si>
    <t>2D-21186122</t>
  </si>
  <si>
    <t>23896185</t>
  </si>
  <si>
    <t>2D-21649034 2D-19978751 2D-20957249 2D-21608959 2D-20318802</t>
  </si>
  <si>
    <t xml:space="preserve">TRADEWINDS LOGISTICS INC </t>
  </si>
  <si>
    <t xml:space="preserve">	2D-20412467</t>
  </si>
  <si>
    <t>RXO8537539</t>
  </si>
  <si>
    <t>00034913621</t>
  </si>
  <si>
    <t>2D-21238770</t>
  </si>
  <si>
    <t>CLE3</t>
  </si>
  <si>
    <t>RXO8539016</t>
  </si>
  <si>
    <t>216869833</t>
  </si>
  <si>
    <t>2D-21262365</t>
  </si>
  <si>
    <t>RXO8539515</t>
  </si>
  <si>
    <t>216870010</t>
  </si>
  <si>
    <t>2D-21826456</t>
  </si>
  <si>
    <t>RXO8540045</t>
  </si>
  <si>
    <t>87549915</t>
  </si>
  <si>
    <t>RXO8542190</t>
  </si>
  <si>
    <t>0867079320</t>
  </si>
  <si>
    <t>2D-21188179</t>
  </si>
  <si>
    <t>AVERITT EXPRESS INC</t>
  </si>
  <si>
    <t>RXO8542956</t>
  </si>
  <si>
    <t>00034913628</t>
  </si>
  <si>
    <t>RXO8550739</t>
  </si>
  <si>
    <t>216871594</t>
  </si>
  <si>
    <t>RXO8542888</t>
  </si>
  <si>
    <t>80642904</t>
  </si>
  <si>
    <t>HAD TO SCHEDULE APPOINTMENT FOR DELIVERY</t>
  </si>
  <si>
    <t>RXO8542964</t>
  </si>
  <si>
    <t>00034913627</t>
  </si>
  <si>
    <t>2D-20493796</t>
  </si>
  <si>
    <t>RXO8543232</t>
  </si>
  <si>
    <t>5057002649</t>
  </si>
  <si>
    <t>2D-21055280</t>
  </si>
  <si>
    <t>RXO8543345</t>
  </si>
  <si>
    <t>216870684</t>
  </si>
  <si>
    <t>2D-22039683</t>
  </si>
  <si>
    <t>RXO8551713</t>
  </si>
  <si>
    <t>2D-21210957</t>
  </si>
  <si>
    <t>23916197</t>
  </si>
  <si>
    <t xml:space="preserve">Zara Trucking </t>
  </si>
  <si>
    <t>2D-22102755</t>
  </si>
  <si>
    <t>Delayed becasue the carrier had a blown out tire</t>
  </si>
  <si>
    <t>FFNX PROJECT</t>
  </si>
  <si>
    <t>ALPHA EXPRESS LLC</t>
  </si>
  <si>
    <t>2D-22344918</t>
  </si>
  <si>
    <t>RXO8563861</t>
  </si>
  <si>
    <t>2D-21673375</t>
  </si>
  <si>
    <t>RXO8565073</t>
  </si>
  <si>
    <t>2D-21653520  2D-21675971</t>
  </si>
  <si>
    <t>RXO8587928</t>
  </si>
  <si>
    <t>216876505</t>
  </si>
  <si>
    <t>2D-21311572</t>
  </si>
  <si>
    <t>RXO8588915</t>
  </si>
  <si>
    <t>216876660</t>
  </si>
  <si>
    <t>2D-21957811</t>
  </si>
  <si>
    <t>RXO8590284</t>
  </si>
  <si>
    <t>2D-21957824</t>
  </si>
  <si>
    <t>ORF2</t>
  </si>
  <si>
    <t>23951027</t>
  </si>
  <si>
    <t>2D-21639573</t>
  </si>
  <si>
    <t>WISER INC</t>
  </si>
  <si>
    <t>23954192</t>
  </si>
  <si>
    <t>2D-20269574</t>
  </si>
  <si>
    <t>BIH EXPRESS</t>
  </si>
  <si>
    <t>2D-17905544 2D-18059225</t>
  </si>
  <si>
    <t>RXO8604601</t>
  </si>
  <si>
    <t>557690125</t>
  </si>
  <si>
    <t>2D-22290350</t>
  </si>
  <si>
    <t>23958628</t>
  </si>
  <si>
    <t>BRB Distribution </t>
  </si>
  <si>
    <t>RXO8611996</t>
  </si>
  <si>
    <t>2D-20928006</t>
  </si>
  <si>
    <t>DLC4</t>
  </si>
  <si>
    <t>RXO8612850</t>
  </si>
  <si>
    <t>557691061</t>
  </si>
  <si>
    <t>5Z-21314688</t>
  </si>
  <si>
    <t>WFL2</t>
  </si>
  <si>
    <t>RXO8613029</t>
  </si>
  <si>
    <t>557691094</t>
  </si>
  <si>
    <t>2D-20927946</t>
  </si>
  <si>
    <t>RXO8613258</t>
  </si>
  <si>
    <t>557691120</t>
  </si>
  <si>
    <t>2D-21755343</t>
  </si>
  <si>
    <t>RXO8613293</t>
  </si>
  <si>
    <t>5057003281</t>
  </si>
  <si>
    <t>2D-21238749</t>
  </si>
  <si>
    <t>PITTS OHIO EXPRESS</t>
  </si>
  <si>
    <t>2D-21643282 2D-20823676 2D-20823636 2D-21892351 2D-20823631 2D-20823635 2D-20318822 2D-20928184 2D-20687572 2D-20823632 2D-21931644</t>
  </si>
  <si>
    <t>NORTHERN EXPRESS LLC</t>
  </si>
  <si>
    <t>DON3</t>
  </si>
  <si>
    <t>RXO8613764</t>
  </si>
  <si>
    <t>557691190</t>
  </si>
  <si>
    <t>5Z-21314686</t>
  </si>
  <si>
    <t>DAT9</t>
  </si>
  <si>
    <t>RXO8613723</t>
  </si>
  <si>
    <t>557691186</t>
  </si>
  <si>
    <t>RXO8613983</t>
  </si>
  <si>
    <t>2D-19245676</t>
  </si>
  <si>
    <t>RXO8614148</t>
  </si>
  <si>
    <t>00034913786</t>
  </si>
  <si>
    <t>2D-21624588</t>
  </si>
  <si>
    <t>RXO8614281</t>
  </si>
  <si>
    <t>557691341</t>
  </si>
  <si>
    <t>2D-21188114</t>
  </si>
  <si>
    <t>RXO8614565</t>
  </si>
  <si>
    <t>557691470</t>
  </si>
  <si>
    <t>2D-21188149</t>
  </si>
  <si>
    <t>RXO8614760</t>
  </si>
  <si>
    <t>557691540</t>
  </si>
  <si>
    <t>RXO8614924</t>
  </si>
  <si>
    <t>2D-22251278</t>
  </si>
  <si>
    <t>RXO8615098</t>
  </si>
  <si>
    <t>DSD5</t>
  </si>
  <si>
    <t>RXO8616852</t>
  </si>
  <si>
    <t>2D-21518760</t>
  </si>
  <si>
    <t>MSP9</t>
  </si>
  <si>
    <t>RXO8627408</t>
  </si>
  <si>
    <t>557694211</t>
  </si>
  <si>
    <t>2D-22285228</t>
  </si>
  <si>
    <t>RXO8628672</t>
  </si>
  <si>
    <t>00034913806</t>
  </si>
  <si>
    <t>2D-21178081</t>
  </si>
  <si>
    <t>2D-22440590</t>
  </si>
  <si>
    <t xml:space="preserve">NORTH LOGISTICS </t>
  </si>
  <si>
    <t>EXPEDITORS</t>
  </si>
  <si>
    <t>2D-20402456</t>
  </si>
  <si>
    <t>WINDY EXPEDITE INC</t>
  </si>
  <si>
    <t>2D-22085345</t>
  </si>
  <si>
    <t>MDK TRACKING INC</t>
  </si>
  <si>
    <t>RXO8663633</t>
  </si>
  <si>
    <t>5Z-21546220</t>
  </si>
  <si>
    <t>RXO8664306</t>
  </si>
  <si>
    <t>2D-21263456</t>
  </si>
  <si>
    <t>MCC1</t>
  </si>
  <si>
    <t>RXO8664440</t>
  </si>
  <si>
    <t>DOHRN TRANSFER</t>
  </si>
  <si>
    <t>RXO8664999</t>
  </si>
  <si>
    <t>2D-21933512 2D-20692044</t>
  </si>
  <si>
    <t>DXT2</t>
  </si>
  <si>
    <t>RXO8664796</t>
  </si>
  <si>
    <t xml:space="preserve">Shipment was delayed due to customs for clearance </t>
  </si>
  <si>
    <t>5Z-21314659</t>
  </si>
  <si>
    <t>RXO8665691</t>
  </si>
  <si>
    <t>2D-21597929</t>
  </si>
  <si>
    <t xml:space="preserve">VM/VM Logistics </t>
  </si>
  <si>
    <t>RXO8675825</t>
  </si>
  <si>
    <t>2D-22321396</t>
  </si>
  <si>
    <t>RXO8678487</t>
  </si>
  <si>
    <t>2D-21608973</t>
  </si>
  <si>
    <t>RXO8692939</t>
  </si>
  <si>
    <t>RXO8703581</t>
  </si>
  <si>
    <t>2D-21282045</t>
  </si>
  <si>
    <t>RXO8703737</t>
  </si>
  <si>
    <t xml:space="preserve">	2D-21273552</t>
  </si>
  <si>
    <t>RXO8703815</t>
  </si>
  <si>
    <t xml:space="preserve">Shipment was picked up late </t>
  </si>
  <si>
    <t xml:space="preserve">2D-21354533 </t>
  </si>
  <si>
    <t>BOS3</t>
  </si>
  <si>
    <t>NH</t>
  </si>
  <si>
    <t>RXO8705278</t>
  </si>
  <si>
    <t>2D-21532913</t>
  </si>
  <si>
    <t>RXO8712172</t>
  </si>
  <si>
    <t>RXO8714469</t>
  </si>
  <si>
    <t>2D-21392664</t>
  </si>
  <si>
    <t>RXO8714456</t>
  </si>
  <si>
    <t>2D-21892354</t>
  </si>
  <si>
    <t>RXO8715774</t>
  </si>
  <si>
    <t>2D-22296245</t>
  </si>
  <si>
    <t>RXO8715500</t>
  </si>
  <si>
    <t>2D-22491621</t>
  </si>
  <si>
    <t>UNITED ROADRUNNER LLC</t>
  </si>
  <si>
    <t>RXO8738899</t>
  </si>
  <si>
    <t>2D-22369965 2D-21649044</t>
  </si>
  <si>
    <t>RXO8738293</t>
  </si>
  <si>
    <t>2D-21242683</t>
  </si>
  <si>
    <t>RXO8738548</t>
  </si>
  <si>
    <t>TCY5</t>
  </si>
  <si>
    <t>RXO8738647</t>
  </si>
  <si>
    <t>RXO8739738</t>
  </si>
  <si>
    <t>2d-22243735</t>
  </si>
  <si>
    <t>RXO8739117</t>
  </si>
  <si>
    <t xml:space="preserve"> PITT OHIO EXPRESS LLC </t>
  </si>
  <si>
    <t>RXO8740203</t>
  </si>
  <si>
    <t>2D-22164863</t>
  </si>
  <si>
    <t>RXO8740027</t>
  </si>
  <si>
    <t>DVY7</t>
  </si>
  <si>
    <t>RXO8741074</t>
  </si>
  <si>
    <t>5Z-21314684</t>
  </si>
  <si>
    <t>2D-18059226</t>
  </si>
  <si>
    <t>BRYLANT LOGISTICS INC</t>
  </si>
  <si>
    <t>RXO8753343</t>
  </si>
  <si>
    <t>2D-22215022</t>
  </si>
  <si>
    <t>IND9</t>
  </si>
  <si>
    <t>RXO8762448</t>
  </si>
  <si>
    <t>2D-21262250</t>
  </si>
  <si>
    <t>OLD DOMINION FREIGHT</t>
  </si>
  <si>
    <t>RXO8762459</t>
  </si>
  <si>
    <t>2D-22125660</t>
  </si>
  <si>
    <t>KILN</t>
  </si>
  <si>
    <t>RXO8762423</t>
  </si>
  <si>
    <t>2D-21261934</t>
  </si>
  <si>
    <t>RXO8764571</t>
  </si>
  <si>
    <t>2D-21162729</t>
  </si>
  <si>
    <t>RXO8774540</t>
  </si>
  <si>
    <t>2D-22309266</t>
  </si>
  <si>
    <t>2D-21941107</t>
  </si>
  <si>
    <t>Ai Transportation Ltd (USD)</t>
  </si>
  <si>
    <t>RXO8778544</t>
  </si>
  <si>
    <t>2D-22388033</t>
  </si>
  <si>
    <t xml:space="preserve">JSD TRANS INCORPORATED </t>
  </si>
  <si>
    <t>RXO8801982</t>
  </si>
  <si>
    <t>2D-21547937</t>
  </si>
  <si>
    <t>RXO8802236</t>
  </si>
  <si>
    <t>P3278098</t>
  </si>
  <si>
    <t>5Z-22355674</t>
  </si>
  <si>
    <t>SLC9</t>
  </si>
  <si>
    <t>2D-22152807</t>
  </si>
  <si>
    <t>ZNZ LOGISTICS</t>
  </si>
  <si>
    <t>2D-20721512</t>
  </si>
  <si>
    <t>DOMINGUES TRANSPORTATION LLC</t>
  </si>
  <si>
    <t>SGA1</t>
  </si>
  <si>
    <t>RXO8825281</t>
  </si>
  <si>
    <t>2D-22529222</t>
  </si>
  <si>
    <t>RXO8825031</t>
  </si>
  <si>
    <t>2D-22519982</t>
  </si>
  <si>
    <t>RDG1</t>
  </si>
  <si>
    <t>RXO8827277</t>
  </si>
  <si>
    <t xml:space="preserve">2D-22445403 </t>
  </si>
  <si>
    <t>RXO8826429</t>
  </si>
  <si>
    <t>2D-21116003</t>
  </si>
  <si>
    <t>OLD DOMINION FREIGHT LINE</t>
  </si>
  <si>
    <t>RXO8835664</t>
  </si>
  <si>
    <t>2D-21298690</t>
  </si>
  <si>
    <t>RXO8835648</t>
  </si>
  <si>
    <t>Late pick up, Carrier arrived after closing to pick up shipment</t>
  </si>
  <si>
    <t>2D-21288715</t>
  </si>
  <si>
    <t>WBV1</t>
  </si>
  <si>
    <t>RXO8835851</t>
  </si>
  <si>
    <t>2D-21546566</t>
  </si>
  <si>
    <t>RXO8836324</t>
  </si>
  <si>
    <t>YYZ7</t>
  </si>
  <si>
    <t>RXO8835842</t>
  </si>
  <si>
    <t>P3280385</t>
  </si>
  <si>
    <t>5Z-21322663</t>
  </si>
  <si>
    <t>RXO8835995</t>
  </si>
  <si>
    <t>P3280721</t>
  </si>
  <si>
    <t>5Z-21450494</t>
  </si>
  <si>
    <t>RXO8836104</t>
  </si>
  <si>
    <t>RXO8850141</t>
  </si>
  <si>
    <t>2D-21282041</t>
  </si>
  <si>
    <t>RXO8851458</t>
  </si>
  <si>
    <t>2D-21162695</t>
  </si>
  <si>
    <t>RXO8851438</t>
  </si>
  <si>
    <t>2D-22529236</t>
  </si>
  <si>
    <t>RXO8852646</t>
  </si>
  <si>
    <t>2D-21162709</t>
  </si>
  <si>
    <t>DAV6</t>
  </si>
  <si>
    <t>RXO8867053</t>
  </si>
  <si>
    <t>2D-21139250</t>
  </si>
  <si>
    <t>MEM5</t>
  </si>
  <si>
    <t>RXO8869325</t>
  </si>
  <si>
    <t>2D-22520306</t>
  </si>
  <si>
    <t>DJZ4</t>
  </si>
  <si>
    <t>RXO8869275</t>
  </si>
  <si>
    <t>2D-21275226</t>
  </si>
  <si>
    <t>RXO8875014</t>
  </si>
  <si>
    <t>2D-22357426</t>
  </si>
  <si>
    <t>RXO8881149</t>
  </si>
  <si>
    <t>2D-22324544</t>
  </si>
  <si>
    <t>RXO8881200</t>
  </si>
  <si>
    <t>2D-21211478</t>
  </si>
  <si>
    <t>RXO8881353</t>
  </si>
  <si>
    <t>2D-22359672</t>
  </si>
  <si>
    <t>RXO8881366</t>
  </si>
  <si>
    <t>2D-21198455</t>
  </si>
  <si>
    <t>RXO8881488</t>
  </si>
  <si>
    <t>2D-22243735</t>
  </si>
  <si>
    <t>2D-22134651</t>
  </si>
  <si>
    <t>RXO8884892</t>
  </si>
  <si>
    <t>2D-21276434</t>
  </si>
  <si>
    <t>2D-21276438</t>
  </si>
  <si>
    <t>GYR3</t>
  </si>
  <si>
    <t>RXO8885924</t>
  </si>
  <si>
    <t>2D-21276110</t>
  </si>
  <si>
    <t>DAX5</t>
  </si>
  <si>
    <t>RXO8886741</t>
  </si>
  <si>
    <t>2D-21275917</t>
  </si>
  <si>
    <t>SLC2</t>
  </si>
  <si>
    <t>RXO8886845</t>
  </si>
  <si>
    <t>2D-21275526</t>
  </si>
  <si>
    <t>DAL2</t>
  </si>
  <si>
    <t>RXO8887026</t>
  </si>
  <si>
    <t>2D-21275878</t>
  </si>
  <si>
    <t>AZA4</t>
  </si>
  <si>
    <t>RXO8887368</t>
  </si>
  <si>
    <t>2D-21276025</t>
  </si>
  <si>
    <t>ONT9</t>
  </si>
  <si>
    <t>RXO8887358</t>
  </si>
  <si>
    <t>2D-212759616</t>
  </si>
  <si>
    <t>2D-21314880</t>
  </si>
  <si>
    <t>AUS5</t>
  </si>
  <si>
    <t>RXO8889366</t>
  </si>
  <si>
    <t>2D-21275991</t>
  </si>
  <si>
    <t>DLV3</t>
  </si>
  <si>
    <t>RXO8889538</t>
  </si>
  <si>
    <t>2D-21275139</t>
  </si>
  <si>
    <t>2D-22399658</t>
  </si>
  <si>
    <t xml:space="preserve"> FAYZ INC</t>
  </si>
  <si>
    <t>RXO8900663</t>
  </si>
  <si>
    <t>Freight was not ready for carrier to pick up on 9/23, Freight was picked up on 9/24</t>
  </si>
  <si>
    <t>2D-21275807</t>
  </si>
  <si>
    <t>WTX3</t>
  </si>
  <si>
    <t>RXO8900863</t>
  </si>
  <si>
    <t>2D-21275411</t>
  </si>
  <si>
    <t>RXO8900858</t>
  </si>
  <si>
    <t>2D-22605034</t>
  </si>
  <si>
    <t>BFI3</t>
  </si>
  <si>
    <t>RXO8901064</t>
  </si>
  <si>
    <t>2D-21274966</t>
  </si>
  <si>
    <t>RXO8901097</t>
  </si>
  <si>
    <t>2D-22584440</t>
  </si>
  <si>
    <t>WQQ1</t>
  </si>
  <si>
    <t>NW</t>
  </si>
  <si>
    <t>RXO8901309</t>
  </si>
  <si>
    <t>2D-21275730</t>
  </si>
  <si>
    <t>DDX7</t>
  </si>
  <si>
    <t>RXO8901806</t>
  </si>
  <si>
    <t>2D-21275227</t>
  </si>
  <si>
    <t>SCK4</t>
  </si>
  <si>
    <t>RXO8902172</t>
  </si>
  <si>
    <t>2D-21289883</t>
  </si>
  <si>
    <t>RXO8902164</t>
  </si>
  <si>
    <t>2D-21275624</t>
  </si>
  <si>
    <t>SBD2</t>
  </si>
  <si>
    <t>RXO8902322</t>
  </si>
  <si>
    <t>2D-21314938</t>
  </si>
  <si>
    <t>HBF4</t>
  </si>
  <si>
    <t>RXO8902608</t>
  </si>
  <si>
    <t>2D-21276114</t>
  </si>
  <si>
    <t>HOU7</t>
  </si>
  <si>
    <t>RXO8902909</t>
  </si>
  <si>
    <t>2D-21387921</t>
  </si>
  <si>
    <t>RXO8903778</t>
  </si>
  <si>
    <t xml:space="preserve">Carrier stated no Freight was avaliable for pick up </t>
  </si>
  <si>
    <t>2D-21314831</t>
  </si>
  <si>
    <t>DAB4</t>
  </si>
  <si>
    <t>RXO8908488</t>
  </si>
  <si>
    <t>2D-21275880</t>
  </si>
  <si>
    <t>AGS5</t>
  </si>
  <si>
    <t>RXO8908530</t>
  </si>
  <si>
    <t>2D-21276026</t>
  </si>
  <si>
    <t>HSE1</t>
  </si>
  <si>
    <t>RXO8908750</t>
  </si>
  <si>
    <t>2D-21275762</t>
  </si>
  <si>
    <t>TPA6</t>
  </si>
  <si>
    <t>RXO8908739</t>
  </si>
  <si>
    <t>2D-21275694</t>
  </si>
  <si>
    <t>DJR5</t>
  </si>
  <si>
    <t>RXO8908949</t>
  </si>
  <si>
    <t>2D-21275169</t>
  </si>
  <si>
    <t>DDP9</t>
  </si>
  <si>
    <t>RXO8909046</t>
  </si>
  <si>
    <t xml:space="preserve">Carrier missed counted pick up, due to receiving 9 shipments from pickup location </t>
  </si>
  <si>
    <t>2D-21276099</t>
  </si>
  <si>
    <t>DVA2</t>
  </si>
  <si>
    <t>RXO8909056</t>
  </si>
  <si>
    <t>2D-21276150</t>
  </si>
  <si>
    <t>HRD2</t>
  </si>
  <si>
    <t>RXO8909235</t>
  </si>
  <si>
    <t>2D-21276433</t>
  </si>
  <si>
    <t>RXO8909351</t>
  </si>
  <si>
    <t>ESCALATED SHIPMENTS</t>
  </si>
  <si>
    <t>1DC ESCALATION</t>
  </si>
  <si>
    <t>Vcm Delivery Llc</t>
  </si>
  <si>
    <t xml:space="preserve">EBENEZER HAULERS LLC </t>
  </si>
  <si>
    <t>2D-20184913</t>
  </si>
  <si>
    <t>RXO8913368</t>
  </si>
  <si>
    <t>2D-21358838</t>
  </si>
  <si>
    <t>BFL1</t>
  </si>
  <si>
    <t>RXO8913865</t>
  </si>
  <si>
    <t>2D-21314937</t>
  </si>
  <si>
    <t>VGT5</t>
  </si>
  <si>
    <t>RXO8914094</t>
  </si>
  <si>
    <t>2D-21275444</t>
  </si>
  <si>
    <t>AMC EXPRESS LLC</t>
  </si>
  <si>
    <t>BDL6</t>
  </si>
  <si>
    <t>RXO8914387</t>
  </si>
  <si>
    <t>2D-21274969</t>
  </si>
  <si>
    <t>DET3</t>
  </si>
  <si>
    <t>RXO8914593</t>
  </si>
  <si>
    <t>Carrier stated their was no Freight ready when they arrived at 3:39 PM</t>
  </si>
  <si>
    <t xml:space="preserve">2D-21785092 2D-22401175
</t>
  </si>
  <si>
    <t>RXO8914605</t>
  </si>
  <si>
    <t>2D-21314747</t>
  </si>
  <si>
    <t>UNITED FREIGHT LINES INC</t>
  </si>
  <si>
    <t>RXO8916758</t>
  </si>
  <si>
    <t>2D-21476809</t>
  </si>
  <si>
    <t>DCL7</t>
  </si>
  <si>
    <t>RXO8921801</t>
  </si>
  <si>
    <t>2D-21275996</t>
  </si>
  <si>
    <t>RXO8921959</t>
  </si>
  <si>
    <t>2D-21275406</t>
  </si>
  <si>
    <t>RXO8922093</t>
  </si>
  <si>
    <t>2D-21387920</t>
  </si>
  <si>
    <t>DFL4</t>
  </si>
  <si>
    <t>RXO8922523</t>
  </si>
  <si>
    <t>2D-21275275</t>
  </si>
  <si>
    <t>DCM6</t>
  </si>
  <si>
    <t>RXO8922323</t>
  </si>
  <si>
    <t>2D-21276029</t>
  </si>
  <si>
    <t>ABE2</t>
  </si>
  <si>
    <t>RXO8922768</t>
  </si>
  <si>
    <t>2D-212759981</t>
  </si>
  <si>
    <t>DMH4</t>
  </si>
  <si>
    <t>RXO8922460</t>
  </si>
  <si>
    <t>2D-21276075</t>
  </si>
  <si>
    <t>UNY5</t>
  </si>
  <si>
    <t>RXO8923181</t>
  </si>
  <si>
    <t>2D-21314824</t>
  </si>
  <si>
    <t>MKC6</t>
  </si>
  <si>
    <t>RXO8923254</t>
  </si>
  <si>
    <t>2D-21276403</t>
  </si>
  <si>
    <t>DBU3</t>
  </si>
  <si>
    <t>RXO8923355</t>
  </si>
  <si>
    <t>2D-21275059</t>
  </si>
  <si>
    <t>LGA5</t>
  </si>
  <si>
    <t>RXO8923374</t>
  </si>
  <si>
    <t>2D-21276404</t>
  </si>
  <si>
    <t>DMD6</t>
  </si>
  <si>
    <t>RXO8923524</t>
  </si>
  <si>
    <t>2D-21276072</t>
  </si>
  <si>
    <t>TPA3</t>
  </si>
  <si>
    <t>RXO8923602</t>
  </si>
  <si>
    <t>2D-21275491</t>
  </si>
  <si>
    <t>HMW1</t>
  </si>
  <si>
    <t>RXO8923763</t>
  </si>
  <si>
    <t>2D-21276511</t>
  </si>
  <si>
    <t>RXO8924056</t>
  </si>
  <si>
    <t>This shipment did not tendered in time for the carrier to pickup ontime.</t>
  </si>
  <si>
    <t>2D-21275085</t>
  </si>
  <si>
    <t>DCY9</t>
  </si>
  <si>
    <t>RXO8923944</t>
  </si>
  <si>
    <t>2D-21275993</t>
  </si>
  <si>
    <t>RXO8923900</t>
  </si>
  <si>
    <t>Carrier stated due to extreme volume this shipment was not picked up on time.</t>
  </si>
  <si>
    <t>2D-22378935</t>
  </si>
  <si>
    <t>PIT2</t>
  </si>
  <si>
    <t>RXO8924803</t>
  </si>
  <si>
    <t>2D-21276301</t>
  </si>
  <si>
    <t>RXO8924769</t>
  </si>
  <si>
    <t>2D-22399672</t>
  </si>
  <si>
    <t>ALB1</t>
  </si>
  <si>
    <t>RXO8924922</t>
  </si>
  <si>
    <t>2D-21275016</t>
  </si>
  <si>
    <t>RXO8925030</t>
  </si>
  <si>
    <t>2D-21275877</t>
  </si>
  <si>
    <t>DBK4</t>
  </si>
  <si>
    <t>RXO8925293</t>
  </si>
  <si>
    <t>2D-21275920</t>
  </si>
  <si>
    <t>DJR1</t>
  </si>
  <si>
    <t>RXO8925411</t>
  </si>
  <si>
    <t>2D-21275323</t>
  </si>
  <si>
    <t>RXO8925423</t>
  </si>
  <si>
    <t>2D-21275808</t>
  </si>
  <si>
    <t>GSO1</t>
  </si>
  <si>
    <t>RXO8925636</t>
  </si>
  <si>
    <t>2D-21387880</t>
  </si>
  <si>
    <t>RXO8925761</t>
  </si>
  <si>
    <t>2D-22399668</t>
  </si>
  <si>
    <t>KRB2</t>
  </si>
  <si>
    <t>RXO8929923</t>
  </si>
  <si>
    <t>2D-21276435</t>
  </si>
  <si>
    <t>ORD9</t>
  </si>
  <si>
    <t>RXO8945212</t>
  </si>
  <si>
    <t>2D-21275844</t>
  </si>
  <si>
    <t>RXO8944501</t>
  </si>
  <si>
    <t>2D-21275841</t>
  </si>
  <si>
    <t>2D-21276349</t>
  </si>
  <si>
    <t>MAX CARGO LLC</t>
  </si>
  <si>
    <t>DSM5</t>
  </si>
  <si>
    <t>2D-21276219</t>
  </si>
  <si>
    <t xml:space="preserve">BEEBA LLC </t>
  </si>
  <si>
    <t>BOI2</t>
  </si>
  <si>
    <t>ID</t>
  </si>
  <si>
    <t>RXO8948288</t>
  </si>
  <si>
    <t>2D-21314901</t>
  </si>
  <si>
    <t>RXO8952958</t>
  </si>
  <si>
    <t xml:space="preserve">Carrier capacity is short, attempting to redeliver 10/7/2026 --&gt; New eta is 10/8/2026 appt has been set each day and wait time </t>
  </si>
  <si>
    <t>2D-22442614</t>
  </si>
  <si>
    <t>RXO8952999</t>
  </si>
  <si>
    <t>2D-22315713</t>
  </si>
  <si>
    <t>RXO8953187</t>
  </si>
  <si>
    <t>2D-22503454</t>
  </si>
  <si>
    <t>RXO8954219</t>
  </si>
  <si>
    <t>2D-22584705</t>
  </si>
  <si>
    <t>2D-21960580 2D-21901672 2D-22183485 2D-22345229 2D-22253480</t>
  </si>
  <si>
    <t>RXO8965735</t>
  </si>
  <si>
    <t>FOE1</t>
  </si>
  <si>
    <t>RXO8965839</t>
  </si>
  <si>
    <t>APPT was scheduled</t>
  </si>
  <si>
    <t>2D-22621261</t>
  </si>
  <si>
    <t>BLV1</t>
  </si>
  <si>
    <t>RXO8967248</t>
  </si>
  <si>
    <t>2D-22717114</t>
  </si>
  <si>
    <t>Middle Mile</t>
  </si>
  <si>
    <t xml:space="preserve">AMBER CARGO LLC </t>
  </si>
  <si>
    <t>OWS9</t>
  </si>
  <si>
    <t>WOH4</t>
  </si>
  <si>
    <t>RXO8977248</t>
  </si>
  <si>
    <t>2D-22656988</t>
  </si>
  <si>
    <t>RXO8978487</t>
  </si>
  <si>
    <t>2D-21500572</t>
  </si>
  <si>
    <t>RXO8992390</t>
  </si>
  <si>
    <t>2D-22389482</t>
  </si>
  <si>
    <t>2D-22169324 2D-22399660</t>
  </si>
  <si>
    <t>AAM NETWORK INC</t>
  </si>
  <si>
    <t>SCL3</t>
  </si>
  <si>
    <t>2D-22368463</t>
  </si>
  <si>
    <t>Ssk Logistics</t>
  </si>
  <si>
    <t>RXO9029027</t>
  </si>
  <si>
    <t>RXO9029161</t>
  </si>
  <si>
    <t>2D-21273531</t>
  </si>
  <si>
    <t xml:space="preserve">2D-21874997 2D-22183486 </t>
  </si>
  <si>
    <t>Zuza Logistics LLC</t>
  </si>
  <si>
    <t>Equip Return</t>
  </si>
  <si>
    <t>Denali WA</t>
  </si>
  <si>
    <t xml:space="preserve">	2D-20184913</t>
  </si>
  <si>
    <t>Trinity Valley Transportation</t>
  </si>
  <si>
    <t>955.897.60</t>
  </si>
  <si>
    <t>RXO9034357</t>
  </si>
  <si>
    <t>2D-22253386 2D-21162712</t>
  </si>
  <si>
    <t>RXO9041648</t>
  </si>
  <si>
    <t>MSN5</t>
  </si>
  <si>
    <t>RXO9044576</t>
  </si>
  <si>
    <t>3C-21940610</t>
  </si>
  <si>
    <t>RXO9051595</t>
  </si>
  <si>
    <t>2D-21957589</t>
  </si>
  <si>
    <t>MGE3</t>
  </si>
  <si>
    <t>RXO9051911</t>
  </si>
  <si>
    <t>2D-20823242</t>
  </si>
  <si>
    <t>RXO9060755</t>
  </si>
  <si>
    <t xml:space="preserve">2D-22170152 </t>
  </si>
  <si>
    <t>RXO9060798</t>
  </si>
  <si>
    <t>2D-22135253</t>
  </si>
  <si>
    <t>RXO9061315</t>
  </si>
  <si>
    <t>2D-21298738</t>
  </si>
  <si>
    <t xml:space="preserve"> DOHRN TRANSFER COMPANY </t>
  </si>
  <si>
    <t>RXO9078782</t>
  </si>
  <si>
    <t>2D-22705210</t>
  </si>
  <si>
    <t xml:space="preserve">SAN6 </t>
  </si>
  <si>
    <t>RXO9081024</t>
  </si>
  <si>
    <t>SEA27</t>
  </si>
  <si>
    <t>RXO9081315</t>
  </si>
  <si>
    <t>2D-22854250</t>
  </si>
  <si>
    <t>RXO9084810</t>
  </si>
  <si>
    <t>2D-20123038</t>
  </si>
  <si>
    <t>2D-22399658 2D-22183471</t>
  </si>
  <si>
    <t xml:space="preserve">NEF LOGISTICS INC </t>
  </si>
  <si>
    <t>YEG2</t>
  </si>
  <si>
    <t>RXO9081896</t>
  </si>
  <si>
    <t>Delivery date keeps being pushed out. New del 10/20/2026</t>
  </si>
  <si>
    <t>5Z-22760123</t>
  </si>
  <si>
    <t>2D-18253282</t>
  </si>
  <si>
    <t>AMEERCARGO INC</t>
  </si>
  <si>
    <t>RXO9113575</t>
  </si>
  <si>
    <t>2D-22359298</t>
  </si>
  <si>
    <t>DFW5</t>
  </si>
  <si>
    <t>RXO9133948</t>
  </si>
  <si>
    <t>2D-22298960</t>
  </si>
  <si>
    <t>RXO9134507</t>
  </si>
  <si>
    <t>2D-21575999</t>
  </si>
  <si>
    <t>RXO9151000</t>
  </si>
  <si>
    <t>2D-21518989</t>
  </si>
  <si>
    <t>TEB3</t>
  </si>
  <si>
    <t>RXO9147029</t>
  </si>
  <si>
    <t>2D-21732127</t>
  </si>
  <si>
    <t>2D-22818294</t>
  </si>
  <si>
    <t xml:space="preserve">YUGOS LOGISTICS LLC </t>
  </si>
  <si>
    <t>RXO9179799</t>
  </si>
  <si>
    <t>2D-22183486</t>
  </si>
  <si>
    <t>2D-22699583</t>
  </si>
  <si>
    <t>ALFA LOGISTICS LLC</t>
  </si>
  <si>
    <t>RXO9218503</t>
  </si>
  <si>
    <t>2D-22700044</t>
  </si>
  <si>
    <t>RXO9220641</t>
  </si>
  <si>
    <t>2D-22719464</t>
  </si>
  <si>
    <t>2026 Global IB Supplier Freight - Dashboard</t>
  </si>
  <si>
    <t>Auto-updates as shipments are added to the 2026 IB Shipments tab</t>
  </si>
  <si>
    <t>MONTHLY SUMMARY</t>
  </si>
  <si>
    <t>Month</t>
  </si>
  <si>
    <t>Service Cost</t>
  </si>
  <si>
    <t>Cost Savings</t>
  </si>
  <si>
    <t>Units</t>
  </si>
  <si>
    <t>Cargo Value</t>
  </si>
  <si>
    <t>Shipments</t>
  </si>
  <si>
    <t>Pallets</t>
  </si>
  <si>
    <t>Miles</t>
  </si>
  <si>
    <t>Jan</t>
  </si>
  <si>
    <t>Feb</t>
  </si>
  <si>
    <t>Mar</t>
  </si>
  <si>
    <t>Apr</t>
  </si>
  <si>
    <t>May</t>
  </si>
  <si>
    <t>Jun</t>
  </si>
  <si>
    <t>Jul</t>
  </si>
  <si>
    <t>Aug</t>
  </si>
  <si>
    <t>Sep</t>
  </si>
  <si>
    <t>Oct</t>
  </si>
  <si>
    <t>Nov</t>
  </si>
  <si>
    <t>Dec</t>
  </si>
  <si>
    <t>YTD</t>
  </si>
  <si>
    <t>YTD SUMMARY BY SUPPLIER</t>
  </si>
  <si>
    <t>Site Transfer / Launch</t>
  </si>
  <si>
    <t>YTD CALCULATED METRICS</t>
  </si>
  <si>
    <t>Metric</t>
  </si>
  <si>
    <t>YTD Total</t>
  </si>
  <si>
    <t>CPU (Cost / Unit)</t>
  </si>
  <si>
    <t>Cost Per Pallet</t>
  </si>
  <si>
    <t>Cost Per Mile</t>
  </si>
  <si>
    <t>Savings %</t>
  </si>
  <si>
    <t>ADMIN FEE AVOIDANCE (0.5% - Denali Only)</t>
  </si>
  <si>
    <t>Denali Cargo Value</t>
  </si>
  <si>
    <t>Admin Fee Avoidance (0.5%)</t>
  </si>
  <si>
    <t>MONTHLY COST PER SHIPMENT BY SUPPLIER</t>
  </si>
  <si>
    <t>Overall</t>
  </si>
  <si>
    <t>ON-TIME DELIVERY (Freight)</t>
  </si>
  <si>
    <t>Total Shipments</t>
  </si>
  <si>
    <t>On-Time</t>
  </si>
  <si>
    <t>On-Time %</t>
  </si>
  <si>
    <t>ESCALATIONS BY MONTH</t>
  </si>
  <si>
    <t>Escalation Count</t>
  </si>
  <si>
    <t>Escalation Cost</t>
  </si>
  <si>
    <t>Pickup OT %</t>
  </si>
  <si>
    <t>Delivery OT %</t>
  </si>
  <si>
    <t>Jan 2026</t>
  </si>
  <si>
    <t>Feb 2026</t>
  </si>
  <si>
    <t>Mar 2026</t>
  </si>
  <si>
    <t>Apr 2026</t>
  </si>
  <si>
    <t>May 2026</t>
  </si>
  <si>
    <t>Jun 2026</t>
  </si>
  <si>
    <t>Jul 2026</t>
  </si>
  <si>
    <t>Aug 2026</t>
  </si>
  <si>
    <t>Sep 2026</t>
  </si>
  <si>
    <t>Carrier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</si>
</sst>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0.00_);[Red]\(&quot;$&quot;#,##0.00\)"/>
    <numFmt numFmtId="44" formatCode="_(&quot;$&quot;* #,##0.00_);_(&quot;$&quot;* \(#,##0.00\);_(&quot;$&quot;* &quot;-&quot;??_);_(@_)"/>
    <numFmt numFmtId="164" formatCode="&quot;$&quot;#,##0.00"/>
    <numFmt numFmtId="165" formatCode="0.0%"/>
    <numFmt numFmtId="166" formatCode="m/d/yyyy;@"/>
    <numFmt numFmtId="167" formatCode="&quot;$&quot;#,##0.000"/>
  </numFmts>
  <fonts count="28">
    <font>
      <sz val="11"/>
      <color theme="1"/>
      <name val="Calibri"/>
      <family val="2"/>
      <scheme val="minor"/>
    </font>
    <font>
      <sz val="11"/>
      <color theme="1"/>
      <name val="Calibri"/>
      <family val="2"/>
      <scheme val="minor"/>
    </font>
    <font>
      <sz val="12"/>
      <color theme="0"/>
      <name val="Calibri"/>
      <family val="2"/>
      <scheme val="minor"/>
    </font>
    <font>
      <sz val="11"/>
      <color rgb="FF00B050"/>
      <name val="Calibri"/>
      <family val="2"/>
      <scheme val="minor"/>
    </font>
    <font>
      <b/>
      <sz val="20"/>
      <color theme="1"/>
      <name val="Calibri"/>
      <family val="2"/>
      <scheme val="minor"/>
    </font>
    <font>
      <sz val="20"/>
      <color theme="1"/>
      <name val="Calibri"/>
      <family val="2"/>
      <scheme val="minor"/>
    </font>
    <font>
      <b/>
      <sz val="20"/>
      <color rgb="FFFF0000"/>
      <name val="Calibri"/>
      <family val="2"/>
      <scheme val="minor"/>
    </font>
    <font>
      <b/>
      <sz val="13"/>
      <name val="Calibri"/>
      <family val="2"/>
      <scheme val="minor"/>
    </font>
    <font>
      <b/>
      <sz val="11"/>
      <color theme="1"/>
      <name val="Calibri"/>
      <family val="2"/>
      <scheme val="minor"/>
    </font>
    <font>
      <b/>
      <sz val="11"/>
      <color rgb="FF000000"/>
      <name val="Aptos Narrow"/>
      <family val="2"/>
    </font>
    <font>
      <sz val="11"/>
      <color rgb="FF000000"/>
      <name val="Aptos Narrow"/>
      <family val="2"/>
    </font>
    <font>
      <sz val="11"/>
      <color theme="1"/>
      <name val="Aptos Narrow"/>
      <family val="2"/>
    </font>
    <font>
      <u/>
      <sz val="11"/>
      <color theme="10"/>
      <name val="Calibri"/>
      <family val="2"/>
      <scheme val="minor"/>
    </font>
    <font>
      <sz val="11"/>
      <color rgb="FF000000"/>
      <name val="Calibri"/>
      <family val="2"/>
      <scheme val="minor"/>
    </font>
    <font>
      <b/>
      <sz val="13"/>
      <color rgb="FFFF0000"/>
      <name val="Calibri"/>
      <family val="2"/>
      <scheme val="minor"/>
    </font>
    <font>
      <b/>
      <sz val="13"/>
      <color rgb="FF00B050"/>
      <name val="Calibri"/>
      <family val="2"/>
      <scheme val="minor"/>
    </font>
    <font>
      <sz val="12"/>
      <color theme="5"/>
      <name val="Calibri"/>
      <family val="2"/>
      <scheme val="minor"/>
    </font>
    <font>
      <b/>
      <sz val="13"/>
      <color theme="1"/>
      <name val="Calibri"/>
      <family val="2"/>
      <scheme val="minor"/>
    </font>
    <font>
      <sz val="11"/>
      <color rgb="FF000000"/>
      <name val="Calibri"/>
      <scheme val="minor"/>
    </font>
    <font>
      <sz val="11"/>
      <color theme="1"/>
      <name val="Inter"/>
      <charset val="1"/>
    </font>
    <font>
      <b/>
      <sz val="14"/>
      <color theme="1"/>
      <name val="Calibri"/>
      <family val="2"/>
      <scheme val="minor"/>
    </font>
    <font>
      <i/>
      <sz val="9"/>
      <color rgb="FF666666"/>
      <name val="Calibri"/>
      <family val="2"/>
      <scheme val="minor"/>
    </font>
    <font>
      <b/>
      <sz val="12"/>
      <color theme="1"/>
      <name val="Calibri"/>
      <family val="2"/>
      <scheme val="minor"/>
    </font>
    <font>
      <b/>
      <sz val="14"/>
      <color rgb="FF1F4E79"/>
      <name val="Calibri"/>
      <family val="2"/>
      <scheme val="minor"/>
    </font>
    <font>
      <b/>
      <sz val="12"/>
      <color rgb="FFFFFFFF"/>
      <name val="Calibri"/>
      <family val="2"/>
      <scheme val="minor"/>
    </font>
    <font>
      <sz val="12"/>
      <color theme="1"/>
      <name val="Calibri"/>
      <family val="2"/>
      <scheme val="minor"/>
    </font>
    <font>
      <sz val="11"/>
      <color rgb="FF000000"/>
      <name val="Aptos"/>
      <charset val="1"/>
    </font>
    <font>
      <sz val="10"/>
      <color rgb="FF000000"/>
      <name val="Poppins"/>
      <charset val="1"/>
    </font>
  </fonts>
  <fills count="15">
    <fill>
      <patternFill patternType="none"/>
    </fill>
    <fill>
      <patternFill patternType="gray125"/>
    </fill>
    <fill>
      <patternFill patternType="solid">
        <fgColor theme="1"/>
        <bgColor indexed="64"/>
      </patternFill>
    </fill>
    <fill>
      <patternFill patternType="solid">
        <fgColor theme="0"/>
        <bgColor indexed="64"/>
      </patternFill>
    </fill>
    <fill>
      <patternFill patternType="solid">
        <fgColor theme="0" tint="-4.9989318521683403E-2"/>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rgb="FFFFFFFF"/>
        <bgColor rgb="FF000000"/>
      </patternFill>
    </fill>
    <fill>
      <patternFill patternType="solid">
        <fgColor theme="4"/>
        <bgColor indexed="64"/>
      </patternFill>
    </fill>
    <fill>
      <patternFill patternType="solid">
        <fgColor rgb="FF0070C0"/>
        <bgColor indexed="64"/>
      </patternFill>
    </fill>
    <fill>
      <patternFill patternType="solid">
        <fgColor rgb="FF1F4E79"/>
        <bgColor indexed="64"/>
      </patternFill>
    </fill>
    <fill>
      <patternFill patternType="solid">
        <fgColor rgb="FFD6E4F0"/>
        <bgColor indexed="64"/>
      </patternFill>
    </fill>
    <fill>
      <patternFill patternType="solid">
        <fgColor rgb="FFFFFF00"/>
        <bgColor indexed="64"/>
      </patternFill>
    </fill>
  </fills>
  <borders count="66">
    <border>
      <left/>
      <right/>
      <top/>
      <bottom/>
      <diagonal/>
    </border>
    <border>
      <left/>
      <right/>
      <top style="medium">
        <color indexed="64"/>
      </top>
      <bottom/>
      <diagonal/>
    </border>
    <border>
      <left/>
      <right style="medium">
        <color indexed="64"/>
      </right>
      <top style="medium">
        <color indexed="64"/>
      </top>
      <bottom/>
      <diagonal/>
    </border>
    <border>
      <left/>
      <right/>
      <top/>
      <bottom style="medium">
        <color indexed="64"/>
      </bottom>
      <diagonal/>
    </border>
    <border>
      <left/>
      <right style="medium">
        <color indexed="64"/>
      </right>
      <top/>
      <bottom style="medium">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top style="thin">
        <color rgb="FF000000"/>
      </top>
      <bottom style="medium">
        <color rgb="FF000000"/>
      </bottom>
      <diagonal/>
    </border>
    <border>
      <left style="thin">
        <color rgb="FF000000"/>
      </left>
      <right/>
      <top/>
      <bottom style="medium">
        <color rgb="FF000000"/>
      </bottom>
      <diagonal/>
    </border>
    <border>
      <left/>
      <right style="thin">
        <color rgb="FF000000"/>
      </right>
      <top style="thin">
        <color rgb="FF000000"/>
      </top>
      <bottom style="medium">
        <color rgb="FF000000"/>
      </bottom>
      <diagonal/>
    </border>
    <border>
      <left/>
      <right style="thin">
        <color rgb="FF000000"/>
      </right>
      <top/>
      <bottom style="medium">
        <color rgb="FF000000"/>
      </bottom>
      <diagonal/>
    </border>
    <border>
      <left style="medium">
        <color rgb="FF000000"/>
      </left>
      <right style="medium">
        <color rgb="FF000000"/>
      </right>
      <top style="medium">
        <color rgb="FF000000"/>
      </top>
      <bottom/>
      <diagonal/>
    </border>
    <border>
      <left style="thin">
        <color rgb="FF000000"/>
      </left>
      <right/>
      <top style="medium">
        <color rgb="FF000000"/>
      </top>
      <bottom style="thin">
        <color rgb="FF000000"/>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medium">
        <color rgb="FF000000"/>
      </right>
      <top style="thin">
        <color rgb="FF000000"/>
      </top>
      <bottom/>
      <diagonal/>
    </border>
    <border>
      <left/>
      <right style="thin">
        <color rgb="FF000000"/>
      </right>
      <top style="thin">
        <color rgb="FF000000"/>
      </top>
      <bottom/>
      <diagonal/>
    </border>
    <border>
      <left/>
      <right style="medium">
        <color rgb="FF000000"/>
      </right>
      <top style="medium">
        <color rgb="FF000000"/>
      </top>
      <bottom style="thin">
        <color rgb="FF000000"/>
      </bottom>
      <diagonal/>
    </border>
    <border>
      <left style="medium">
        <color rgb="FF000000"/>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bottom style="thin">
        <color rgb="FF000000"/>
      </bottom>
      <diagonal/>
    </border>
    <border>
      <left style="thin">
        <color indexed="64"/>
      </left>
      <right/>
      <top style="thin">
        <color indexed="64"/>
      </top>
      <bottom/>
      <diagonal/>
    </border>
    <border>
      <left/>
      <right/>
      <top style="medium">
        <color rgb="FF000000"/>
      </top>
      <bottom/>
      <diagonal/>
    </border>
    <border>
      <left/>
      <right style="medium">
        <color rgb="FF000000"/>
      </right>
      <top style="medium">
        <color rgb="FF000000"/>
      </top>
      <bottom/>
      <diagonal/>
    </border>
    <border>
      <left/>
      <right/>
      <top/>
      <bottom style="medium">
        <color rgb="FF000000"/>
      </bottom>
      <diagonal/>
    </border>
    <border>
      <left/>
      <right style="medium">
        <color rgb="FF000000"/>
      </right>
      <top/>
      <bottom style="medium">
        <color rgb="FF000000"/>
      </bottom>
      <diagonal/>
    </border>
    <border>
      <left style="thin">
        <color indexed="64"/>
      </left>
      <right style="thin">
        <color indexed="64"/>
      </right>
      <top style="thin">
        <color auto="1"/>
      </top>
      <bottom style="thin">
        <color auto="1"/>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000000"/>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indexed="64"/>
      </right>
      <top style="thin">
        <color indexed="64"/>
      </top>
      <bottom/>
      <diagonal/>
    </border>
    <border>
      <left/>
      <right/>
      <top style="thin">
        <color indexed="64"/>
      </top>
      <bottom style="thin">
        <color indexed="64"/>
      </bottom>
      <diagonal/>
    </border>
    <border>
      <left style="thin">
        <color indexed="64"/>
      </left>
      <right/>
      <top/>
      <bottom style="thin">
        <color indexed="64"/>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right/>
      <top style="thin">
        <color rgb="FF000000"/>
      </top>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indexed="64"/>
      </right>
      <top/>
      <bottom style="thin">
        <color indexed="64"/>
      </bottom>
      <diagonal/>
    </border>
    <border>
      <left/>
      <right style="thin">
        <color indexed="64"/>
      </right>
      <top/>
      <bottom/>
      <diagonal/>
    </border>
    <border>
      <left/>
      <right/>
      <top style="thin">
        <color rgb="FF000000"/>
      </top>
      <bottom style="thin">
        <color rgb="FF000000"/>
      </bottom>
      <diagonal/>
    </border>
    <border>
      <left style="thin">
        <color indexed="64"/>
      </left>
      <right style="thin">
        <color indexed="64"/>
      </right>
      <top/>
      <bottom/>
      <diagonal/>
    </border>
    <border>
      <left style="thin">
        <color indexed="64"/>
      </left>
      <right/>
      <top/>
      <bottom/>
      <diagonal/>
    </border>
    <border>
      <left/>
      <right/>
      <top/>
      <bottom style="thin">
        <color indexed="64"/>
      </bottom>
      <diagonal/>
    </border>
  </borders>
  <cellStyleXfs count="3">
    <xf numFmtId="0" fontId="0" fillId="0" borderId="0"/>
    <xf numFmtId="44" fontId="1" fillId="0" borderId="0"/>
    <xf numFmtId="0" fontId="12" fillId="0" borderId="0"/>
  </cellStyleXfs>
  <cellXfs count="390">
    <xf numFmtId="0" fontId="0" fillId="0" borderId="0" xfId="0"/>
    <xf numFmtId="164" fontId="0" fillId="0" borderId="0" xfId="0" applyNumberFormat="1"/>
    <xf numFmtId="0" fontId="5" fillId="0" borderId="0" xfId="0" applyFont="1"/>
    <xf numFmtId="0" fontId="8" fillId="0" borderId="0" xfId="0" applyFont="1" applyAlignment="1">
      <alignment wrapText="1"/>
    </xf>
    <xf numFmtId="0" fontId="0" fillId="3" borderId="0" xfId="0" applyFill="1"/>
    <xf numFmtId="0" fontId="8" fillId="3" borderId="0" xfId="0" applyFont="1" applyFill="1" applyAlignment="1">
      <alignment wrapText="1"/>
    </xf>
    <xf numFmtId="0" fontId="0" fillId="3" borderId="14" xfId="0" applyFill="1" applyBorder="1"/>
    <xf numFmtId="0" fontId="0" fillId="3" borderId="12" xfId="0" applyFill="1" applyBorder="1" applyAlignment="1">
      <alignment horizontal="center" wrapText="1"/>
    </xf>
    <xf numFmtId="3" fontId="0" fillId="3" borderId="5" xfId="0" applyNumberFormat="1" applyFill="1" applyBorder="1" applyAlignment="1">
      <alignment horizontal="center" wrapText="1"/>
    </xf>
    <xf numFmtId="0" fontId="0" fillId="3" borderId="7" xfId="0" applyFill="1" applyBorder="1" applyAlignment="1">
      <alignment horizontal="center" wrapText="1"/>
    </xf>
    <xf numFmtId="10" fontId="11" fillId="7" borderId="7" xfId="0" applyNumberFormat="1" applyFont="1" applyFill="1" applyBorder="1" applyAlignment="1">
      <alignment horizontal="center" wrapText="1"/>
    </xf>
    <xf numFmtId="10" fontId="11" fillId="7" borderId="13" xfId="0" applyNumberFormat="1" applyFont="1" applyFill="1" applyBorder="1" applyAlignment="1">
      <alignment horizontal="center" wrapText="1"/>
    </xf>
    <xf numFmtId="164" fontId="11" fillId="7" borderId="6" xfId="0" applyNumberFormat="1" applyFont="1" applyFill="1" applyBorder="1" applyAlignment="1">
      <alignment horizontal="center" wrapText="1"/>
    </xf>
    <xf numFmtId="164" fontId="11" fillId="7" borderId="7" xfId="0" applyNumberFormat="1" applyFont="1" applyFill="1" applyBorder="1" applyAlignment="1">
      <alignment horizontal="center" wrapText="1"/>
    </xf>
    <xf numFmtId="0" fontId="0" fillId="3" borderId="12" xfId="0" applyFill="1" applyBorder="1" applyAlignment="1">
      <alignment horizontal="center"/>
    </xf>
    <xf numFmtId="0" fontId="0" fillId="3" borderId="20" xfId="0" applyFill="1" applyBorder="1" applyAlignment="1">
      <alignment horizontal="center" wrapText="1"/>
    </xf>
    <xf numFmtId="3" fontId="0" fillId="3" borderId="10" xfId="0" applyNumberFormat="1" applyFill="1" applyBorder="1" applyAlignment="1">
      <alignment horizontal="center" wrapText="1"/>
    </xf>
    <xf numFmtId="3" fontId="0" fillId="3" borderId="26" xfId="0" applyNumberFormat="1" applyFill="1" applyBorder="1" applyAlignment="1">
      <alignment horizontal="center" wrapText="1"/>
    </xf>
    <xf numFmtId="164" fontId="11" fillId="7" borderId="9" xfId="0" applyNumberFormat="1" applyFont="1" applyFill="1" applyBorder="1" applyAlignment="1">
      <alignment horizontal="center" wrapText="1"/>
    </xf>
    <xf numFmtId="164" fontId="11" fillId="7" borderId="10" xfId="0" applyNumberFormat="1" applyFont="1" applyFill="1" applyBorder="1" applyAlignment="1">
      <alignment horizontal="center" wrapText="1"/>
    </xf>
    <xf numFmtId="10" fontId="11" fillId="7" borderId="10" xfId="0" applyNumberFormat="1" applyFont="1" applyFill="1" applyBorder="1" applyAlignment="1">
      <alignment horizontal="center" wrapText="1"/>
    </xf>
    <xf numFmtId="10" fontId="11" fillId="7" borderId="11" xfId="0" applyNumberFormat="1" applyFont="1" applyFill="1" applyBorder="1" applyAlignment="1">
      <alignment horizontal="center" wrapText="1"/>
    </xf>
    <xf numFmtId="0" fontId="8" fillId="4" borderId="29" xfId="0" applyFont="1" applyFill="1" applyBorder="1" applyAlignment="1">
      <alignment horizontal="center" wrapText="1"/>
    </xf>
    <xf numFmtId="0" fontId="8" fillId="4" borderId="30" xfId="0" applyFont="1" applyFill="1" applyBorder="1" applyAlignment="1">
      <alignment horizontal="center" wrapText="1"/>
    </xf>
    <xf numFmtId="0" fontId="8" fillId="4" borderId="31" xfId="0" applyFont="1" applyFill="1" applyBorder="1" applyAlignment="1">
      <alignment horizontal="center" wrapText="1"/>
    </xf>
    <xf numFmtId="0" fontId="9" fillId="6" borderId="29" xfId="0" applyFont="1" applyFill="1" applyBorder="1" applyAlignment="1">
      <alignment horizontal="center" wrapText="1"/>
    </xf>
    <xf numFmtId="0" fontId="9" fillId="6" borderId="30" xfId="0" applyFont="1" applyFill="1" applyBorder="1" applyAlignment="1">
      <alignment horizontal="center" wrapText="1"/>
    </xf>
    <xf numFmtId="0" fontId="9" fillId="6" borderId="32" xfId="0" applyFont="1" applyFill="1" applyBorder="1" applyAlignment="1">
      <alignment horizontal="center" wrapText="1"/>
    </xf>
    <xf numFmtId="0" fontId="9" fillId="8" borderId="33" xfId="0" applyFont="1" applyFill="1" applyBorder="1" applyAlignment="1">
      <alignment horizontal="center" wrapText="1"/>
    </xf>
    <xf numFmtId="0" fontId="9" fillId="8" borderId="30" xfId="0" applyFont="1" applyFill="1" applyBorder="1" applyAlignment="1">
      <alignment horizontal="center" wrapText="1"/>
    </xf>
    <xf numFmtId="0" fontId="9" fillId="8" borderId="32" xfId="0" applyFont="1" applyFill="1" applyBorder="1" applyAlignment="1">
      <alignment horizontal="center" wrapText="1"/>
    </xf>
    <xf numFmtId="0" fontId="0" fillId="3" borderId="20" xfId="0" applyFill="1" applyBorder="1" applyAlignment="1">
      <alignment horizontal="center"/>
    </xf>
    <xf numFmtId="3" fontId="8" fillId="4" borderId="30" xfId="0" applyNumberFormat="1" applyFont="1" applyFill="1" applyBorder="1" applyAlignment="1">
      <alignment horizontal="center" wrapText="1"/>
    </xf>
    <xf numFmtId="3" fontId="8" fillId="4" borderId="31" xfId="0" applyNumberFormat="1" applyFont="1" applyFill="1" applyBorder="1" applyAlignment="1">
      <alignment horizontal="center" wrapText="1"/>
    </xf>
    <xf numFmtId="164" fontId="9" fillId="8" borderId="33" xfId="0" applyNumberFormat="1" applyFont="1" applyFill="1" applyBorder="1" applyAlignment="1">
      <alignment horizontal="center" wrapText="1"/>
    </xf>
    <xf numFmtId="164" fontId="9" fillId="8" borderId="30" xfId="0" applyNumberFormat="1" applyFont="1" applyFill="1" applyBorder="1" applyAlignment="1">
      <alignment horizontal="center" wrapText="1"/>
    </xf>
    <xf numFmtId="10" fontId="9" fillId="8" borderId="30" xfId="0" applyNumberFormat="1" applyFont="1" applyFill="1" applyBorder="1" applyAlignment="1">
      <alignment horizontal="center" wrapText="1"/>
    </xf>
    <xf numFmtId="10" fontId="9" fillId="8" borderId="32" xfId="0" applyNumberFormat="1" applyFont="1" applyFill="1" applyBorder="1" applyAlignment="1">
      <alignment horizontal="center" wrapText="1"/>
    </xf>
    <xf numFmtId="164" fontId="0" fillId="7" borderId="10" xfId="0" applyNumberFormat="1" applyFill="1" applyBorder="1" applyAlignment="1">
      <alignment horizontal="center"/>
    </xf>
    <xf numFmtId="164" fontId="0" fillId="7" borderId="7" xfId="0" applyNumberFormat="1" applyFill="1" applyBorder="1" applyAlignment="1">
      <alignment horizontal="center"/>
    </xf>
    <xf numFmtId="0" fontId="0" fillId="7" borderId="15" xfId="0" applyFill="1" applyBorder="1" applyAlignment="1">
      <alignment horizontal="center"/>
    </xf>
    <xf numFmtId="164" fontId="8" fillId="7" borderId="18" xfId="0" applyNumberFormat="1" applyFont="1" applyFill="1" applyBorder="1" applyAlignment="1">
      <alignment horizontal="center"/>
    </xf>
    <xf numFmtId="164" fontId="0" fillId="7" borderId="15" xfId="0" applyNumberFormat="1" applyFill="1" applyBorder="1" applyAlignment="1">
      <alignment horizontal="center"/>
    </xf>
    <xf numFmtId="10" fontId="0" fillId="7" borderId="10" xfId="0" applyNumberFormat="1" applyFill="1" applyBorder="1" applyAlignment="1">
      <alignment horizontal="center"/>
    </xf>
    <xf numFmtId="10" fontId="0" fillId="7" borderId="11" xfId="0" applyNumberFormat="1" applyFill="1" applyBorder="1" applyAlignment="1">
      <alignment horizontal="center"/>
    </xf>
    <xf numFmtId="10" fontId="0" fillId="7" borderId="7" xfId="0" applyNumberFormat="1" applyFill="1" applyBorder="1" applyAlignment="1">
      <alignment horizontal="center"/>
    </xf>
    <xf numFmtId="10" fontId="0" fillId="7" borderId="13" xfId="0" applyNumberFormat="1" applyFill="1" applyBorder="1" applyAlignment="1">
      <alignment horizontal="center"/>
    </xf>
    <xf numFmtId="10" fontId="0" fillId="7" borderId="15" xfId="0" applyNumberFormat="1" applyFill="1" applyBorder="1" applyAlignment="1">
      <alignment horizontal="center"/>
    </xf>
    <xf numFmtId="10" fontId="0" fillId="7" borderId="16" xfId="0" applyNumberFormat="1" applyFill="1" applyBorder="1" applyAlignment="1">
      <alignment horizontal="center"/>
    </xf>
    <xf numFmtId="10" fontId="8" fillId="7" borderId="18" xfId="0" applyNumberFormat="1" applyFont="1" applyFill="1" applyBorder="1" applyAlignment="1">
      <alignment horizontal="center"/>
    </xf>
    <xf numFmtId="10" fontId="8" fillId="7" borderId="19" xfId="0" applyNumberFormat="1" applyFont="1" applyFill="1" applyBorder="1" applyAlignment="1">
      <alignment horizontal="center"/>
    </xf>
    <xf numFmtId="0" fontId="0" fillId="3" borderId="10" xfId="0" applyFill="1" applyBorder="1" applyAlignment="1">
      <alignment horizontal="center"/>
    </xf>
    <xf numFmtId="3" fontId="0" fillId="3" borderId="26" xfId="0" applyNumberFormat="1" applyFill="1" applyBorder="1" applyAlignment="1">
      <alignment horizontal="center"/>
    </xf>
    <xf numFmtId="0" fontId="0" fillId="3" borderId="7" xfId="0" applyFill="1" applyBorder="1" applyAlignment="1">
      <alignment horizontal="center"/>
    </xf>
    <xf numFmtId="3" fontId="0" fillId="3" borderId="5" xfId="0" applyNumberFormat="1" applyFill="1" applyBorder="1" applyAlignment="1">
      <alignment horizontal="center"/>
    </xf>
    <xf numFmtId="0" fontId="0" fillId="3" borderId="15" xfId="0" applyFill="1" applyBorder="1" applyAlignment="1">
      <alignment horizontal="center"/>
    </xf>
    <xf numFmtId="0" fontId="0" fillId="3" borderId="21" xfId="0" applyFill="1" applyBorder="1" applyAlignment="1">
      <alignment horizontal="center"/>
    </xf>
    <xf numFmtId="0" fontId="8" fillId="4" borderId="18" xfId="0" applyFont="1" applyFill="1" applyBorder="1" applyAlignment="1">
      <alignment horizontal="center"/>
    </xf>
    <xf numFmtId="3" fontId="8" fillId="4" borderId="22" xfId="0" applyNumberFormat="1" applyFont="1" applyFill="1" applyBorder="1" applyAlignment="1">
      <alignment horizontal="center"/>
    </xf>
    <xf numFmtId="164" fontId="0" fillId="5" borderId="10" xfId="0" applyNumberFormat="1" applyFill="1" applyBorder="1" applyAlignment="1">
      <alignment horizontal="center"/>
    </xf>
    <xf numFmtId="164" fontId="0" fillId="5" borderId="11" xfId="0" applyNumberFormat="1" applyFill="1" applyBorder="1" applyAlignment="1">
      <alignment horizontal="center"/>
    </xf>
    <xf numFmtId="164" fontId="0" fillId="7" borderId="9" xfId="0" applyNumberFormat="1" applyFill="1" applyBorder="1" applyAlignment="1">
      <alignment horizontal="center"/>
    </xf>
    <xf numFmtId="164" fontId="0" fillId="5" borderId="7" xfId="0" applyNumberFormat="1" applyFill="1" applyBorder="1" applyAlignment="1">
      <alignment horizontal="center"/>
    </xf>
    <xf numFmtId="164" fontId="0" fillId="5" borderId="13" xfId="0" applyNumberFormat="1" applyFill="1" applyBorder="1" applyAlignment="1">
      <alignment horizontal="center"/>
    </xf>
    <xf numFmtId="164" fontId="0" fillId="7" borderId="6" xfId="0" applyNumberFormat="1" applyFill="1" applyBorder="1" applyAlignment="1">
      <alignment horizontal="center"/>
    </xf>
    <xf numFmtId="0" fontId="0" fillId="5" borderId="15" xfId="0" applyFill="1" applyBorder="1" applyAlignment="1">
      <alignment horizontal="center"/>
    </xf>
    <xf numFmtId="0" fontId="0" fillId="5" borderId="16" xfId="0" applyFill="1" applyBorder="1" applyAlignment="1">
      <alignment horizontal="center"/>
    </xf>
    <xf numFmtId="0" fontId="0" fillId="7" borderId="23" xfId="0" applyFill="1" applyBorder="1" applyAlignment="1">
      <alignment horizontal="center"/>
    </xf>
    <xf numFmtId="164" fontId="8" fillId="5" borderId="18" xfId="0" applyNumberFormat="1" applyFont="1" applyFill="1" applyBorder="1" applyAlignment="1">
      <alignment horizontal="center"/>
    </xf>
    <xf numFmtId="164" fontId="8" fillId="5" borderId="19" xfId="0" applyNumberFormat="1" applyFont="1" applyFill="1" applyBorder="1" applyAlignment="1">
      <alignment horizontal="center"/>
    </xf>
    <xf numFmtId="164" fontId="8" fillId="7" borderId="24" xfId="0" applyNumberFormat="1" applyFont="1" applyFill="1" applyBorder="1" applyAlignment="1">
      <alignment horizontal="center"/>
    </xf>
    <xf numFmtId="164" fontId="0" fillId="5" borderId="20" xfId="0" applyNumberFormat="1" applyFill="1" applyBorder="1" applyAlignment="1">
      <alignment horizontal="center"/>
    </xf>
    <xf numFmtId="164" fontId="0" fillId="5" borderId="12" xfId="0" applyNumberFormat="1" applyFill="1" applyBorder="1" applyAlignment="1">
      <alignment horizontal="center"/>
    </xf>
    <xf numFmtId="0" fontId="0" fillId="5" borderId="14" xfId="0" applyFill="1" applyBorder="1" applyAlignment="1">
      <alignment horizontal="center"/>
    </xf>
    <xf numFmtId="164" fontId="8" fillId="5" borderId="17" xfId="0" applyNumberFormat="1" applyFont="1" applyFill="1" applyBorder="1" applyAlignment="1">
      <alignment horizontal="center"/>
    </xf>
    <xf numFmtId="0" fontId="8" fillId="4" borderId="17" xfId="0" applyFont="1" applyFill="1" applyBorder="1" applyAlignment="1">
      <alignment horizontal="center"/>
    </xf>
    <xf numFmtId="0" fontId="0" fillId="0" borderId="7" xfId="0" applyBorder="1" applyAlignment="1">
      <alignment horizontal="center" vertical="center"/>
    </xf>
    <xf numFmtId="0" fontId="0" fillId="0" borderId="30" xfId="0" applyBorder="1" applyAlignment="1">
      <alignment horizontal="center" vertical="center"/>
    </xf>
    <xf numFmtId="0" fontId="0" fillId="3" borderId="7" xfId="0" applyFill="1" applyBorder="1" applyAlignment="1">
      <alignment horizontal="center" vertical="center"/>
    </xf>
    <xf numFmtId="14" fontId="13" fillId="9" borderId="36" xfId="0" applyNumberFormat="1" applyFont="1" applyFill="1" applyBorder="1" applyAlignment="1">
      <alignment horizontal="center" vertical="center" wrapText="1"/>
    </xf>
    <xf numFmtId="14" fontId="0" fillId="0" borderId="0" xfId="0" applyNumberFormat="1"/>
    <xf numFmtId="0" fontId="0" fillId="0" borderId="0" xfId="0" applyAlignment="1">
      <alignment horizontal="center" vertical="center"/>
    </xf>
    <xf numFmtId="0" fontId="0" fillId="0" borderId="7" xfId="0" applyBorder="1" applyAlignment="1">
      <alignment horizontal="center" vertical="center" wrapText="1"/>
    </xf>
    <xf numFmtId="0" fontId="0" fillId="0" borderId="38" xfId="0" applyBorder="1" applyAlignment="1">
      <alignment horizontal="center" vertical="center" wrapText="1"/>
    </xf>
    <xf numFmtId="0" fontId="0" fillId="0" borderId="0" xfId="0" applyAlignment="1">
      <alignment horizontal="center" vertical="center" wrapText="1"/>
    </xf>
    <xf numFmtId="0" fontId="0" fillId="0" borderId="0" xfId="0" applyAlignment="1">
      <alignment horizontal="center" wrapText="1"/>
    </xf>
    <xf numFmtId="2" fontId="0" fillId="0" borderId="0" xfId="0" applyNumberFormat="1" applyAlignment="1">
      <alignment horizontal="center" vertical="center"/>
    </xf>
    <xf numFmtId="164" fontId="0" fillId="0" borderId="0" xfId="0" applyNumberFormat="1" applyAlignment="1">
      <alignment horizontal="center" vertical="center"/>
    </xf>
    <xf numFmtId="164" fontId="0" fillId="0" borderId="7" xfId="0" applyNumberFormat="1" applyBorder="1" applyAlignment="1">
      <alignment horizontal="center" vertical="center"/>
    </xf>
    <xf numFmtId="14" fontId="0" fillId="0" borderId="0" xfId="0" applyNumberFormat="1" applyAlignment="1">
      <alignment horizontal="center" vertical="center"/>
    </xf>
    <xf numFmtId="14" fontId="0" fillId="0" borderId="7" xfId="0" applyNumberFormat="1" applyBorder="1" applyAlignment="1">
      <alignment horizontal="center" vertical="center"/>
    </xf>
    <xf numFmtId="49" fontId="0" fillId="0" borderId="0" xfId="0" applyNumberFormat="1" applyAlignment="1">
      <alignment horizontal="center" vertical="center"/>
    </xf>
    <xf numFmtId="0" fontId="0" fillId="0" borderId="40" xfId="0" applyBorder="1" applyAlignment="1">
      <alignment horizontal="center" vertical="center"/>
    </xf>
    <xf numFmtId="0" fontId="0" fillId="0" borderId="30" xfId="0" applyBorder="1" applyAlignment="1">
      <alignment horizontal="center" vertical="center" wrapText="1"/>
    </xf>
    <xf numFmtId="14" fontId="0" fillId="0" borderId="30" xfId="0" applyNumberFormat="1" applyBorder="1" applyAlignment="1">
      <alignment horizontal="center" vertical="center"/>
    </xf>
    <xf numFmtId="2" fontId="0" fillId="0" borderId="30" xfId="0" applyNumberFormat="1" applyBorder="1" applyAlignment="1">
      <alignment horizontal="center" vertical="center"/>
    </xf>
    <xf numFmtId="0" fontId="0" fillId="0" borderId="5" xfId="0" applyBorder="1" applyAlignment="1">
      <alignment horizontal="center" vertical="center"/>
    </xf>
    <xf numFmtId="0" fontId="0" fillId="0" borderId="33" xfId="0" applyBorder="1" applyAlignment="1">
      <alignment horizontal="center" vertical="center" wrapText="1"/>
    </xf>
    <xf numFmtId="0" fontId="0" fillId="0" borderId="31" xfId="0" applyBorder="1" applyAlignment="1">
      <alignment horizontal="center" vertical="center"/>
    </xf>
    <xf numFmtId="2" fontId="0" fillId="0" borderId="31" xfId="0" applyNumberFormat="1" applyBorder="1" applyAlignment="1">
      <alignment horizontal="center" vertical="center"/>
    </xf>
    <xf numFmtId="2" fontId="0" fillId="0" borderId="33" xfId="0" applyNumberFormat="1" applyBorder="1" applyAlignment="1">
      <alignment horizontal="center" vertical="center"/>
    </xf>
    <xf numFmtId="0" fontId="0" fillId="0" borderId="37" xfId="0" applyBorder="1" applyAlignment="1">
      <alignment horizontal="center" vertical="center" wrapText="1"/>
    </xf>
    <xf numFmtId="0" fontId="16" fillId="2" borderId="46" xfId="0" applyFont="1" applyFill="1" applyBorder="1" applyAlignment="1">
      <alignment horizontal="center" vertical="center" wrapText="1"/>
    </xf>
    <xf numFmtId="14" fontId="16" fillId="2" borderId="46" xfId="0" applyNumberFormat="1" applyFont="1" applyFill="1" applyBorder="1" applyAlignment="1">
      <alignment horizontal="center" vertical="center" wrapText="1"/>
    </xf>
    <xf numFmtId="49" fontId="16" fillId="2" borderId="46" xfId="0" applyNumberFormat="1" applyFont="1" applyFill="1" applyBorder="1" applyAlignment="1">
      <alignment horizontal="center" vertical="center" wrapText="1"/>
    </xf>
    <xf numFmtId="0" fontId="2" fillId="2" borderId="46" xfId="0" applyFont="1" applyFill="1" applyBorder="1" applyAlignment="1">
      <alignment horizontal="center" vertical="center" wrapText="1"/>
    </xf>
    <xf numFmtId="14" fontId="2" fillId="2" borderId="46" xfId="0" applyNumberFormat="1" applyFont="1" applyFill="1" applyBorder="1" applyAlignment="1">
      <alignment horizontal="center" vertical="center" wrapText="1"/>
    </xf>
    <xf numFmtId="2" fontId="2" fillId="2" borderId="46" xfId="0" applyNumberFormat="1" applyFont="1" applyFill="1" applyBorder="1" applyAlignment="1">
      <alignment horizontal="center" vertical="center" wrapText="1"/>
    </xf>
    <xf numFmtId="2" fontId="16" fillId="2" borderId="46" xfId="0" applyNumberFormat="1" applyFont="1" applyFill="1" applyBorder="1" applyAlignment="1">
      <alignment horizontal="center" vertical="center" wrapText="1"/>
    </xf>
    <xf numFmtId="164" fontId="16" fillId="2" borderId="46" xfId="1" applyNumberFormat="1" applyFont="1" applyFill="1" applyBorder="1" applyAlignment="1">
      <alignment horizontal="center" vertical="center" wrapText="1"/>
    </xf>
    <xf numFmtId="164" fontId="2" fillId="2" borderId="46" xfId="1" applyNumberFormat="1" applyFont="1" applyFill="1" applyBorder="1" applyAlignment="1">
      <alignment horizontal="center" vertical="center" wrapText="1"/>
    </xf>
    <xf numFmtId="2" fontId="2" fillId="2" borderId="46" xfId="1" applyNumberFormat="1" applyFont="1" applyFill="1" applyBorder="1" applyAlignment="1">
      <alignment horizontal="center" vertical="center" wrapText="1"/>
    </xf>
    <xf numFmtId="2" fontId="16" fillId="2" borderId="46" xfId="1" applyNumberFormat="1" applyFont="1" applyFill="1" applyBorder="1" applyAlignment="1">
      <alignment horizontal="center" vertical="center" wrapText="1"/>
    </xf>
    <xf numFmtId="0" fontId="13" fillId="0" borderId="46" xfId="0" applyFont="1" applyBorder="1" applyAlignment="1">
      <alignment horizontal="center" vertical="center" wrapText="1"/>
    </xf>
    <xf numFmtId="0" fontId="0" fillId="0" borderId="46" xfId="0" applyBorder="1" applyAlignment="1">
      <alignment horizontal="center" vertical="center" wrapText="1"/>
    </xf>
    <xf numFmtId="0" fontId="13" fillId="9" borderId="46" xfId="0" applyFont="1" applyFill="1" applyBorder="1" applyAlignment="1">
      <alignment horizontal="center" vertical="center" wrapText="1"/>
    </xf>
    <xf numFmtId="0" fontId="13" fillId="9" borderId="46" xfId="0" applyFont="1" applyFill="1" applyBorder="1" applyAlignment="1">
      <alignment horizontal="center" vertical="center"/>
    </xf>
    <xf numFmtId="49" fontId="12" fillId="9" borderId="46" xfId="2" applyNumberFormat="1" applyFill="1" applyBorder="1" applyAlignment="1">
      <alignment horizontal="center" vertical="center"/>
    </xf>
    <xf numFmtId="14" fontId="13" fillId="9" borderId="46" xfId="0" applyNumberFormat="1" applyFont="1" applyFill="1" applyBorder="1" applyAlignment="1">
      <alignment horizontal="center" vertical="center" wrapText="1"/>
    </xf>
    <xf numFmtId="14" fontId="0" fillId="0" borderId="46" xfId="0" applyNumberFormat="1" applyBorder="1" applyAlignment="1">
      <alignment horizontal="center" vertical="center" wrapText="1"/>
    </xf>
    <xf numFmtId="2" fontId="13" fillId="9" borderId="46" xfId="0" applyNumberFormat="1" applyFont="1" applyFill="1" applyBorder="1" applyAlignment="1">
      <alignment horizontal="center" vertical="center"/>
    </xf>
    <xf numFmtId="2" fontId="13" fillId="9" borderId="46" xfId="0" applyNumberFormat="1" applyFont="1" applyFill="1" applyBorder="1" applyAlignment="1">
      <alignment horizontal="center" vertical="center" wrapText="1"/>
    </xf>
    <xf numFmtId="164" fontId="13" fillId="9" borderId="46" xfId="0" applyNumberFormat="1" applyFont="1" applyFill="1" applyBorder="1" applyAlignment="1">
      <alignment horizontal="center" vertical="center" wrapText="1"/>
    </xf>
    <xf numFmtId="164" fontId="13" fillId="0" borderId="46" xfId="0" applyNumberFormat="1" applyFont="1" applyBorder="1" applyAlignment="1">
      <alignment horizontal="center" vertical="center" wrapText="1"/>
    </xf>
    <xf numFmtId="0" fontId="0" fillId="0" borderId="46" xfId="0" applyBorder="1" applyAlignment="1">
      <alignment horizontal="center" vertical="center"/>
    </xf>
    <xf numFmtId="0" fontId="13" fillId="0" borderId="46" xfId="0" applyFont="1" applyBorder="1" applyAlignment="1">
      <alignment horizontal="center" vertical="center"/>
    </xf>
    <xf numFmtId="166" fontId="0" fillId="0" borderId="0" xfId="0" applyNumberFormat="1" applyAlignment="1">
      <alignment horizontal="center" vertical="center"/>
    </xf>
    <xf numFmtId="166" fontId="2" fillId="2" borderId="46" xfId="0" applyNumberFormat="1" applyFont="1" applyFill="1" applyBorder="1" applyAlignment="1">
      <alignment horizontal="center" vertical="center" wrapText="1"/>
    </xf>
    <xf numFmtId="166" fontId="0" fillId="0" borderId="46" xfId="0" applyNumberFormat="1" applyBorder="1" applyAlignment="1">
      <alignment horizontal="center" vertical="center" wrapText="1"/>
    </xf>
    <xf numFmtId="8" fontId="3" fillId="0" borderId="46" xfId="0" applyNumberFormat="1" applyFont="1" applyBorder="1" applyAlignment="1">
      <alignment horizontal="center" vertical="center" wrapText="1"/>
    </xf>
    <xf numFmtId="8" fontId="13" fillId="0" borderId="46" xfId="0" applyNumberFormat="1" applyFont="1" applyBorder="1" applyAlignment="1">
      <alignment horizontal="center" vertical="center" wrapText="1"/>
    </xf>
    <xf numFmtId="166" fontId="0" fillId="0" borderId="7" xfId="0" applyNumberFormat="1" applyBorder="1" applyAlignment="1">
      <alignment horizontal="center" vertical="center"/>
    </xf>
    <xf numFmtId="166" fontId="0" fillId="0" borderId="30" xfId="0" applyNumberFormat="1" applyBorder="1" applyAlignment="1">
      <alignment horizontal="center" vertical="center"/>
    </xf>
    <xf numFmtId="165" fontId="7" fillId="0" borderId="35" xfId="0" applyNumberFormat="1" applyFont="1" applyBorder="1" applyAlignment="1">
      <alignment horizontal="center" vertical="center"/>
    </xf>
    <xf numFmtId="8" fontId="10" fillId="5" borderId="20" xfId="0" applyNumberFormat="1" applyFont="1" applyFill="1" applyBorder="1" applyAlignment="1">
      <alignment horizontal="center" wrapText="1"/>
    </xf>
    <xf numFmtId="8" fontId="10" fillId="5" borderId="10" xfId="0" applyNumberFormat="1" applyFont="1" applyFill="1" applyBorder="1" applyAlignment="1">
      <alignment horizontal="center" wrapText="1"/>
    </xf>
    <xf numFmtId="8" fontId="10" fillId="5" borderId="11" xfId="0" applyNumberFormat="1" applyFont="1" applyFill="1" applyBorder="1" applyAlignment="1">
      <alignment horizontal="center" wrapText="1"/>
    </xf>
    <xf numFmtId="8" fontId="10" fillId="5" borderId="12" xfId="0" applyNumberFormat="1" applyFont="1" applyFill="1" applyBorder="1" applyAlignment="1">
      <alignment horizontal="center" wrapText="1"/>
    </xf>
    <xf numFmtId="8" fontId="10" fillId="5" borderId="7" xfId="0" applyNumberFormat="1" applyFont="1" applyFill="1" applyBorder="1" applyAlignment="1">
      <alignment horizontal="center" wrapText="1"/>
    </xf>
    <xf numFmtId="8" fontId="10" fillId="5" borderId="13" xfId="0" applyNumberFormat="1" applyFont="1" applyFill="1" applyBorder="1" applyAlignment="1">
      <alignment horizontal="center" wrapText="1"/>
    </xf>
    <xf numFmtId="8" fontId="9" fillId="6" borderId="29" xfId="0" applyNumberFormat="1" applyFont="1" applyFill="1" applyBorder="1" applyAlignment="1">
      <alignment horizontal="center" wrapText="1"/>
    </xf>
    <xf numFmtId="8" fontId="9" fillId="6" borderId="30" xfId="0" applyNumberFormat="1" applyFont="1" applyFill="1" applyBorder="1" applyAlignment="1">
      <alignment horizontal="center" wrapText="1"/>
    </xf>
    <xf numFmtId="8" fontId="9" fillId="6" borderId="32" xfId="0" applyNumberFormat="1" applyFont="1" applyFill="1" applyBorder="1" applyAlignment="1">
      <alignment horizontal="center" wrapText="1"/>
    </xf>
    <xf numFmtId="0" fontId="16" fillId="2" borderId="7" xfId="0" applyFont="1" applyFill="1" applyBorder="1" applyAlignment="1">
      <alignment horizontal="center" vertical="center" wrapText="1"/>
    </xf>
    <xf numFmtId="2" fontId="16" fillId="2" borderId="36" xfId="0" applyNumberFormat="1" applyFont="1" applyFill="1" applyBorder="1" applyAlignment="1">
      <alignment horizontal="center" vertical="center" wrapText="1"/>
    </xf>
    <xf numFmtId="2" fontId="13" fillId="9" borderId="36" xfId="0" applyNumberFormat="1" applyFont="1" applyFill="1" applyBorder="1" applyAlignment="1">
      <alignment horizontal="center" vertical="center" wrapText="1"/>
    </xf>
    <xf numFmtId="2" fontId="16" fillId="2" borderId="37" xfId="0" applyNumberFormat="1" applyFont="1" applyFill="1" applyBorder="1" applyAlignment="1">
      <alignment horizontal="center" vertical="center" wrapText="1"/>
    </xf>
    <xf numFmtId="2" fontId="13" fillId="9" borderId="37" xfId="0" applyNumberFormat="1" applyFont="1" applyFill="1" applyBorder="1" applyAlignment="1">
      <alignment horizontal="center" vertical="center" wrapText="1"/>
    </xf>
    <xf numFmtId="0" fontId="13" fillId="0" borderId="7" xfId="0" applyFont="1" applyBorder="1" applyAlignment="1">
      <alignment horizontal="center" vertical="center" wrapText="1"/>
    </xf>
    <xf numFmtId="14" fontId="13" fillId="9" borderId="37" xfId="0" applyNumberFormat="1" applyFont="1" applyFill="1" applyBorder="1" applyAlignment="1">
      <alignment horizontal="center" vertical="center" wrapText="1"/>
    </xf>
    <xf numFmtId="49" fontId="12" fillId="9" borderId="38" xfId="2" applyNumberFormat="1" applyFill="1" applyBorder="1" applyAlignment="1">
      <alignment horizontal="center" vertical="center"/>
    </xf>
    <xf numFmtId="0" fontId="12" fillId="0" borderId="7" xfId="2" applyBorder="1" applyAlignment="1">
      <alignment horizontal="center" vertical="center"/>
    </xf>
    <xf numFmtId="49" fontId="12" fillId="9" borderId="7" xfId="2" applyNumberFormat="1" applyFill="1" applyBorder="1" applyAlignment="1">
      <alignment horizontal="center" vertical="center"/>
    </xf>
    <xf numFmtId="0" fontId="13" fillId="10" borderId="46" xfId="0" applyFont="1" applyFill="1" applyBorder="1" applyAlignment="1">
      <alignment horizontal="center" vertical="center" wrapText="1"/>
    </xf>
    <xf numFmtId="0" fontId="0" fillId="0" borderId="39" xfId="0" applyBorder="1" applyAlignment="1">
      <alignment horizontal="center" vertical="center"/>
    </xf>
    <xf numFmtId="0" fontId="13" fillId="3" borderId="46" xfId="0" applyFont="1" applyFill="1" applyBorder="1" applyAlignment="1">
      <alignment horizontal="center" vertical="center" wrapText="1"/>
    </xf>
    <xf numFmtId="0" fontId="13" fillId="0" borderId="38" xfId="0" applyFont="1" applyBorder="1" applyAlignment="1">
      <alignment horizontal="center" vertical="center"/>
    </xf>
    <xf numFmtId="14" fontId="0" fillId="0" borderId="31" xfId="0" applyNumberFormat="1" applyBorder="1" applyAlignment="1">
      <alignment horizontal="center" vertical="center"/>
    </xf>
    <xf numFmtId="0" fontId="18" fillId="0" borderId="7" xfId="0" applyFont="1" applyBorder="1" applyAlignment="1">
      <alignment horizontal="center" vertical="center"/>
    </xf>
    <xf numFmtId="49" fontId="12" fillId="9" borderId="39" xfId="2" applyNumberFormat="1" applyFill="1" applyBorder="1" applyAlignment="1">
      <alignment horizontal="center" vertical="center"/>
    </xf>
    <xf numFmtId="0" fontId="13" fillId="0" borderId="36" xfId="0" applyFont="1" applyBorder="1" applyAlignment="1">
      <alignment horizontal="center" vertical="center" wrapText="1"/>
    </xf>
    <xf numFmtId="166" fontId="0" fillId="0" borderId="33" xfId="0" applyNumberFormat="1" applyBorder="1" applyAlignment="1">
      <alignment horizontal="center" vertical="center"/>
    </xf>
    <xf numFmtId="0" fontId="12" fillId="0" borderId="30" xfId="2" applyBorder="1" applyAlignment="1">
      <alignment horizontal="center" vertical="center"/>
    </xf>
    <xf numFmtId="14" fontId="13" fillId="9" borderId="51" xfId="0" applyNumberFormat="1" applyFont="1" applyFill="1" applyBorder="1" applyAlignment="1">
      <alignment horizontal="center" vertical="center" wrapText="1"/>
    </xf>
    <xf numFmtId="14" fontId="0" fillId="0" borderId="5" xfId="0" applyNumberFormat="1" applyBorder="1" applyAlignment="1">
      <alignment horizontal="center" vertical="center"/>
    </xf>
    <xf numFmtId="14" fontId="0" fillId="0" borderId="6" xfId="0" applyNumberFormat="1" applyBorder="1" applyAlignment="1">
      <alignment horizontal="center" vertical="center"/>
    </xf>
    <xf numFmtId="14" fontId="0" fillId="0" borderId="33" xfId="0" applyNumberFormat="1" applyBorder="1" applyAlignment="1">
      <alignment horizontal="center" vertical="center"/>
    </xf>
    <xf numFmtId="0" fontId="0" fillId="0" borderId="36" xfId="0" applyBorder="1" applyAlignment="1">
      <alignment horizontal="center" vertical="center" wrapText="1"/>
    </xf>
    <xf numFmtId="2" fontId="13" fillId="9" borderId="52" xfId="0" applyNumberFormat="1" applyFont="1" applyFill="1" applyBorder="1" applyAlignment="1">
      <alignment horizontal="center" vertical="center" wrapText="1"/>
    </xf>
    <xf numFmtId="0" fontId="13" fillId="9" borderId="38" xfId="0" applyFont="1" applyFill="1" applyBorder="1" applyAlignment="1">
      <alignment horizontal="center" vertical="center" wrapText="1"/>
    </xf>
    <xf numFmtId="0" fontId="0" fillId="0" borderId="5" xfId="0" applyBorder="1" applyAlignment="1">
      <alignment horizontal="center" vertical="center" wrapText="1"/>
    </xf>
    <xf numFmtId="2" fontId="13" fillId="9" borderId="41" xfId="0" applyNumberFormat="1" applyFont="1" applyFill="1" applyBorder="1" applyAlignment="1">
      <alignment horizontal="center" vertical="center" wrapText="1"/>
    </xf>
    <xf numFmtId="2" fontId="13" fillId="9" borderId="53" xfId="0" applyNumberFormat="1" applyFont="1" applyFill="1" applyBorder="1" applyAlignment="1">
      <alignment horizontal="center" vertical="center" wrapText="1"/>
    </xf>
    <xf numFmtId="2" fontId="13" fillId="9" borderId="6" xfId="0" applyNumberFormat="1" applyFont="1" applyFill="1" applyBorder="1" applyAlignment="1">
      <alignment horizontal="center" vertical="center" wrapText="1"/>
    </xf>
    <xf numFmtId="0" fontId="0" fillId="0" borderId="39" xfId="0" applyBorder="1" applyAlignment="1">
      <alignment horizontal="center" vertical="center" wrapText="1"/>
    </xf>
    <xf numFmtId="0" fontId="13" fillId="9" borderId="7" xfId="0" applyFont="1" applyFill="1" applyBorder="1" applyAlignment="1">
      <alignment horizontal="center" vertical="center" wrapText="1"/>
    </xf>
    <xf numFmtId="0" fontId="13" fillId="9" borderId="39" xfId="0" applyFont="1" applyFill="1" applyBorder="1" applyAlignment="1">
      <alignment horizontal="center" vertical="center" wrapText="1"/>
    </xf>
    <xf numFmtId="0" fontId="0" fillId="0" borderId="51" xfId="0" applyBorder="1" applyAlignment="1">
      <alignment horizontal="center" vertical="center" wrapText="1"/>
    </xf>
    <xf numFmtId="164" fontId="0" fillId="0" borderId="30" xfId="0" applyNumberFormat="1" applyBorder="1" applyAlignment="1">
      <alignment horizontal="center" vertical="center"/>
    </xf>
    <xf numFmtId="164" fontId="13" fillId="9" borderId="38" xfId="0" applyNumberFormat="1" applyFont="1" applyFill="1" applyBorder="1" applyAlignment="1">
      <alignment horizontal="center" vertical="center" wrapText="1"/>
    </xf>
    <xf numFmtId="0" fontId="19" fillId="0" borderId="7" xfId="0" applyFont="1" applyBorder="1" applyAlignment="1">
      <alignment horizontal="center" vertical="center" wrapText="1"/>
    </xf>
    <xf numFmtId="0" fontId="12" fillId="0" borderId="40" xfId="2" applyBorder="1" applyAlignment="1">
      <alignment horizontal="center" vertical="center"/>
    </xf>
    <xf numFmtId="0" fontId="0" fillId="2" borderId="46" xfId="0" applyFill="1" applyBorder="1" applyAlignment="1">
      <alignment horizontal="center" vertical="center" wrapText="1"/>
    </xf>
    <xf numFmtId="14" fontId="0" fillId="2" borderId="46" xfId="0" applyNumberFormat="1" applyFill="1" applyBorder="1" applyAlignment="1">
      <alignment horizontal="center" vertical="center" wrapText="1"/>
    </xf>
    <xf numFmtId="166" fontId="0" fillId="2" borderId="46" xfId="0" applyNumberFormat="1" applyFill="1" applyBorder="1" applyAlignment="1">
      <alignment horizontal="center" vertical="center" wrapText="1"/>
    </xf>
    <xf numFmtId="2" fontId="13" fillId="2" borderId="46" xfId="0" applyNumberFormat="1" applyFont="1" applyFill="1" applyBorder="1" applyAlignment="1">
      <alignment horizontal="center" vertical="center"/>
    </xf>
    <xf numFmtId="0" fontId="13" fillId="0" borderId="6" xfId="0" applyFont="1" applyBorder="1" applyAlignment="1">
      <alignment horizontal="center" vertical="center" wrapText="1"/>
    </xf>
    <xf numFmtId="2" fontId="0" fillId="0" borderId="0" xfId="0" applyNumberFormat="1" applyAlignment="1">
      <alignment horizontal="center" vertical="center" wrapText="1"/>
    </xf>
    <xf numFmtId="0" fontId="13" fillId="11" borderId="46" xfId="0" applyFont="1" applyFill="1" applyBorder="1" applyAlignment="1">
      <alignment horizontal="center" vertical="center" wrapText="1"/>
    </xf>
    <xf numFmtId="0" fontId="20" fillId="0" borderId="0" xfId="0" applyFont="1"/>
    <xf numFmtId="0" fontId="21" fillId="0" borderId="0" xfId="0" applyFont="1"/>
    <xf numFmtId="0" fontId="22" fillId="0" borderId="0" xfId="0" applyFont="1"/>
    <xf numFmtId="0" fontId="23" fillId="0" borderId="0" xfId="0" applyFont="1"/>
    <xf numFmtId="0" fontId="24" fillId="12" borderId="0" xfId="0" applyFont="1" applyFill="1"/>
    <xf numFmtId="0" fontId="22" fillId="13" borderId="0" xfId="0" applyFont="1" applyFill="1"/>
    <xf numFmtId="164" fontId="25" fillId="0" borderId="0" xfId="0" applyNumberFormat="1" applyFont="1" applyAlignment="1">
      <alignment horizontal="center"/>
    </xf>
    <xf numFmtId="3" fontId="25" fillId="0" borderId="0" xfId="0" applyNumberFormat="1" applyFont="1" applyAlignment="1">
      <alignment horizontal="center"/>
    </xf>
    <xf numFmtId="164" fontId="22" fillId="13" borderId="0" xfId="0" applyNumberFormat="1" applyFont="1" applyFill="1" applyAlignment="1">
      <alignment horizontal="center"/>
    </xf>
    <xf numFmtId="3" fontId="22" fillId="13" borderId="0" xfId="0" applyNumberFormat="1" applyFont="1" applyFill="1" applyAlignment="1">
      <alignment horizontal="center"/>
    </xf>
    <xf numFmtId="0" fontId="24" fillId="12" borderId="0" xfId="0" applyFont="1" applyFill="1" applyAlignment="1">
      <alignment horizontal="center"/>
    </xf>
    <xf numFmtId="10" fontId="25" fillId="0" borderId="0" xfId="0" applyNumberFormat="1" applyFont="1" applyAlignment="1">
      <alignment horizontal="center"/>
    </xf>
    <xf numFmtId="10" fontId="22" fillId="13" borderId="0" xfId="0" applyNumberFormat="1" applyFont="1" applyFill="1" applyAlignment="1">
      <alignment horizontal="center"/>
    </xf>
    <xf numFmtId="0" fontId="13" fillId="0" borderId="38" xfId="0" applyFont="1" applyBorder="1" applyAlignment="1">
      <alignment horizontal="center" vertical="center" wrapText="1"/>
    </xf>
    <xf numFmtId="0" fontId="0" fillId="0" borderId="54" xfId="0" applyBorder="1" applyAlignment="1">
      <alignment horizontal="center" vertical="center"/>
    </xf>
    <xf numFmtId="0" fontId="0" fillId="0" borderId="55" xfId="0" applyBorder="1" applyAlignment="1">
      <alignment horizontal="center" vertical="center"/>
    </xf>
    <xf numFmtId="14" fontId="0" fillId="0" borderId="55" xfId="0" applyNumberFormat="1" applyBorder="1" applyAlignment="1">
      <alignment horizontal="center" vertical="center"/>
    </xf>
    <xf numFmtId="2" fontId="13" fillId="9" borderId="51" xfId="0" applyNumberFormat="1" applyFont="1" applyFill="1" applyBorder="1" applyAlignment="1">
      <alignment horizontal="center" vertical="center"/>
    </xf>
    <xf numFmtId="0" fontId="0" fillId="0" borderId="54" xfId="0" applyBorder="1" applyAlignment="1">
      <alignment horizontal="center" vertical="center" wrapText="1"/>
    </xf>
    <xf numFmtId="0" fontId="13" fillId="9" borderId="30" xfId="0" applyFont="1" applyFill="1" applyBorder="1" applyAlignment="1">
      <alignment horizontal="center" vertical="center" wrapText="1"/>
    </xf>
    <xf numFmtId="14" fontId="0" fillId="0" borderId="46" xfId="0" applyNumberFormat="1" applyBorder="1" applyAlignment="1">
      <alignment horizontal="center" vertical="center"/>
    </xf>
    <xf numFmtId="0" fontId="12" fillId="0" borderId="46" xfId="2" applyBorder="1" applyAlignment="1">
      <alignment horizontal="center" vertical="center"/>
    </xf>
    <xf numFmtId="166" fontId="0" fillId="0" borderId="46" xfId="0" applyNumberFormat="1" applyBorder="1" applyAlignment="1">
      <alignment horizontal="center" vertical="center"/>
    </xf>
    <xf numFmtId="2" fontId="0" fillId="0" borderId="46" xfId="0" applyNumberFormat="1" applyBorder="1" applyAlignment="1">
      <alignment horizontal="center" vertical="center"/>
    </xf>
    <xf numFmtId="164" fontId="0" fillId="0" borderId="46" xfId="0" applyNumberFormat="1" applyBorder="1" applyAlignment="1">
      <alignment horizontal="center" vertical="center"/>
    </xf>
    <xf numFmtId="166" fontId="0" fillId="0" borderId="56" xfId="0" applyNumberFormat="1" applyBorder="1" applyAlignment="1">
      <alignment horizontal="center" vertical="center"/>
    </xf>
    <xf numFmtId="164" fontId="0" fillId="0" borderId="0" xfId="0" applyNumberFormat="1" applyAlignment="1">
      <alignment horizontal="center"/>
    </xf>
    <xf numFmtId="2" fontId="13" fillId="9" borderId="7" xfId="0" applyNumberFormat="1" applyFont="1" applyFill="1" applyBorder="1" applyAlignment="1">
      <alignment horizontal="center" vertical="center"/>
    </xf>
    <xf numFmtId="2" fontId="0" fillId="0" borderId="57" xfId="0" applyNumberFormat="1" applyBorder="1" applyAlignment="1">
      <alignment horizontal="center" vertical="center"/>
    </xf>
    <xf numFmtId="2" fontId="13" fillId="9" borderId="38" xfId="0" applyNumberFormat="1" applyFont="1" applyFill="1" applyBorder="1" applyAlignment="1">
      <alignment horizontal="center" vertical="center"/>
    </xf>
    <xf numFmtId="14" fontId="0" fillId="0" borderId="58" xfId="0" applyNumberFormat="1" applyBorder="1" applyAlignment="1">
      <alignment horizontal="center" vertical="center"/>
    </xf>
    <xf numFmtId="0" fontId="0" fillId="0" borderId="40" xfId="0" applyBorder="1" applyAlignment="1">
      <alignment horizontal="center" vertical="center" wrapText="1"/>
    </xf>
    <xf numFmtId="14" fontId="0" fillId="0" borderId="40" xfId="0" applyNumberFormat="1" applyBorder="1" applyAlignment="1">
      <alignment horizontal="center" vertical="center"/>
    </xf>
    <xf numFmtId="2" fontId="13" fillId="9" borderId="39" xfId="0" applyNumberFormat="1" applyFont="1" applyFill="1" applyBorder="1" applyAlignment="1">
      <alignment horizontal="center" vertical="center"/>
    </xf>
    <xf numFmtId="0" fontId="0" fillId="0" borderId="56" xfId="0" applyBorder="1" applyAlignment="1">
      <alignment horizontal="center" vertical="center" wrapText="1"/>
    </xf>
    <xf numFmtId="0" fontId="0" fillId="0" borderId="58" xfId="0" applyBorder="1" applyAlignment="1">
      <alignment horizontal="center" vertical="center" wrapText="1"/>
    </xf>
    <xf numFmtId="14" fontId="0" fillId="0" borderId="59" xfId="0" applyNumberFormat="1" applyBorder="1" applyAlignment="1">
      <alignment horizontal="center" vertical="center"/>
    </xf>
    <xf numFmtId="166" fontId="0" fillId="0" borderId="40" xfId="0" applyNumberFormat="1" applyBorder="1" applyAlignment="1">
      <alignment horizontal="center" vertical="center"/>
    </xf>
    <xf numFmtId="2" fontId="13" fillId="9" borderId="60" xfId="0" applyNumberFormat="1" applyFont="1" applyFill="1" applyBorder="1" applyAlignment="1">
      <alignment horizontal="center" vertical="center"/>
    </xf>
    <xf numFmtId="0" fontId="12" fillId="0" borderId="7" xfId="2" applyBorder="1" applyAlignment="1">
      <alignment horizontal="left" vertical="center" indent="5"/>
    </xf>
    <xf numFmtId="0" fontId="12" fillId="0" borderId="54" xfId="2" applyBorder="1" applyAlignment="1">
      <alignment horizontal="center" vertical="center"/>
    </xf>
    <xf numFmtId="0" fontId="0" fillId="0" borderId="31" xfId="0" applyBorder="1" applyAlignment="1">
      <alignment horizontal="center" vertical="center" wrapText="1"/>
    </xf>
    <xf numFmtId="2" fontId="0" fillId="0" borderId="37" xfId="0" applyNumberFormat="1" applyBorder="1" applyAlignment="1">
      <alignment horizontal="center" vertical="center"/>
    </xf>
    <xf numFmtId="8" fontId="13" fillId="0" borderId="7" xfId="0" applyNumberFormat="1" applyFont="1" applyBorder="1" applyAlignment="1">
      <alignment horizontal="center" vertical="center" wrapText="1"/>
    </xf>
    <xf numFmtId="164" fontId="13" fillId="0" borderId="7" xfId="0" applyNumberFormat="1" applyFont="1" applyBorder="1" applyAlignment="1">
      <alignment horizontal="center" vertical="center" wrapText="1"/>
    </xf>
    <xf numFmtId="164" fontId="0" fillId="0" borderId="36" xfId="0" applyNumberFormat="1" applyBorder="1" applyAlignment="1">
      <alignment horizontal="center" vertical="center"/>
    </xf>
    <xf numFmtId="8" fontId="13" fillId="0" borderId="38" xfId="0" applyNumberFormat="1" applyFont="1" applyBorder="1" applyAlignment="1">
      <alignment horizontal="center" vertical="center" wrapText="1"/>
    </xf>
    <xf numFmtId="164" fontId="13" fillId="0" borderId="38" xfId="0" applyNumberFormat="1" applyFont="1" applyBorder="1" applyAlignment="1">
      <alignment horizontal="center" vertical="center" wrapText="1"/>
    </xf>
    <xf numFmtId="0" fontId="0" fillId="0" borderId="38" xfId="0" applyBorder="1" applyAlignment="1">
      <alignment horizontal="center" vertical="center"/>
    </xf>
    <xf numFmtId="14" fontId="0" fillId="0" borderId="36" xfId="0" applyNumberFormat="1" applyBorder="1" applyAlignment="1">
      <alignment horizontal="center" vertical="center"/>
    </xf>
    <xf numFmtId="0" fontId="0" fillId="0" borderId="53" xfId="0" applyBorder="1" applyAlignment="1">
      <alignment horizontal="center" vertical="center" wrapText="1"/>
    </xf>
    <xf numFmtId="2" fontId="13" fillId="9" borderId="61" xfId="0" applyNumberFormat="1" applyFont="1" applyFill="1" applyBorder="1" applyAlignment="1">
      <alignment horizontal="center" vertical="center"/>
    </xf>
    <xf numFmtId="166" fontId="0" fillId="0" borderId="36" xfId="0" applyNumberFormat="1" applyBorder="1" applyAlignment="1">
      <alignment horizontal="center" vertical="center"/>
    </xf>
    <xf numFmtId="0" fontId="0" fillId="0" borderId="7" xfId="0" applyBorder="1" applyAlignment="1">
      <alignment horizontal="center" vertical="center" indent="2"/>
    </xf>
    <xf numFmtId="0" fontId="13" fillId="14" borderId="46" xfId="0" applyFont="1" applyFill="1" applyBorder="1" applyAlignment="1">
      <alignment horizontal="center" vertical="center" wrapText="1"/>
    </xf>
    <xf numFmtId="0" fontId="0" fillId="0" borderId="7" xfId="0" applyBorder="1" applyAlignment="1">
      <alignment horizontal="left" vertical="center" indent="2"/>
    </xf>
    <xf numFmtId="8" fontId="13" fillId="0" borderId="5" xfId="0" applyNumberFormat="1" applyFont="1" applyBorder="1" applyAlignment="1">
      <alignment horizontal="center" vertical="center" wrapText="1"/>
    </xf>
    <xf numFmtId="164" fontId="13" fillId="0" borderId="30" xfId="0" applyNumberFormat="1" applyFont="1" applyBorder="1" applyAlignment="1">
      <alignment horizontal="center" vertical="center" wrapText="1"/>
    </xf>
    <xf numFmtId="164" fontId="13" fillId="0" borderId="40" xfId="0" applyNumberFormat="1" applyFont="1" applyBorder="1" applyAlignment="1">
      <alignment horizontal="center" vertical="center" wrapText="1"/>
    </xf>
    <xf numFmtId="0" fontId="0" fillId="0" borderId="41" xfId="0" applyBorder="1" applyAlignment="1">
      <alignment horizontal="center" vertical="center" wrapText="1"/>
    </xf>
    <xf numFmtId="0" fontId="12" fillId="0" borderId="7" xfId="2" applyBorder="1" applyAlignment="1">
      <alignment horizontal="center" vertical="center" indent="5"/>
    </xf>
    <xf numFmtId="14" fontId="0" fillId="0" borderId="37" xfId="0" applyNumberFormat="1" applyBorder="1" applyAlignment="1">
      <alignment horizontal="center" vertical="center"/>
    </xf>
    <xf numFmtId="0" fontId="12" fillId="0" borderId="30" xfId="2" applyBorder="1" applyAlignment="1">
      <alignment horizontal="center" vertical="center" indent="5"/>
    </xf>
    <xf numFmtId="0" fontId="26" fillId="0" borderId="7" xfId="0" applyFont="1" applyBorder="1" applyAlignment="1">
      <alignment horizontal="center" vertical="center" indent="3"/>
    </xf>
    <xf numFmtId="14" fontId="0" fillId="0" borderId="39" xfId="0" applyNumberFormat="1" applyBorder="1" applyAlignment="1">
      <alignment horizontal="center" vertical="center"/>
    </xf>
    <xf numFmtId="0" fontId="12" fillId="0" borderId="7" xfId="2" applyBorder="1" applyAlignment="1">
      <alignment horizontal="center" vertical="center" indent="4"/>
    </xf>
    <xf numFmtId="166" fontId="0" fillId="0" borderId="37" xfId="0" applyNumberFormat="1" applyBorder="1" applyAlignment="1">
      <alignment horizontal="center" vertical="center"/>
    </xf>
    <xf numFmtId="14" fontId="0" fillId="0" borderId="41" xfId="0" applyNumberFormat="1" applyBorder="1" applyAlignment="1">
      <alignment horizontal="center" vertical="center"/>
    </xf>
    <xf numFmtId="14" fontId="0" fillId="0" borderId="51" xfId="0" applyNumberFormat="1" applyBorder="1" applyAlignment="1">
      <alignment horizontal="center" vertical="center"/>
    </xf>
    <xf numFmtId="2" fontId="0" fillId="0" borderId="7" xfId="0" applyNumberFormat="1" applyBorder="1" applyAlignment="1">
      <alignment horizontal="center" vertical="center"/>
    </xf>
    <xf numFmtId="0" fontId="0" fillId="0" borderId="6" xfId="0" applyBorder="1" applyAlignment="1">
      <alignment horizontal="center" vertical="center" wrapText="1"/>
    </xf>
    <xf numFmtId="0" fontId="0" fillId="0" borderId="36" xfId="0" applyBorder="1" applyAlignment="1">
      <alignment horizontal="center" vertical="center"/>
    </xf>
    <xf numFmtId="166" fontId="0" fillId="0" borderId="51" xfId="0" applyNumberFormat="1" applyBorder="1" applyAlignment="1">
      <alignment horizontal="center" vertical="center"/>
    </xf>
    <xf numFmtId="14" fontId="0" fillId="0" borderId="62" xfId="0" applyNumberFormat="1" applyBorder="1" applyAlignment="1">
      <alignment horizontal="center" vertical="center"/>
    </xf>
    <xf numFmtId="166" fontId="0" fillId="0" borderId="6" xfId="0" applyNumberFormat="1" applyBorder="1" applyAlignment="1">
      <alignment horizontal="center" vertical="center"/>
    </xf>
    <xf numFmtId="166" fontId="0" fillId="0" borderId="60" xfId="0" applyNumberFormat="1" applyBorder="1" applyAlignment="1">
      <alignment horizontal="center" vertical="center"/>
    </xf>
    <xf numFmtId="14" fontId="0" fillId="0" borderId="57" xfId="0" applyNumberFormat="1" applyBorder="1" applyAlignment="1">
      <alignment horizontal="center" vertical="center"/>
    </xf>
    <xf numFmtId="0" fontId="0" fillId="0" borderId="41" xfId="0" applyBorder="1" applyAlignment="1">
      <alignment horizontal="center" vertical="center"/>
    </xf>
    <xf numFmtId="0" fontId="0" fillId="0" borderId="53" xfId="0" applyBorder="1" applyAlignment="1">
      <alignment horizontal="center" vertical="center"/>
    </xf>
    <xf numFmtId="2" fontId="13" fillId="9" borderId="30" xfId="0" applyNumberFormat="1" applyFont="1" applyFill="1" applyBorder="1" applyAlignment="1">
      <alignment horizontal="center" vertical="center"/>
    </xf>
    <xf numFmtId="14" fontId="0" fillId="0" borderId="61" xfId="0" applyNumberFormat="1" applyBorder="1" applyAlignment="1">
      <alignment horizontal="center" vertical="center"/>
    </xf>
    <xf numFmtId="14" fontId="0" fillId="0" borderId="54" xfId="0" applyNumberFormat="1" applyBorder="1" applyAlignment="1">
      <alignment horizontal="center" vertical="center"/>
    </xf>
    <xf numFmtId="0" fontId="0" fillId="0" borderId="55" xfId="0" applyBorder="1" applyAlignment="1">
      <alignment horizontal="center" vertical="center" wrapText="1"/>
    </xf>
    <xf numFmtId="14" fontId="0" fillId="0" borderId="56" xfId="0" applyNumberFormat="1" applyBorder="1" applyAlignment="1">
      <alignment horizontal="center" vertical="center"/>
    </xf>
    <xf numFmtId="166" fontId="0" fillId="0" borderId="63" xfId="0" applyNumberFormat="1" applyBorder="1" applyAlignment="1">
      <alignment horizontal="center" vertical="center"/>
    </xf>
    <xf numFmtId="2" fontId="13" fillId="9" borderId="54" xfId="0" applyNumberFormat="1" applyFont="1" applyFill="1" applyBorder="1" applyAlignment="1">
      <alignment horizontal="center" vertical="center"/>
    </xf>
    <xf numFmtId="2" fontId="13" fillId="9" borderId="40" xfId="0" applyNumberFormat="1" applyFont="1" applyFill="1" applyBorder="1" applyAlignment="1">
      <alignment horizontal="center" vertical="center"/>
    </xf>
    <xf numFmtId="0" fontId="12" fillId="0" borderId="0" xfId="2" applyAlignment="1">
      <alignment horizontal="left" vertical="center" indent="5"/>
    </xf>
    <xf numFmtId="0" fontId="12" fillId="0" borderId="0" xfId="2" applyAlignment="1">
      <alignment horizontal="center" vertical="center"/>
    </xf>
    <xf numFmtId="0" fontId="12" fillId="0" borderId="0" xfId="2" applyAlignment="1">
      <alignment horizontal="center" vertical="center" indent="5"/>
    </xf>
    <xf numFmtId="0" fontId="19" fillId="0" borderId="0" xfId="0" applyFont="1" applyAlignment="1">
      <alignment vertical="center" indent="1"/>
    </xf>
    <xf numFmtId="0" fontId="27" fillId="0" borderId="0" xfId="0" applyFont="1" applyAlignment="1">
      <alignment horizontal="left" vertical="center" indent="4"/>
    </xf>
    <xf numFmtId="8" fontId="0" fillId="0" borderId="0" xfId="0" applyNumberFormat="1" applyAlignment="1">
      <alignment horizontal="center" vertical="center"/>
    </xf>
    <xf numFmtId="0" fontId="12" fillId="0" borderId="30" xfId="2" applyBorder="1" applyAlignment="1">
      <alignment horizontal="center" vertical="center" indent="4"/>
    </xf>
    <xf numFmtId="164" fontId="13" fillId="9" borderId="7" xfId="0" applyNumberFormat="1" applyFont="1" applyFill="1" applyBorder="1" applyAlignment="1">
      <alignment horizontal="center" vertical="center" wrapText="1"/>
    </xf>
    <xf numFmtId="8" fontId="3" fillId="0" borderId="7" xfId="0" applyNumberFormat="1" applyFont="1" applyBorder="1" applyAlignment="1">
      <alignment horizontal="center" vertical="center" wrapText="1"/>
    </xf>
    <xf numFmtId="2" fontId="0" fillId="0" borderId="36" xfId="0" applyNumberFormat="1" applyBorder="1" applyAlignment="1">
      <alignment horizontal="center" vertical="center"/>
    </xf>
    <xf numFmtId="2" fontId="0" fillId="0" borderId="38" xfId="0" applyNumberFormat="1" applyBorder="1" applyAlignment="1">
      <alignment horizontal="center" vertical="center"/>
    </xf>
    <xf numFmtId="164" fontId="0" fillId="0" borderId="38" xfId="0" applyNumberFormat="1" applyBorder="1" applyAlignment="1">
      <alignment horizontal="center" vertical="center"/>
    </xf>
    <xf numFmtId="8" fontId="3" fillId="0" borderId="38" xfId="0" applyNumberFormat="1" applyFont="1" applyBorder="1" applyAlignment="1">
      <alignment horizontal="center" vertical="center" wrapText="1"/>
    </xf>
    <xf numFmtId="8" fontId="13" fillId="0" borderId="30" xfId="0" applyNumberFormat="1" applyFont="1" applyBorder="1" applyAlignment="1">
      <alignment horizontal="center" vertical="center" wrapText="1"/>
    </xf>
    <xf numFmtId="164" fontId="13" fillId="0" borderId="54" xfId="0" applyNumberFormat="1" applyFont="1" applyBorder="1" applyAlignment="1">
      <alignment horizontal="center" vertical="center" wrapText="1"/>
    </xf>
    <xf numFmtId="2" fontId="0" fillId="0" borderId="39" xfId="0" applyNumberFormat="1" applyBorder="1" applyAlignment="1">
      <alignment horizontal="center" vertical="center"/>
    </xf>
    <xf numFmtId="164" fontId="0" fillId="0" borderId="39" xfId="0" applyNumberFormat="1" applyBorder="1" applyAlignment="1">
      <alignment horizontal="center" vertical="center"/>
    </xf>
    <xf numFmtId="14" fontId="0" fillId="0" borderId="60" xfId="0" applyNumberFormat="1" applyBorder="1" applyAlignment="1">
      <alignment horizontal="center" vertical="center"/>
    </xf>
    <xf numFmtId="14" fontId="0" fillId="0" borderId="38" xfId="0" applyNumberFormat="1" applyBorder="1" applyAlignment="1">
      <alignment horizontal="center" vertical="center"/>
    </xf>
    <xf numFmtId="8" fontId="13" fillId="0" borderId="40" xfId="0" applyNumberFormat="1" applyFont="1" applyBorder="1" applyAlignment="1">
      <alignment horizontal="center" vertical="center" wrapText="1"/>
    </xf>
    <xf numFmtId="164" fontId="13" fillId="9" borderId="30" xfId="0" applyNumberFormat="1" applyFont="1" applyFill="1" applyBorder="1" applyAlignment="1">
      <alignment horizontal="center" vertical="center" wrapText="1"/>
    </xf>
    <xf numFmtId="8" fontId="3" fillId="0" borderId="30" xfId="0" applyNumberFormat="1" applyFont="1" applyBorder="1" applyAlignment="1">
      <alignment horizontal="center" vertical="center" wrapText="1"/>
    </xf>
    <xf numFmtId="164" fontId="13" fillId="9" borderId="40" xfId="0" applyNumberFormat="1" applyFont="1" applyFill="1" applyBorder="1" applyAlignment="1">
      <alignment horizontal="center" vertical="center" wrapText="1"/>
    </xf>
    <xf numFmtId="8" fontId="3" fillId="0" borderId="40" xfId="0" applyNumberFormat="1" applyFont="1" applyBorder="1" applyAlignment="1">
      <alignment horizontal="center" vertical="center" wrapText="1"/>
    </xf>
    <xf numFmtId="14" fontId="0" fillId="0" borderId="53" xfId="0" applyNumberFormat="1" applyBorder="1" applyAlignment="1">
      <alignment horizontal="center" vertical="center"/>
    </xf>
    <xf numFmtId="14" fontId="0" fillId="0" borderId="64" xfId="0" applyNumberFormat="1" applyBorder="1" applyAlignment="1">
      <alignment horizontal="center" vertical="center"/>
    </xf>
    <xf numFmtId="0" fontId="12" fillId="0" borderId="54" xfId="2" applyBorder="1" applyAlignment="1">
      <alignment horizontal="center" vertical="center" indent="5"/>
    </xf>
    <xf numFmtId="14" fontId="0" fillId="0" borderId="63" xfId="0" applyNumberFormat="1" applyBorder="1" applyAlignment="1">
      <alignment horizontal="center" vertical="center"/>
    </xf>
    <xf numFmtId="0" fontId="0" fillId="0" borderId="64" xfId="0" applyBorder="1" applyAlignment="1">
      <alignment horizontal="center" vertical="center" wrapText="1"/>
    </xf>
    <xf numFmtId="0" fontId="13" fillId="0" borderId="41" xfId="0" applyFont="1" applyBorder="1" applyAlignment="1">
      <alignment horizontal="center" vertical="center" wrapText="1"/>
    </xf>
    <xf numFmtId="166" fontId="0" fillId="0" borderId="38" xfId="0" applyNumberFormat="1" applyBorder="1" applyAlignment="1">
      <alignment horizontal="center" vertical="center"/>
    </xf>
    <xf numFmtId="0" fontId="13" fillId="0" borderId="39" xfId="0" applyFont="1" applyBorder="1" applyAlignment="1">
      <alignment horizontal="center" vertical="center" wrapText="1"/>
    </xf>
    <xf numFmtId="166" fontId="0" fillId="0" borderId="39" xfId="0" applyNumberFormat="1" applyBorder="1" applyAlignment="1">
      <alignment horizontal="center" vertical="center"/>
    </xf>
    <xf numFmtId="2" fontId="0" fillId="0" borderId="7" xfId="0" applyNumberFormat="1" applyBorder="1" applyAlignment="1">
      <alignment horizontal="center" vertical="center" wrapText="1"/>
    </xf>
    <xf numFmtId="164" fontId="0" fillId="0" borderId="37" xfId="0" applyNumberFormat="1" applyBorder="1" applyAlignment="1">
      <alignment horizontal="center" vertical="center"/>
    </xf>
    <xf numFmtId="0" fontId="0" fillId="0" borderId="60" xfId="0" applyBorder="1" applyAlignment="1">
      <alignment horizontal="center" vertical="center" wrapText="1"/>
    </xf>
    <xf numFmtId="0" fontId="0" fillId="0" borderId="38" xfId="0" applyBorder="1" applyAlignment="1">
      <alignment horizontal="center"/>
    </xf>
    <xf numFmtId="0" fontId="12" fillId="0" borderId="30" xfId="2" applyBorder="1" applyAlignment="1">
      <alignment horizontal="left" vertical="center" indent="5"/>
    </xf>
    <xf numFmtId="2" fontId="13" fillId="9" borderId="6" xfId="0" applyNumberFormat="1" applyFont="1" applyFill="1" applyBorder="1" applyAlignment="1">
      <alignment horizontal="center" vertical="center"/>
    </xf>
    <xf numFmtId="0" fontId="13" fillId="0" borderId="40" xfId="0" applyFont="1" applyBorder="1" applyAlignment="1">
      <alignment horizontal="center" vertical="center" wrapText="1"/>
    </xf>
    <xf numFmtId="2" fontId="0" fillId="0" borderId="46" xfId="0" applyNumberFormat="1" applyBorder="1" applyAlignment="1">
      <alignment horizontal="center" vertical="center" wrapText="1"/>
    </xf>
    <xf numFmtId="0" fontId="12" fillId="0" borderId="40" xfId="2" applyBorder="1" applyAlignment="1">
      <alignment horizontal="left" vertical="center" indent="5"/>
    </xf>
    <xf numFmtId="0" fontId="12" fillId="0" borderId="54" xfId="2" applyBorder="1" applyAlignment="1">
      <alignment horizontal="left" vertical="center" indent="5"/>
    </xf>
    <xf numFmtId="0" fontId="13" fillId="0" borderId="5" xfId="0" applyFont="1" applyBorder="1" applyAlignment="1">
      <alignment horizontal="center" vertical="center" wrapText="1"/>
    </xf>
    <xf numFmtId="0" fontId="0" fillId="0" borderId="63" xfId="0" applyBorder="1" applyAlignment="1">
      <alignment horizontal="center" vertical="center"/>
    </xf>
    <xf numFmtId="2" fontId="13" fillId="9" borderId="33" xfId="0" applyNumberFormat="1" applyFont="1" applyFill="1" applyBorder="1" applyAlignment="1">
      <alignment horizontal="center" vertical="center"/>
    </xf>
    <xf numFmtId="49" fontId="0" fillId="0" borderId="0" xfId="0" applyNumberFormat="1"/>
    <xf numFmtId="0" fontId="0" fillId="0" borderId="63" xfId="0" applyBorder="1" applyAlignment="1">
      <alignment horizontal="center" vertical="center" wrapText="1"/>
    </xf>
    <xf numFmtId="0" fontId="13" fillId="0" borderId="31" xfId="0" applyFont="1" applyBorder="1" applyAlignment="1">
      <alignment horizontal="center" vertical="center" wrapText="1"/>
    </xf>
    <xf numFmtId="164" fontId="13" fillId="9" borderId="54" xfId="0" applyNumberFormat="1" applyFont="1" applyFill="1" applyBorder="1" applyAlignment="1">
      <alignment horizontal="center" vertical="center" wrapText="1"/>
    </xf>
    <xf numFmtId="8" fontId="3" fillId="0" borderId="54" xfId="0" applyNumberFormat="1" applyFont="1" applyBorder="1" applyAlignment="1">
      <alignment horizontal="center" vertical="center" wrapText="1"/>
    </xf>
    <xf numFmtId="2" fontId="0" fillId="0" borderId="63" xfId="0" applyNumberFormat="1" applyBorder="1" applyAlignment="1">
      <alignment horizontal="center" vertical="center"/>
    </xf>
    <xf numFmtId="0" fontId="13" fillId="9" borderId="63" xfId="0" applyFont="1" applyFill="1" applyBorder="1" applyAlignment="1">
      <alignment horizontal="center" vertical="center" wrapText="1"/>
    </xf>
    <xf numFmtId="164" fontId="0" fillId="0" borderId="63" xfId="0" applyNumberFormat="1" applyBorder="1" applyAlignment="1">
      <alignment horizontal="center" vertical="center"/>
    </xf>
    <xf numFmtId="0" fontId="13" fillId="0" borderId="30" xfId="0" applyFont="1" applyBorder="1" applyAlignment="1">
      <alignment horizontal="center" vertical="center" wrapText="1"/>
    </xf>
    <xf numFmtId="0" fontId="13" fillId="0" borderId="54" xfId="0" applyFont="1" applyBorder="1" applyAlignment="1">
      <alignment horizontal="center" vertical="center" wrapText="1"/>
    </xf>
    <xf numFmtId="0" fontId="13" fillId="0" borderId="63" xfId="0" applyFont="1" applyBorder="1" applyAlignment="1">
      <alignment horizontal="center" vertical="center" wrapText="1"/>
    </xf>
    <xf numFmtId="0" fontId="0" fillId="0" borderId="64" xfId="0" applyBorder="1" applyAlignment="1">
      <alignment horizontal="center" vertical="center"/>
    </xf>
    <xf numFmtId="0" fontId="13" fillId="0" borderId="64" xfId="0" applyFont="1" applyBorder="1" applyAlignment="1">
      <alignment horizontal="center" vertical="center" wrapText="1"/>
    </xf>
    <xf numFmtId="166" fontId="0" fillId="0" borderId="54" xfId="0" applyNumberFormat="1" applyBorder="1" applyAlignment="1">
      <alignment horizontal="center" vertical="center"/>
    </xf>
    <xf numFmtId="2" fontId="13" fillId="9" borderId="56" xfId="0" applyNumberFormat="1" applyFont="1" applyFill="1" applyBorder="1" applyAlignment="1">
      <alignment horizontal="center" vertical="center"/>
    </xf>
    <xf numFmtId="2" fontId="13" fillId="9" borderId="58" xfId="0" applyNumberFormat="1" applyFont="1" applyFill="1" applyBorder="1" applyAlignment="1">
      <alignment horizontal="center" vertical="center"/>
    </xf>
    <xf numFmtId="0" fontId="0" fillId="0" borderId="33" xfId="0" applyBorder="1" applyAlignment="1">
      <alignment horizontal="center" vertical="center"/>
    </xf>
    <xf numFmtId="0" fontId="0" fillId="0" borderId="6" xfId="0" applyBorder="1" applyAlignment="1">
      <alignment horizontal="center" vertical="center"/>
    </xf>
    <xf numFmtId="0" fontId="13" fillId="0" borderId="53" xfId="0" applyFont="1" applyBorder="1" applyAlignment="1">
      <alignment horizontal="center" vertical="center" wrapText="1"/>
    </xf>
    <xf numFmtId="0" fontId="0" fillId="0" borderId="59" xfId="0" applyBorder="1" applyAlignment="1">
      <alignment horizontal="center" vertical="center" wrapText="1"/>
    </xf>
    <xf numFmtId="2" fontId="0" fillId="0" borderId="51" xfId="0" applyNumberFormat="1" applyBorder="1" applyAlignment="1">
      <alignment horizontal="center" vertical="center"/>
    </xf>
    <xf numFmtId="0" fontId="0" fillId="0" borderId="65" xfId="0" applyBorder="1" applyAlignment="1">
      <alignment horizontal="center" vertical="center" wrapText="1"/>
    </xf>
    <xf numFmtId="0" fontId="13" fillId="9" borderId="54" xfId="0" applyFont="1" applyFill="1" applyBorder="1" applyAlignment="1">
      <alignment horizontal="center" vertical="center" wrapText="1"/>
    </xf>
    <xf numFmtId="164" fontId="0" fillId="0" borderId="54" xfId="0" applyNumberFormat="1" applyBorder="1" applyAlignment="1">
      <alignment horizontal="center" vertical="center"/>
    </xf>
    <xf numFmtId="4" fontId="0" fillId="0" borderId="0" xfId="0" applyNumberFormat="1" applyAlignment="1">
      <alignment horizontal="center" vertical="center"/>
    </xf>
    <xf numFmtId="2" fontId="13" fillId="9" borderId="31" xfId="0" applyNumberFormat="1" applyFont="1" applyFill="1" applyBorder="1" applyAlignment="1">
      <alignment horizontal="center" vertical="center"/>
    </xf>
    <xf numFmtId="166" fontId="0" fillId="0" borderId="61" xfId="0" applyNumberFormat="1" applyBorder="1" applyAlignment="1">
      <alignment horizontal="center" vertical="center"/>
    </xf>
    <xf numFmtId="0" fontId="13" fillId="0" borderId="37" xfId="0" applyFont="1" applyBorder="1" applyAlignment="1">
      <alignment horizontal="center" vertical="center"/>
    </xf>
    <xf numFmtId="0" fontId="0" fillId="0" borderId="37" xfId="0" applyBorder="1" applyAlignment="1">
      <alignment horizontal="center" vertical="center"/>
    </xf>
    <xf numFmtId="164" fontId="13" fillId="9" borderId="39" xfId="0" applyNumberFormat="1" applyFont="1" applyFill="1" applyBorder="1" applyAlignment="1">
      <alignment horizontal="center" vertical="center" wrapText="1"/>
    </xf>
    <xf numFmtId="8" fontId="3" fillId="0" borderId="39" xfId="0" applyNumberFormat="1" applyFont="1" applyBorder="1" applyAlignment="1">
      <alignment horizontal="center" vertical="center" wrapText="1"/>
    </xf>
    <xf numFmtId="8" fontId="13" fillId="0" borderId="39" xfId="0" applyNumberFormat="1" applyFont="1" applyBorder="1" applyAlignment="1">
      <alignment horizontal="center" vertical="center" wrapText="1"/>
    </xf>
    <xf numFmtId="164" fontId="13" fillId="0" borderId="39" xfId="0" applyNumberFormat="1" applyFont="1" applyBorder="1" applyAlignment="1">
      <alignment horizontal="center" vertical="center" wrapText="1"/>
    </xf>
    <xf numFmtId="167" fontId="0" fillId="0" borderId="0" xfId="0" applyNumberFormat="1" applyAlignment="1">
      <alignment horizontal="center" vertical="center"/>
    </xf>
    <xf numFmtId="8" fontId="13" fillId="0" borderId="59" xfId="0" applyNumberFormat="1" applyFont="1" applyBorder="1" applyAlignment="1">
      <alignment horizontal="center" vertical="center" wrapText="1"/>
    </xf>
    <xf numFmtId="164" fontId="13" fillId="0" borderId="58" xfId="0" applyNumberFormat="1" applyFont="1" applyBorder="1" applyAlignment="1">
      <alignment horizontal="center" vertical="center" wrapText="1"/>
    </xf>
    <xf numFmtId="0" fontId="12" fillId="0" borderId="39" xfId="2" applyBorder="1" applyAlignment="1">
      <alignment horizontal="center" vertical="center"/>
    </xf>
    <xf numFmtId="0" fontId="17" fillId="0" borderId="25" xfId="0" applyFont="1" applyBorder="1" applyAlignment="1">
      <alignment horizontal="center"/>
    </xf>
    <xf numFmtId="164" fontId="4" fillId="0" borderId="49" xfId="0" applyNumberFormat="1" applyFont="1" applyBorder="1" applyAlignment="1">
      <alignment horizontal="center"/>
    </xf>
    <xf numFmtId="0" fontId="4" fillId="0" borderId="50" xfId="0" applyFont="1" applyBorder="1" applyAlignment="1">
      <alignment horizontal="center"/>
    </xf>
    <xf numFmtId="0" fontId="15" fillId="0" borderId="0" xfId="0" applyFont="1" applyAlignment="1">
      <alignment horizontal="center" vertical="center"/>
    </xf>
    <xf numFmtId="164" fontId="17" fillId="0" borderId="28" xfId="0" applyNumberFormat="1" applyFont="1" applyBorder="1" applyAlignment="1">
      <alignment horizontal="center"/>
    </xf>
    <xf numFmtId="0" fontId="4" fillId="0" borderId="49" xfId="0" applyFont="1" applyBorder="1" applyAlignment="1">
      <alignment horizontal="center"/>
    </xf>
    <xf numFmtId="0" fontId="0" fillId="3" borderId="47" xfId="0" applyFill="1" applyBorder="1" applyAlignment="1">
      <alignment horizontal="center" vertical="center"/>
    </xf>
    <xf numFmtId="0" fontId="4" fillId="0" borderId="25" xfId="0" applyFont="1" applyBorder="1" applyAlignment="1">
      <alignment horizontal="center"/>
    </xf>
    <xf numFmtId="0" fontId="14" fillId="0" borderId="0" xfId="0" applyFont="1" applyAlignment="1">
      <alignment horizontal="center" vertical="center"/>
    </xf>
    <xf numFmtId="0" fontId="8" fillId="8" borderId="9" xfId="0" applyFont="1" applyFill="1" applyBorder="1" applyAlignment="1">
      <alignment horizontal="center"/>
    </xf>
    <xf numFmtId="0" fontId="0" fillId="3" borderId="25" xfId="0" applyFill="1" applyBorder="1" applyAlignment="1">
      <alignment horizontal="center" vertical="center" wrapText="1"/>
    </xf>
    <xf numFmtId="0" fontId="8" fillId="6" borderId="20" xfId="0" applyFont="1" applyFill="1" applyBorder="1" applyAlignment="1">
      <alignment horizontal="center"/>
    </xf>
    <xf numFmtId="3" fontId="4" fillId="0" borderId="28" xfId="0" applyNumberFormat="1" applyFont="1" applyBorder="1" applyAlignment="1">
      <alignment horizontal="center"/>
    </xf>
    <xf numFmtId="10" fontId="4" fillId="0" borderId="49" xfId="0" applyNumberFormat="1" applyFont="1" applyBorder="1" applyAlignment="1">
      <alignment horizontal="center"/>
    </xf>
    <xf numFmtId="0" fontId="0" fillId="4" borderId="48" xfId="0" applyFill="1" applyBorder="1" applyAlignment="1">
      <alignment horizontal="center"/>
    </xf>
    <xf numFmtId="164" fontId="6" fillId="0" borderId="49" xfId="0" applyNumberFormat="1" applyFont="1" applyBorder="1" applyAlignment="1">
      <alignment horizontal="center"/>
    </xf>
    <xf numFmtId="0" fontId="12" fillId="0" borderId="0" xfId="2" applyFill="1" applyAlignment="1">
      <alignment horizontal="center" vertical="center"/>
    </xf>
    <xf numFmtId="0" fontId="0" fillId="0" borderId="42" xfId="0" applyBorder="1" applyAlignment="1"/>
    <xf numFmtId="0" fontId="0" fillId="0" borderId="43" xfId="0" applyBorder="1" applyAlignment="1"/>
    <xf numFmtId="0" fontId="0" fillId="0" borderId="44" xfId="0" applyBorder="1" applyAlignment="1"/>
    <xf numFmtId="0" fontId="0" fillId="0" borderId="45" xfId="0" applyBorder="1" applyAlignment="1"/>
    <xf numFmtId="0" fontId="0" fillId="0" borderId="0" xfId="0" applyAlignment="1"/>
    <xf numFmtId="0" fontId="0" fillId="0" borderId="1" xfId="0" applyBorder="1" applyAlignment="1"/>
    <xf numFmtId="0" fontId="0" fillId="0" borderId="2" xfId="0" applyBorder="1" applyAlignment="1"/>
    <xf numFmtId="0" fontId="0" fillId="0" borderId="3" xfId="0" applyBorder="1" applyAlignment="1"/>
    <xf numFmtId="0" fontId="0" fillId="0" borderId="4" xfId="0" applyBorder="1" applyAlignment="1"/>
    <xf numFmtId="0" fontId="0" fillId="0" borderId="8" xfId="0" applyBorder="1" applyAlignment="1"/>
    <xf numFmtId="0" fontId="0" fillId="0" borderId="34" xfId="0" applyBorder="1" applyAlignment="1"/>
    <xf numFmtId="0" fontId="0" fillId="0" borderId="9" xfId="0" applyBorder="1" applyAlignment="1"/>
    <xf numFmtId="0" fontId="0" fillId="0" borderId="27" xfId="0" applyBorder="1" applyAlignment="1"/>
    <xf numFmtId="0" fontId="0" fillId="0" borderId="28" xfId="0" applyBorder="1" applyAlignment="1"/>
  </cellXfs>
  <cellStyles count="3">
    <cellStyle name="Currency" xfId="1" builtinId="4"/>
    <cellStyle name="Hyperlink" xfId="2" builtinId="8"/>
    <cellStyle name="Normal" xfId="0" builtinId="0"/>
  </cellStyles>
  <dxfs count="815">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ont>
        <color rgb="FF9C0006"/>
      </font>
      <fill>
        <patternFill>
          <bgColor rgb="FFFFC7CE"/>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7D7D"/>
        </patternFill>
      </fill>
    </dxf>
    <dxf>
      <fill>
        <patternFill>
          <bgColor rgb="FF97FFBA"/>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ont>
        <color theme="0"/>
      </font>
      <fill>
        <patternFill>
          <bgColor theme="1"/>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7CE"/>
        </patternFill>
      </fill>
    </dxf>
    <dxf>
      <fill>
        <patternFill>
          <bgColor rgb="FFFFC7CE"/>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0000"/>
        </patternFill>
      </fill>
    </dxf>
    <dxf>
      <fill>
        <patternFill>
          <bgColor rgb="FF00B050"/>
        </patternFill>
      </fill>
    </dxf>
    <dxf>
      <fill>
        <patternFill>
          <bgColor rgb="FFFFC7CE"/>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7D7D"/>
        </patternFill>
      </fill>
    </dxf>
    <dxf>
      <fill>
        <patternFill>
          <bgColor rgb="FF97FFBA"/>
        </patternFill>
      </fill>
    </dxf>
    <dxf>
      <fill>
        <patternFill>
          <bgColor rgb="FFFF9966"/>
        </patternFill>
      </fill>
    </dxf>
    <dxf>
      <fill>
        <patternFill>
          <bgColor rgb="FFFF9966"/>
        </patternFill>
      </fill>
    </dxf>
    <dxf>
      <fill>
        <patternFill>
          <bgColor rgb="FFFF9966"/>
        </patternFill>
      </fill>
    </dxf>
    <dxf>
      <fill>
        <patternFill>
          <bgColor rgb="FFFF9966"/>
        </patternFill>
      </fill>
    </dxf>
    <dxf>
      <fill>
        <patternFill>
          <bgColor rgb="FFFF9966"/>
        </patternFill>
      </fill>
    </dxf>
    <dxf>
      <fill>
        <patternFill>
          <bgColor rgb="FFFF9966"/>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9966"/>
        </patternFill>
      </fill>
    </dxf>
    <dxf>
      <fill>
        <patternFill>
          <bgColor rgb="FFFF9966"/>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9966"/>
        </patternFill>
      </fill>
    </dxf>
    <dxf>
      <fill>
        <patternFill>
          <bgColor rgb="FFFF9966"/>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9966"/>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9966"/>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9966"/>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ont>
        <color rgb="FF9C0006"/>
      </font>
      <fill>
        <patternFill>
          <bgColor rgb="FFFFC7CE"/>
        </patternFill>
      </fill>
    </dxf>
    <dxf>
      <font>
        <color rgb="FF9C0006"/>
      </font>
      <fill>
        <patternFill>
          <bgColor rgb="FFFFC7CE"/>
        </patternFill>
      </fill>
    </dxf>
    <dxf>
      <fill>
        <patternFill>
          <bgColor rgb="FFFF66CC"/>
        </patternFill>
      </fill>
    </dxf>
    <dxf>
      <fill>
        <patternFill>
          <bgColor rgb="FFFFC000"/>
        </patternFill>
      </fill>
    </dxf>
    <dxf>
      <fill>
        <patternFill>
          <bgColor rgb="FFFF0000"/>
        </patternFill>
      </fill>
    </dxf>
    <dxf>
      <fill>
        <patternFill>
          <bgColor rgb="FF00B0F0"/>
        </patternFill>
      </fill>
    </dxf>
    <dxf>
      <fill>
        <patternFill>
          <bgColor rgb="FFFFFF00"/>
        </patternFill>
      </fill>
    </dxf>
    <dxf>
      <fill>
        <patternFill>
          <bgColor rgb="FF0070C0"/>
        </patternFill>
      </fill>
    </dxf>
    <dxf>
      <fill>
        <patternFill>
          <bgColor theme="9" tint="0.39994506668294322"/>
        </patternFill>
      </fill>
    </dxf>
    <dxf>
      <fill>
        <patternFill>
          <bgColor theme="3" tint="0.59996337778862885"/>
        </patternFill>
      </fill>
    </dxf>
    <dxf>
      <fill>
        <patternFill>
          <bgColor theme="7" tint="0.79998168889431442"/>
        </patternFill>
      </fill>
    </dxf>
    <dxf>
      <font>
        <color theme="0"/>
      </font>
      <fill>
        <patternFill>
          <bgColor theme="1"/>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66CC"/>
        </patternFill>
      </fill>
    </dxf>
    <dxf>
      <fill>
        <patternFill>
          <bgColor rgb="FFFFC000"/>
        </patternFill>
      </fill>
    </dxf>
    <dxf>
      <fill>
        <patternFill>
          <bgColor rgb="FFFF0000"/>
        </patternFill>
      </fill>
    </dxf>
    <dxf>
      <fill>
        <patternFill>
          <bgColor rgb="FF00B0F0"/>
        </patternFill>
      </fill>
    </dxf>
    <dxf>
      <fill>
        <patternFill>
          <bgColor rgb="FFFFFF00"/>
        </patternFill>
      </fill>
    </dxf>
    <dxf>
      <fill>
        <patternFill>
          <bgColor rgb="FF0070C0"/>
        </patternFill>
      </fill>
    </dxf>
    <dxf>
      <fill>
        <patternFill>
          <bgColor theme="9" tint="0.39994506668294322"/>
        </patternFill>
      </fill>
    </dxf>
    <dxf>
      <fill>
        <patternFill>
          <bgColor theme="3" tint="0.59996337778862885"/>
        </patternFill>
      </fill>
    </dxf>
    <dxf>
      <fill>
        <patternFill>
          <bgColor theme="7" tint="0.79998168889431442"/>
        </patternFill>
      </fill>
    </dxf>
    <dxf>
      <font>
        <color theme="0"/>
      </font>
      <fill>
        <patternFill>
          <bgColor theme="1"/>
        </patternFill>
      </fill>
    </dxf>
    <dxf>
      <fill>
        <patternFill>
          <bgColor rgb="FFFF7D7D"/>
        </patternFill>
      </fill>
    </dxf>
    <dxf>
      <fill>
        <patternFill>
          <bgColor rgb="FF97FFBA"/>
        </patternFill>
      </fill>
    </dxf>
    <dxf>
      <fill>
        <patternFill>
          <bgColor rgb="FFFF66CC"/>
        </patternFill>
      </fill>
    </dxf>
    <dxf>
      <fill>
        <patternFill>
          <bgColor rgb="FFFFC000"/>
        </patternFill>
      </fill>
    </dxf>
    <dxf>
      <fill>
        <patternFill>
          <bgColor rgb="FFFF0000"/>
        </patternFill>
      </fill>
    </dxf>
    <dxf>
      <fill>
        <patternFill>
          <bgColor rgb="FF00B0F0"/>
        </patternFill>
      </fill>
    </dxf>
    <dxf>
      <fill>
        <patternFill>
          <bgColor rgb="FFFFFF00"/>
        </patternFill>
      </fill>
    </dxf>
    <dxf>
      <fill>
        <patternFill>
          <bgColor rgb="FF0070C0"/>
        </patternFill>
      </fill>
    </dxf>
    <dxf>
      <fill>
        <patternFill>
          <bgColor theme="9" tint="0.39994506668294322"/>
        </patternFill>
      </fill>
    </dxf>
    <dxf>
      <fill>
        <patternFill>
          <bgColor theme="3" tint="0.59996337778862885"/>
        </patternFill>
      </fill>
    </dxf>
    <dxf>
      <fill>
        <patternFill>
          <bgColor theme="7" tint="0.79998168889431442"/>
        </patternFill>
      </fill>
    </dxf>
    <dxf>
      <font>
        <color theme="0"/>
      </font>
      <fill>
        <patternFill>
          <bgColor theme="1"/>
        </patternFill>
      </fill>
    </dxf>
    <dxf>
      <fill>
        <patternFill>
          <bgColor rgb="FFFF66CC"/>
        </patternFill>
      </fill>
    </dxf>
    <dxf>
      <fill>
        <patternFill>
          <bgColor rgb="FFFFC000"/>
        </patternFill>
      </fill>
    </dxf>
    <dxf>
      <fill>
        <patternFill>
          <bgColor rgb="FFFF0000"/>
        </patternFill>
      </fill>
    </dxf>
    <dxf>
      <fill>
        <patternFill>
          <bgColor rgb="FF00B0F0"/>
        </patternFill>
      </fill>
    </dxf>
    <dxf>
      <fill>
        <patternFill>
          <bgColor rgb="FFFFFF00"/>
        </patternFill>
      </fill>
    </dxf>
    <dxf>
      <fill>
        <patternFill>
          <bgColor rgb="FF0070C0"/>
        </patternFill>
      </fill>
    </dxf>
    <dxf>
      <fill>
        <patternFill>
          <bgColor theme="9" tint="0.39994506668294322"/>
        </patternFill>
      </fill>
    </dxf>
    <dxf>
      <fill>
        <patternFill>
          <bgColor theme="3" tint="0.59996337778862885"/>
        </patternFill>
      </fill>
    </dxf>
    <dxf>
      <fill>
        <patternFill>
          <bgColor theme="7" tint="0.79998168889431442"/>
        </patternFill>
      </fill>
    </dxf>
    <dxf>
      <font>
        <color theme="0"/>
      </font>
      <fill>
        <patternFill>
          <bgColor theme="1"/>
        </patternFill>
      </fill>
    </dxf>
    <dxf>
      <fill>
        <patternFill>
          <bgColor rgb="FFFF66CC"/>
        </patternFill>
      </fill>
    </dxf>
    <dxf>
      <fill>
        <patternFill>
          <bgColor rgb="FFFFC000"/>
        </patternFill>
      </fill>
    </dxf>
    <dxf>
      <fill>
        <patternFill>
          <bgColor rgb="FFFF0000"/>
        </patternFill>
      </fill>
    </dxf>
    <dxf>
      <fill>
        <patternFill>
          <bgColor rgb="FF00B0F0"/>
        </patternFill>
      </fill>
    </dxf>
    <dxf>
      <fill>
        <patternFill>
          <bgColor rgb="FFFFFF00"/>
        </patternFill>
      </fill>
    </dxf>
    <dxf>
      <fill>
        <patternFill>
          <bgColor rgb="FF0070C0"/>
        </patternFill>
      </fill>
    </dxf>
    <dxf>
      <fill>
        <patternFill>
          <bgColor theme="9" tint="0.39994506668294322"/>
        </patternFill>
      </fill>
    </dxf>
    <dxf>
      <fill>
        <patternFill>
          <bgColor theme="3" tint="0.59996337778862885"/>
        </patternFill>
      </fill>
    </dxf>
    <dxf>
      <fill>
        <patternFill>
          <bgColor theme="7" tint="0.79998168889431442"/>
        </patternFill>
      </fill>
    </dxf>
    <dxf>
      <font>
        <color theme="0"/>
      </font>
      <fill>
        <patternFill>
          <bgColor theme="1"/>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66CC"/>
        </patternFill>
      </fill>
    </dxf>
    <dxf>
      <fill>
        <patternFill>
          <bgColor rgb="FFFFC000"/>
        </patternFill>
      </fill>
    </dxf>
    <dxf>
      <fill>
        <patternFill>
          <bgColor rgb="FFFF0000"/>
        </patternFill>
      </fill>
    </dxf>
    <dxf>
      <fill>
        <patternFill>
          <bgColor rgb="FF00B0F0"/>
        </patternFill>
      </fill>
    </dxf>
    <dxf>
      <fill>
        <patternFill>
          <bgColor rgb="FFFFFF00"/>
        </patternFill>
      </fill>
    </dxf>
    <dxf>
      <fill>
        <patternFill>
          <bgColor rgb="FF0070C0"/>
        </patternFill>
      </fill>
    </dxf>
    <dxf>
      <fill>
        <patternFill>
          <bgColor theme="9" tint="0.39994506668294322"/>
        </patternFill>
      </fill>
    </dxf>
    <dxf>
      <fill>
        <patternFill>
          <bgColor theme="3" tint="0.59996337778862885"/>
        </patternFill>
      </fill>
    </dxf>
    <dxf>
      <fill>
        <patternFill>
          <bgColor theme="7" tint="0.79998168889431442"/>
        </patternFill>
      </fill>
    </dxf>
    <dxf>
      <font>
        <color theme="0"/>
      </font>
      <fill>
        <patternFill>
          <bgColor theme="1"/>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66CC"/>
        </patternFill>
      </fill>
    </dxf>
    <dxf>
      <fill>
        <patternFill>
          <bgColor rgb="FFFFC000"/>
        </patternFill>
      </fill>
    </dxf>
    <dxf>
      <fill>
        <patternFill>
          <bgColor rgb="FFFF0000"/>
        </patternFill>
      </fill>
    </dxf>
    <dxf>
      <fill>
        <patternFill>
          <bgColor rgb="FF00B0F0"/>
        </patternFill>
      </fill>
    </dxf>
    <dxf>
      <fill>
        <patternFill>
          <bgColor rgb="FFFFFF00"/>
        </patternFill>
      </fill>
    </dxf>
    <dxf>
      <fill>
        <patternFill>
          <bgColor rgb="FF0070C0"/>
        </patternFill>
      </fill>
    </dxf>
    <dxf>
      <fill>
        <patternFill>
          <bgColor theme="9" tint="0.39994506668294322"/>
        </patternFill>
      </fill>
    </dxf>
    <dxf>
      <fill>
        <patternFill>
          <bgColor theme="3" tint="0.59996337778862885"/>
        </patternFill>
      </fill>
    </dxf>
    <dxf>
      <fill>
        <patternFill>
          <bgColor theme="7" tint="0.79998168889431442"/>
        </patternFill>
      </fill>
    </dxf>
    <dxf>
      <font>
        <color theme="0"/>
      </font>
      <fill>
        <patternFill>
          <bgColor theme="1"/>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66CC"/>
        </patternFill>
      </fill>
    </dxf>
    <dxf>
      <fill>
        <patternFill>
          <bgColor rgb="FFFFC000"/>
        </patternFill>
      </fill>
    </dxf>
    <dxf>
      <fill>
        <patternFill>
          <bgColor rgb="FFFF0000"/>
        </patternFill>
      </fill>
    </dxf>
    <dxf>
      <fill>
        <patternFill>
          <bgColor rgb="FF00B0F0"/>
        </patternFill>
      </fill>
    </dxf>
    <dxf>
      <fill>
        <patternFill>
          <bgColor rgb="FFFFFF00"/>
        </patternFill>
      </fill>
    </dxf>
    <dxf>
      <fill>
        <patternFill>
          <bgColor rgb="FF0070C0"/>
        </patternFill>
      </fill>
    </dxf>
    <dxf>
      <fill>
        <patternFill>
          <bgColor theme="9" tint="0.39994506668294322"/>
        </patternFill>
      </fill>
    </dxf>
    <dxf>
      <fill>
        <patternFill>
          <bgColor theme="3" tint="0.59996337778862885"/>
        </patternFill>
      </fill>
    </dxf>
    <dxf>
      <fill>
        <patternFill>
          <bgColor theme="7" tint="0.79998168889431442"/>
        </patternFill>
      </fill>
    </dxf>
    <dxf>
      <font>
        <color theme="0"/>
      </font>
      <fill>
        <patternFill>
          <bgColor theme="1"/>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66CC"/>
        </patternFill>
      </fill>
    </dxf>
    <dxf>
      <fill>
        <patternFill>
          <bgColor rgb="FFFFC000"/>
        </patternFill>
      </fill>
    </dxf>
    <dxf>
      <fill>
        <patternFill>
          <bgColor rgb="FFFF0000"/>
        </patternFill>
      </fill>
    </dxf>
    <dxf>
      <fill>
        <patternFill>
          <bgColor rgb="FF00B0F0"/>
        </patternFill>
      </fill>
    </dxf>
    <dxf>
      <fill>
        <patternFill>
          <bgColor rgb="FFFFFF00"/>
        </patternFill>
      </fill>
    </dxf>
    <dxf>
      <fill>
        <patternFill>
          <bgColor rgb="FF0070C0"/>
        </patternFill>
      </fill>
    </dxf>
    <dxf>
      <fill>
        <patternFill>
          <bgColor theme="9" tint="0.39994506668294322"/>
        </patternFill>
      </fill>
    </dxf>
    <dxf>
      <fill>
        <patternFill>
          <bgColor theme="3" tint="0.59996337778862885"/>
        </patternFill>
      </fill>
    </dxf>
    <dxf>
      <fill>
        <patternFill>
          <bgColor theme="7" tint="0.79998168889431442"/>
        </patternFill>
      </fill>
    </dxf>
    <dxf>
      <font>
        <color theme="0"/>
      </font>
      <fill>
        <patternFill>
          <bgColor theme="1"/>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66CC"/>
        </patternFill>
      </fill>
    </dxf>
    <dxf>
      <fill>
        <patternFill>
          <bgColor rgb="FFFFC000"/>
        </patternFill>
      </fill>
    </dxf>
    <dxf>
      <fill>
        <patternFill>
          <bgColor rgb="FFFF0000"/>
        </patternFill>
      </fill>
    </dxf>
    <dxf>
      <fill>
        <patternFill>
          <bgColor rgb="FF00B0F0"/>
        </patternFill>
      </fill>
    </dxf>
    <dxf>
      <fill>
        <patternFill>
          <bgColor rgb="FFFFFF00"/>
        </patternFill>
      </fill>
    </dxf>
    <dxf>
      <fill>
        <patternFill>
          <bgColor rgb="FF0070C0"/>
        </patternFill>
      </fill>
    </dxf>
    <dxf>
      <fill>
        <patternFill>
          <bgColor theme="9" tint="0.39994506668294322"/>
        </patternFill>
      </fill>
    </dxf>
    <dxf>
      <fill>
        <patternFill>
          <bgColor theme="3" tint="0.59996337778862885"/>
        </patternFill>
      </fill>
    </dxf>
    <dxf>
      <fill>
        <patternFill>
          <bgColor theme="7" tint="0.79998168889431442"/>
        </patternFill>
      </fill>
    </dxf>
    <dxf>
      <font>
        <color theme="0"/>
      </font>
      <fill>
        <patternFill>
          <bgColor theme="1"/>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66CC"/>
        </patternFill>
      </fill>
    </dxf>
    <dxf>
      <fill>
        <patternFill>
          <bgColor rgb="FFFFC000"/>
        </patternFill>
      </fill>
    </dxf>
    <dxf>
      <fill>
        <patternFill>
          <bgColor rgb="FFFF0000"/>
        </patternFill>
      </fill>
    </dxf>
    <dxf>
      <fill>
        <patternFill>
          <bgColor rgb="FF00B0F0"/>
        </patternFill>
      </fill>
    </dxf>
    <dxf>
      <fill>
        <patternFill>
          <bgColor rgb="FFFFFF00"/>
        </patternFill>
      </fill>
    </dxf>
    <dxf>
      <fill>
        <patternFill>
          <bgColor rgb="FF0070C0"/>
        </patternFill>
      </fill>
    </dxf>
    <dxf>
      <fill>
        <patternFill>
          <bgColor theme="9" tint="0.39994506668294322"/>
        </patternFill>
      </fill>
    </dxf>
    <dxf>
      <fill>
        <patternFill>
          <bgColor theme="3" tint="0.59996337778862885"/>
        </patternFill>
      </fill>
    </dxf>
    <dxf>
      <fill>
        <patternFill>
          <bgColor theme="7" tint="0.79998168889431442"/>
        </patternFill>
      </fill>
    </dxf>
    <dxf>
      <font>
        <color theme="0"/>
      </font>
      <fill>
        <patternFill>
          <bgColor theme="1"/>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66CC"/>
        </patternFill>
      </fill>
    </dxf>
    <dxf>
      <fill>
        <patternFill>
          <bgColor rgb="FFFFC000"/>
        </patternFill>
      </fill>
    </dxf>
    <dxf>
      <fill>
        <patternFill>
          <bgColor rgb="FFFF0000"/>
        </patternFill>
      </fill>
    </dxf>
    <dxf>
      <fill>
        <patternFill>
          <bgColor rgb="FF00B0F0"/>
        </patternFill>
      </fill>
    </dxf>
    <dxf>
      <fill>
        <patternFill>
          <bgColor rgb="FFFFFF00"/>
        </patternFill>
      </fill>
    </dxf>
    <dxf>
      <fill>
        <patternFill>
          <bgColor rgb="FF0070C0"/>
        </patternFill>
      </fill>
    </dxf>
    <dxf>
      <fill>
        <patternFill>
          <bgColor theme="9" tint="0.39994506668294322"/>
        </patternFill>
      </fill>
    </dxf>
    <dxf>
      <fill>
        <patternFill>
          <bgColor theme="3" tint="0.59996337778862885"/>
        </patternFill>
      </fill>
    </dxf>
    <dxf>
      <fill>
        <patternFill>
          <bgColor theme="7" tint="0.79998168889431442"/>
        </patternFill>
      </fill>
    </dxf>
    <dxf>
      <font>
        <color theme="0"/>
      </font>
      <fill>
        <patternFill>
          <bgColor theme="1"/>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66CC"/>
        </patternFill>
      </fill>
    </dxf>
    <dxf>
      <fill>
        <patternFill>
          <bgColor rgb="FFFFC000"/>
        </patternFill>
      </fill>
    </dxf>
    <dxf>
      <fill>
        <patternFill>
          <bgColor rgb="FFFF0000"/>
        </patternFill>
      </fill>
    </dxf>
    <dxf>
      <fill>
        <patternFill>
          <bgColor rgb="FF00B0F0"/>
        </patternFill>
      </fill>
    </dxf>
    <dxf>
      <fill>
        <patternFill>
          <bgColor rgb="FFFFFF00"/>
        </patternFill>
      </fill>
    </dxf>
    <dxf>
      <fill>
        <patternFill>
          <bgColor rgb="FF0070C0"/>
        </patternFill>
      </fill>
    </dxf>
    <dxf>
      <fill>
        <patternFill>
          <bgColor theme="9" tint="0.39994506668294322"/>
        </patternFill>
      </fill>
    </dxf>
    <dxf>
      <fill>
        <patternFill>
          <bgColor theme="3" tint="0.59996337778862885"/>
        </patternFill>
      </fill>
    </dxf>
    <dxf>
      <fill>
        <patternFill>
          <bgColor theme="7" tint="0.79998168889431442"/>
        </patternFill>
      </fill>
    </dxf>
    <dxf>
      <font>
        <color theme="0"/>
      </font>
      <fill>
        <patternFill>
          <bgColor theme="1"/>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66CC"/>
        </patternFill>
      </fill>
    </dxf>
    <dxf>
      <fill>
        <patternFill>
          <bgColor rgb="FFFFC000"/>
        </patternFill>
      </fill>
    </dxf>
    <dxf>
      <fill>
        <patternFill>
          <bgColor rgb="FFFF0000"/>
        </patternFill>
      </fill>
    </dxf>
    <dxf>
      <fill>
        <patternFill>
          <bgColor rgb="FF00B0F0"/>
        </patternFill>
      </fill>
    </dxf>
    <dxf>
      <fill>
        <patternFill>
          <bgColor rgb="FFFFFF00"/>
        </patternFill>
      </fill>
    </dxf>
    <dxf>
      <fill>
        <patternFill>
          <bgColor rgb="FF0070C0"/>
        </patternFill>
      </fill>
    </dxf>
    <dxf>
      <fill>
        <patternFill>
          <bgColor theme="9" tint="0.39994506668294322"/>
        </patternFill>
      </fill>
    </dxf>
    <dxf>
      <fill>
        <patternFill>
          <bgColor theme="3" tint="0.59996337778862885"/>
        </patternFill>
      </fill>
    </dxf>
    <dxf>
      <fill>
        <patternFill>
          <bgColor theme="7" tint="0.79998168889431442"/>
        </patternFill>
      </fill>
    </dxf>
    <dxf>
      <font>
        <color theme="0"/>
      </font>
      <fill>
        <patternFill>
          <bgColor theme="1"/>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66CC"/>
        </patternFill>
      </fill>
    </dxf>
    <dxf>
      <fill>
        <patternFill>
          <bgColor rgb="FFFFC000"/>
        </patternFill>
      </fill>
    </dxf>
    <dxf>
      <fill>
        <patternFill>
          <bgColor rgb="FFFF0000"/>
        </patternFill>
      </fill>
    </dxf>
    <dxf>
      <fill>
        <patternFill>
          <bgColor rgb="FF00B0F0"/>
        </patternFill>
      </fill>
    </dxf>
    <dxf>
      <fill>
        <patternFill>
          <bgColor rgb="FFFFFF00"/>
        </patternFill>
      </fill>
    </dxf>
    <dxf>
      <fill>
        <patternFill>
          <bgColor rgb="FF0070C0"/>
        </patternFill>
      </fill>
    </dxf>
    <dxf>
      <fill>
        <patternFill>
          <bgColor theme="9" tint="0.39994506668294322"/>
        </patternFill>
      </fill>
    </dxf>
    <dxf>
      <fill>
        <patternFill>
          <bgColor theme="3" tint="0.59996337778862885"/>
        </patternFill>
      </fill>
    </dxf>
    <dxf>
      <fill>
        <patternFill>
          <bgColor theme="7" tint="0.79998168889431442"/>
        </patternFill>
      </fill>
    </dxf>
    <dxf>
      <font>
        <color theme="0"/>
      </font>
      <fill>
        <patternFill>
          <bgColor theme="1"/>
        </patternFill>
      </fill>
    </dxf>
    <dxf>
      <fill>
        <patternFill>
          <bgColor rgb="FFFF66CC"/>
        </patternFill>
      </fill>
    </dxf>
    <dxf>
      <fill>
        <patternFill>
          <bgColor rgb="FFFFC000"/>
        </patternFill>
      </fill>
    </dxf>
    <dxf>
      <fill>
        <patternFill>
          <bgColor rgb="FFFF0000"/>
        </patternFill>
      </fill>
    </dxf>
    <dxf>
      <fill>
        <patternFill>
          <bgColor rgb="FF00B0F0"/>
        </patternFill>
      </fill>
    </dxf>
    <dxf>
      <fill>
        <patternFill>
          <bgColor rgb="FFFFFF00"/>
        </patternFill>
      </fill>
    </dxf>
    <dxf>
      <fill>
        <patternFill>
          <bgColor rgb="FF0070C0"/>
        </patternFill>
      </fill>
    </dxf>
    <dxf>
      <fill>
        <patternFill>
          <bgColor theme="9" tint="0.39994506668294322"/>
        </patternFill>
      </fill>
    </dxf>
    <dxf>
      <fill>
        <patternFill>
          <bgColor theme="3" tint="0.59996337778862885"/>
        </patternFill>
      </fill>
    </dxf>
    <dxf>
      <fill>
        <patternFill>
          <bgColor theme="7" tint="0.79998168889431442"/>
        </patternFill>
      </fill>
    </dxf>
    <dxf>
      <font>
        <color theme="0"/>
      </font>
      <fill>
        <patternFill>
          <bgColor theme="1"/>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66CC"/>
        </patternFill>
      </fill>
    </dxf>
    <dxf>
      <fill>
        <patternFill>
          <bgColor rgb="FFFFC000"/>
        </patternFill>
      </fill>
    </dxf>
    <dxf>
      <fill>
        <patternFill>
          <bgColor rgb="FFFF0000"/>
        </patternFill>
      </fill>
    </dxf>
    <dxf>
      <fill>
        <patternFill>
          <bgColor rgb="FF00B0F0"/>
        </patternFill>
      </fill>
    </dxf>
    <dxf>
      <fill>
        <patternFill>
          <bgColor rgb="FFFFFF00"/>
        </patternFill>
      </fill>
    </dxf>
    <dxf>
      <fill>
        <patternFill>
          <bgColor rgb="FF0070C0"/>
        </patternFill>
      </fill>
    </dxf>
    <dxf>
      <fill>
        <patternFill>
          <bgColor theme="9" tint="0.39994506668294322"/>
        </patternFill>
      </fill>
    </dxf>
    <dxf>
      <fill>
        <patternFill>
          <bgColor theme="3" tint="0.59996337778862885"/>
        </patternFill>
      </fill>
    </dxf>
    <dxf>
      <fill>
        <patternFill>
          <bgColor theme="7" tint="0.79998168889431442"/>
        </patternFill>
      </fill>
    </dxf>
    <dxf>
      <font>
        <color theme="0"/>
      </font>
      <fill>
        <patternFill>
          <bgColor theme="1"/>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66CC"/>
        </patternFill>
      </fill>
    </dxf>
    <dxf>
      <fill>
        <patternFill>
          <bgColor rgb="FFFFC000"/>
        </patternFill>
      </fill>
    </dxf>
    <dxf>
      <fill>
        <patternFill>
          <bgColor rgb="FFFF0000"/>
        </patternFill>
      </fill>
    </dxf>
    <dxf>
      <fill>
        <patternFill>
          <bgColor rgb="FF00B0F0"/>
        </patternFill>
      </fill>
    </dxf>
    <dxf>
      <fill>
        <patternFill>
          <bgColor rgb="FFFFFF00"/>
        </patternFill>
      </fill>
    </dxf>
    <dxf>
      <fill>
        <patternFill>
          <bgColor rgb="FF0070C0"/>
        </patternFill>
      </fill>
    </dxf>
    <dxf>
      <fill>
        <patternFill>
          <bgColor theme="9" tint="0.39994506668294322"/>
        </patternFill>
      </fill>
    </dxf>
    <dxf>
      <fill>
        <patternFill>
          <bgColor theme="3" tint="0.59996337778862885"/>
        </patternFill>
      </fill>
    </dxf>
    <dxf>
      <fill>
        <patternFill>
          <bgColor theme="7" tint="0.79998168889431442"/>
        </patternFill>
      </fill>
    </dxf>
    <dxf>
      <font>
        <color theme="0"/>
      </font>
      <fill>
        <patternFill>
          <bgColor theme="1"/>
        </patternFill>
      </fill>
    </dxf>
    <dxf>
      <fill>
        <patternFill>
          <bgColor rgb="FFFF66CC"/>
        </patternFill>
      </fill>
    </dxf>
    <dxf>
      <fill>
        <patternFill>
          <bgColor rgb="FFFFC000"/>
        </patternFill>
      </fill>
    </dxf>
    <dxf>
      <fill>
        <patternFill>
          <bgColor rgb="FFFF0000"/>
        </patternFill>
      </fill>
    </dxf>
    <dxf>
      <fill>
        <patternFill>
          <bgColor rgb="FF00B0F0"/>
        </patternFill>
      </fill>
    </dxf>
    <dxf>
      <fill>
        <patternFill>
          <bgColor rgb="FFFFFF00"/>
        </patternFill>
      </fill>
    </dxf>
    <dxf>
      <fill>
        <patternFill>
          <bgColor rgb="FF0070C0"/>
        </patternFill>
      </fill>
    </dxf>
    <dxf>
      <fill>
        <patternFill>
          <bgColor theme="9" tint="0.39994506668294322"/>
        </patternFill>
      </fill>
    </dxf>
    <dxf>
      <fill>
        <patternFill>
          <bgColor theme="3" tint="0.59996337778862885"/>
        </patternFill>
      </fill>
    </dxf>
    <dxf>
      <fill>
        <patternFill>
          <bgColor theme="7" tint="0.79998168889431442"/>
        </patternFill>
      </fill>
    </dxf>
    <dxf>
      <font>
        <color theme="0"/>
      </font>
      <fill>
        <patternFill>
          <bgColor theme="1"/>
        </patternFill>
      </fill>
    </dxf>
    <dxf>
      <fill>
        <patternFill>
          <bgColor rgb="FFFF66CC"/>
        </patternFill>
      </fill>
    </dxf>
    <dxf>
      <fill>
        <patternFill>
          <bgColor rgb="FFFFC000"/>
        </patternFill>
      </fill>
    </dxf>
    <dxf>
      <fill>
        <patternFill>
          <bgColor rgb="FFFF0000"/>
        </patternFill>
      </fill>
    </dxf>
    <dxf>
      <fill>
        <patternFill>
          <bgColor rgb="FF00B0F0"/>
        </patternFill>
      </fill>
    </dxf>
    <dxf>
      <fill>
        <patternFill>
          <bgColor rgb="FFFFFF00"/>
        </patternFill>
      </fill>
    </dxf>
    <dxf>
      <fill>
        <patternFill>
          <bgColor rgb="FF0070C0"/>
        </patternFill>
      </fill>
    </dxf>
    <dxf>
      <fill>
        <patternFill>
          <bgColor theme="9" tint="0.39994506668294322"/>
        </patternFill>
      </fill>
    </dxf>
    <dxf>
      <fill>
        <patternFill>
          <bgColor theme="3" tint="0.59996337778862885"/>
        </patternFill>
      </fill>
    </dxf>
    <dxf>
      <fill>
        <patternFill>
          <bgColor theme="7" tint="0.79998168889431442"/>
        </patternFill>
      </fill>
    </dxf>
    <dxf>
      <font>
        <color theme="0"/>
      </font>
      <fill>
        <patternFill>
          <bgColor theme="1"/>
        </patternFill>
      </fill>
    </dxf>
    <dxf>
      <fill>
        <patternFill>
          <bgColor rgb="FFFF66CC"/>
        </patternFill>
      </fill>
    </dxf>
    <dxf>
      <fill>
        <patternFill>
          <bgColor rgb="FFFFC000"/>
        </patternFill>
      </fill>
    </dxf>
    <dxf>
      <fill>
        <patternFill>
          <bgColor rgb="FFFF0000"/>
        </patternFill>
      </fill>
    </dxf>
    <dxf>
      <fill>
        <patternFill>
          <bgColor rgb="FF00B0F0"/>
        </patternFill>
      </fill>
    </dxf>
    <dxf>
      <fill>
        <patternFill>
          <bgColor rgb="FFFFFF00"/>
        </patternFill>
      </fill>
    </dxf>
    <dxf>
      <fill>
        <patternFill>
          <bgColor rgb="FF0070C0"/>
        </patternFill>
      </fill>
    </dxf>
    <dxf>
      <fill>
        <patternFill>
          <bgColor theme="9" tint="0.39994506668294322"/>
        </patternFill>
      </fill>
    </dxf>
    <dxf>
      <fill>
        <patternFill>
          <bgColor theme="3" tint="0.59996337778862885"/>
        </patternFill>
      </fill>
    </dxf>
    <dxf>
      <fill>
        <patternFill>
          <bgColor theme="7" tint="0.79998168889431442"/>
        </patternFill>
      </fill>
    </dxf>
    <dxf>
      <font>
        <color theme="0"/>
      </font>
      <fill>
        <patternFill>
          <bgColor theme="1"/>
        </patternFill>
      </fill>
    </dxf>
    <dxf>
      <fill>
        <patternFill>
          <bgColor rgb="FFFF66CC"/>
        </patternFill>
      </fill>
    </dxf>
    <dxf>
      <fill>
        <patternFill>
          <bgColor rgb="FFFFC000"/>
        </patternFill>
      </fill>
    </dxf>
    <dxf>
      <fill>
        <patternFill>
          <bgColor rgb="FFFF0000"/>
        </patternFill>
      </fill>
    </dxf>
    <dxf>
      <fill>
        <patternFill>
          <bgColor rgb="FF00B0F0"/>
        </patternFill>
      </fill>
    </dxf>
    <dxf>
      <fill>
        <patternFill>
          <bgColor rgb="FFFFFF00"/>
        </patternFill>
      </fill>
    </dxf>
    <dxf>
      <fill>
        <patternFill>
          <bgColor rgb="FF0070C0"/>
        </patternFill>
      </fill>
    </dxf>
    <dxf>
      <fill>
        <patternFill>
          <bgColor theme="9" tint="0.39994506668294322"/>
        </patternFill>
      </fill>
    </dxf>
    <dxf>
      <fill>
        <patternFill>
          <bgColor theme="3" tint="0.59996337778862885"/>
        </patternFill>
      </fill>
    </dxf>
    <dxf>
      <fill>
        <patternFill>
          <bgColor theme="7" tint="0.79998168889431442"/>
        </patternFill>
      </fill>
    </dxf>
    <dxf>
      <font>
        <color theme="0"/>
      </font>
      <fill>
        <patternFill>
          <bgColor theme="1"/>
        </patternFill>
      </fill>
    </dxf>
    <dxf>
      <fill>
        <patternFill>
          <bgColor rgb="FFFF66CC"/>
        </patternFill>
      </fill>
    </dxf>
    <dxf>
      <fill>
        <patternFill>
          <bgColor rgb="FFFFC000"/>
        </patternFill>
      </fill>
    </dxf>
    <dxf>
      <fill>
        <patternFill>
          <bgColor rgb="FFFF0000"/>
        </patternFill>
      </fill>
    </dxf>
    <dxf>
      <fill>
        <patternFill>
          <bgColor rgb="FF00B0F0"/>
        </patternFill>
      </fill>
    </dxf>
    <dxf>
      <fill>
        <patternFill>
          <bgColor rgb="FFFFFF00"/>
        </patternFill>
      </fill>
    </dxf>
    <dxf>
      <fill>
        <patternFill>
          <bgColor rgb="FF0070C0"/>
        </patternFill>
      </fill>
    </dxf>
    <dxf>
      <fill>
        <patternFill>
          <bgColor theme="9" tint="0.39994506668294322"/>
        </patternFill>
      </fill>
    </dxf>
    <dxf>
      <fill>
        <patternFill>
          <bgColor theme="3" tint="0.59996337778862885"/>
        </patternFill>
      </fill>
    </dxf>
    <dxf>
      <fill>
        <patternFill>
          <bgColor theme="7" tint="0.79998168889431442"/>
        </patternFill>
      </fill>
    </dxf>
    <dxf>
      <font>
        <color theme="0"/>
      </font>
      <fill>
        <patternFill>
          <bgColor theme="1"/>
        </patternFill>
      </fill>
    </dxf>
    <dxf>
      <fill>
        <patternFill>
          <bgColor rgb="FFFF66CC"/>
        </patternFill>
      </fill>
    </dxf>
    <dxf>
      <fill>
        <patternFill>
          <bgColor rgb="FFFFC000"/>
        </patternFill>
      </fill>
    </dxf>
    <dxf>
      <fill>
        <patternFill>
          <bgColor rgb="FFFF0000"/>
        </patternFill>
      </fill>
    </dxf>
    <dxf>
      <fill>
        <patternFill>
          <bgColor rgb="FF00B0F0"/>
        </patternFill>
      </fill>
    </dxf>
    <dxf>
      <fill>
        <patternFill>
          <bgColor rgb="FFFFFF00"/>
        </patternFill>
      </fill>
    </dxf>
    <dxf>
      <fill>
        <patternFill>
          <bgColor rgb="FF0070C0"/>
        </patternFill>
      </fill>
    </dxf>
    <dxf>
      <fill>
        <patternFill>
          <bgColor theme="9" tint="0.39994506668294322"/>
        </patternFill>
      </fill>
    </dxf>
    <dxf>
      <fill>
        <patternFill>
          <bgColor theme="3" tint="0.59996337778862885"/>
        </patternFill>
      </fill>
    </dxf>
    <dxf>
      <fill>
        <patternFill>
          <bgColor theme="7" tint="0.79998168889431442"/>
        </patternFill>
      </fill>
    </dxf>
    <dxf>
      <font>
        <color theme="0"/>
      </font>
      <fill>
        <patternFill>
          <bgColor theme="1"/>
        </patternFill>
      </fill>
    </dxf>
    <dxf>
      <fill>
        <patternFill>
          <bgColor rgb="FFFF0000"/>
        </patternFill>
      </fill>
    </dxf>
    <dxf>
      <fill>
        <patternFill>
          <bgColor rgb="FF00B050"/>
        </patternFill>
      </fill>
    </dxf>
    <dxf>
      <fill>
        <patternFill>
          <bgColor rgb="FFFF9966"/>
        </patternFill>
      </fill>
    </dxf>
    <dxf>
      <fill>
        <patternFill>
          <bgColor theme="8" tint="0.59996337778862885"/>
        </patternFill>
      </fill>
    </dxf>
    <dxf>
      <fill>
        <patternFill>
          <bgColor theme="8" tint="0.59996337778862885"/>
        </patternFill>
      </fill>
    </dxf>
    <dxf>
      <fill>
        <patternFill>
          <bgColor theme="9" tint="0.39994506668294322"/>
        </patternFill>
      </fill>
    </dxf>
    <dxf>
      <fill>
        <patternFill>
          <bgColor rgb="FF00B050"/>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66CC"/>
        </patternFill>
      </fill>
    </dxf>
    <dxf>
      <fill>
        <patternFill>
          <bgColor rgb="FFFFC000"/>
        </patternFill>
      </fill>
    </dxf>
    <dxf>
      <fill>
        <patternFill>
          <bgColor rgb="FFFF0000"/>
        </patternFill>
      </fill>
    </dxf>
    <dxf>
      <fill>
        <patternFill>
          <bgColor rgb="FF00B0F0"/>
        </patternFill>
      </fill>
    </dxf>
    <dxf>
      <fill>
        <patternFill>
          <bgColor rgb="FFFFFF00"/>
        </patternFill>
      </fill>
    </dxf>
    <dxf>
      <fill>
        <patternFill>
          <bgColor rgb="FF0070C0"/>
        </patternFill>
      </fill>
    </dxf>
    <dxf>
      <fill>
        <patternFill>
          <bgColor theme="9" tint="0.39994506668294322"/>
        </patternFill>
      </fill>
    </dxf>
    <dxf>
      <fill>
        <patternFill>
          <bgColor theme="3" tint="0.59996337778862885"/>
        </patternFill>
      </fill>
    </dxf>
    <dxf>
      <fill>
        <patternFill>
          <bgColor theme="7" tint="0.79998168889431442"/>
        </patternFill>
      </fill>
    </dxf>
    <dxf>
      <font>
        <color theme="0"/>
      </font>
      <fill>
        <patternFill>
          <bgColor theme="1"/>
        </patternFill>
      </fill>
    </dxf>
    <dxf>
      <fill>
        <patternFill>
          <bgColor rgb="FFFFC000"/>
        </patternFill>
      </fill>
    </dxf>
    <dxf>
      <fill>
        <patternFill>
          <bgColor rgb="FFFF8FF4"/>
        </patternFill>
      </fill>
    </dxf>
    <dxf>
      <fill>
        <patternFill>
          <bgColor rgb="FFFF7D7D"/>
        </patternFill>
      </fill>
    </dxf>
    <dxf>
      <fill>
        <patternFill>
          <bgColor rgb="FF97FFBA"/>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1" Type="http://schemas.openxmlformats.org/officeDocument/2006/relationships/hyperlink" Target="https://ext-web.ltl-xpo.com/public-app/shipments?referenceNumber=138899994&amp;_gl=1*6abvls*_gcl_au*NzE3Njc0MDQ0LjE3Njc3MjI5MDAuMTk3MzA4NTYzNi4xNzY4OTM0MTA2LjE3Njg5MzY1NzE." TargetMode="External"/><Relationship Id="rId170" Type="http://schemas.openxmlformats.org/officeDocument/2006/relationships/hyperlink" Target="https://ext-web.ltl-xpo.com/public-app/shipments?referenceNumber=527650373&amp;_gl=1*90ltw5*_gcl_au*NDI3NjEyOTY3LjE3NzA5OTIyMjguMTc5OTY4NzMxOC4xNzc0NTMwODI2LjE3NzQ1MzU0MDY." TargetMode="External"/><Relationship Id="rId268" Type="http://schemas.openxmlformats.org/officeDocument/2006/relationships/hyperlink" Target="http://www.daytonfreight.com/Tracking/TrackingDetail.aspx?proNum=826912471" TargetMode="External"/><Relationship Id="rId475" Type="http://schemas.openxmlformats.org/officeDocument/2006/relationships/hyperlink" Target="http://www.daytonfreight.com/Tracking/TrackingDetail.aspx?proNum=00034912667" TargetMode="External"/><Relationship Id="rId682" Type="http://schemas.openxmlformats.org/officeDocument/2006/relationships/hyperlink" Target="https://facts.dohrn.com/scripts/cgiip.exe/track.htm?language=ENGLISH&amp;encpronumb=GvRWM2Pg%2B63ixy9tPK%2Ba5w%3D%3D" TargetMode="External"/><Relationship Id="rId32" Type="http://schemas.openxmlformats.org/officeDocument/2006/relationships/hyperlink" Target="https://pittohio.com/myPittOhio/Shipping/LTL/tracerequest?pro=5055152049" TargetMode="External"/><Relationship Id="rId128" Type="http://schemas.openxmlformats.org/officeDocument/2006/relationships/hyperlink" Target="https://ext-web.ltl-xpo.com/public-app/shipments?referenceNumber=637614073&amp;_gl=1*35h670*_gcl_au*NzE3Njc0MDQ0LjE3Njc3MjI5MDAuNzIwNzgzMDIzLjE3NzMzMjE4NDcuMTc3MzMyMjc2OA.." TargetMode="External"/><Relationship Id="rId335" Type="http://schemas.openxmlformats.org/officeDocument/2006/relationships/hyperlink" Target="https://www.odfl.com/us/en/tools/trace-track-ltl-freight.html?proNumbers=59739005912" TargetMode="External"/><Relationship Id="rId542" Type="http://schemas.openxmlformats.org/officeDocument/2006/relationships/hyperlink" Target="https://ext-web.ltl-xpo.com/public-app/shipments?referenceNumber=163486680&amp;_gl=1*mpfyr9*_gcl_au*MTQ0NDI3MDM3My4xNzc2NDQyMDAzLjk5ODg0NjUwMy4xNzgzNDMwNDg5LjE3ODM0MzExNTQ." TargetMode="External"/><Relationship Id="rId987" Type="http://schemas.openxmlformats.org/officeDocument/2006/relationships/hyperlink" Target="https://pittohio.com/myPittOhio/Shipping/LTL/tracerequest?pro=5057002874" TargetMode="External"/><Relationship Id="rId181" Type="http://schemas.openxmlformats.org/officeDocument/2006/relationships/hyperlink" Target="https://rxo.com/track/RXONC20OUHB5ONRC26" TargetMode="External"/><Relationship Id="rId402" Type="http://schemas.openxmlformats.org/officeDocument/2006/relationships/hyperlink" Target="https://ext-web.ltl-xpo.com/public-app/shipments?referenceNumber=451247311&amp;_gl=1*ds2wav*_gcl_au*MTQ0NDI3MDM3My4xNzc2NDQyMDAzLjE2MDM5MjE5NDAuMTc4MDMyMTMzMi4xNzgwMzIxNjI3" TargetMode="External"/><Relationship Id="rId847" Type="http://schemas.openxmlformats.org/officeDocument/2006/relationships/hyperlink" Target="https://ext-web.ltl-xpo.com/public-app/shipments?referenceNumber=557702165&amp;_gl=1*16vfs9l*_gcl_au*ODgwMzAyNjQ3LjE3ODY0NTQxMDguNzQxNTg1ODI3LjE3ODgyODMwMDUuMTc4ODI4MzU4NS4xMDUzNDk2MDUwLjE3ODgyNjg0NTkuMTc4ODI4MzU4NQ.." TargetMode="External"/><Relationship Id="rId1032" Type="http://schemas.openxmlformats.org/officeDocument/2006/relationships/hyperlink" Target="https://pittohio.com/myPittOhio/Shipping/LTL/tracerequest?pro=5057003080" TargetMode="External"/><Relationship Id="rId279" Type="http://schemas.openxmlformats.org/officeDocument/2006/relationships/hyperlink" Target="https://tools.daytonfreight.com/tracking/detail/00034911806" TargetMode="External"/><Relationship Id="rId486" Type="http://schemas.openxmlformats.org/officeDocument/2006/relationships/hyperlink" Target="https://ext-web.ltl-xpo.com/public-app/shipments?referenceNumber=163466295&amp;_gl=1*9cciw8*_gcl_au*MTQ0NDI3MDM3My4xNzc2NDQyMDAzLjE0NjkwMDI4MjIuMTc4MjE1NjMyNi4xNzgyMTU2NDQx" TargetMode="External"/><Relationship Id="rId693" Type="http://schemas.openxmlformats.org/officeDocument/2006/relationships/hyperlink" Target="https://ext-web.ltl-xpo.com/public-app/shipments?referenceNumber=216841446&amp;_gl=1*tayo3k*_gcl_au*ODY0MTMyMDc0LjE3ODQyMTg3NzkuMTIyNTk2OTQzNS4xNzg1MjY4MDQ4LjE3ODUyNzM1NjAuNTMyMjM2MDY5LjE3ODUyNDM4OTcuMTc4NTI3MzY3OA.." TargetMode="External"/><Relationship Id="rId707" Type="http://schemas.openxmlformats.org/officeDocument/2006/relationships/hyperlink" Target="https://rxo.com/track/RXONC20OHIT40HUG26" TargetMode="External"/><Relationship Id="rId914" Type="http://schemas.openxmlformats.org/officeDocument/2006/relationships/hyperlink" Target="https://ext-web.ltl-xpo.com/public-app/shipments?referenceNumber=557735953&amp;_gl=1*tpvkgi*_gcl_au*ODY0MTMyMDc0LjE3ODQyMTg3NzkuNDkzNTM3ODI0LjE3OTAwOTkyNjQuMTc5MDEwMDExOC4yODQ0NDE1NDEuMTc5MDA4MjcxMy4xNzkwMTAwMTE4" TargetMode="External"/><Relationship Id="rId43" Type="http://schemas.openxmlformats.org/officeDocument/2006/relationships/hyperlink" Target="https://ext-web.ltl-xpo.com/public-app/shipments?referenceNumber=138921322&amp;_gl=1*1g0wnv5*_gcl_au*NzE3Njc0MDQ0LjE3Njc3MjI5MDAuMTE1ODgyMTcxNS4xNzcwMjI3MzM1LjE3NzAyMjc0ODQ." TargetMode="External"/><Relationship Id="rId139" Type="http://schemas.openxmlformats.org/officeDocument/2006/relationships/hyperlink" Target="https://pittohio.com/myPittOhio/Shipping/LTL/tracerequest?pro=5056000349" TargetMode="External"/><Relationship Id="rId346" Type="http://schemas.openxmlformats.org/officeDocument/2006/relationships/hyperlink" Target="http://www.daytonfreight.com/Tracking/TrackingDetail.aspx?proNum=00034912020" TargetMode="External"/><Relationship Id="rId553" Type="http://schemas.openxmlformats.org/officeDocument/2006/relationships/hyperlink" Target="https://rxo.com/track/RXONC20OZ4G0T39G26" TargetMode="External"/><Relationship Id="rId760" Type="http://schemas.openxmlformats.org/officeDocument/2006/relationships/hyperlink" Target="https://tools.daytonfreight.com/tracking/detail/00034913538" TargetMode="External"/><Relationship Id="rId998" Type="http://schemas.openxmlformats.org/officeDocument/2006/relationships/hyperlink" Target="https://pittohio.com/myPittOhio/Shipping/LTL/tracerequest?pro=5057002978" TargetMode="External"/><Relationship Id="rId192" Type="http://schemas.openxmlformats.org/officeDocument/2006/relationships/hyperlink" Target="https://rxo.com/track/RXONC20O0AXLIF2D26" TargetMode="External"/><Relationship Id="rId206" Type="http://schemas.openxmlformats.org/officeDocument/2006/relationships/hyperlink" Target="http://www.daytonfreight.com/Tracking/TrackingDetail.aspx?proNum=827062308" TargetMode="External"/><Relationship Id="rId413" Type="http://schemas.openxmlformats.org/officeDocument/2006/relationships/hyperlink" Target="https://www.tforcefreight.com/ltl/apps/Tracking?proNumbers=357964412" TargetMode="External"/><Relationship Id="rId858" Type="http://schemas.openxmlformats.org/officeDocument/2006/relationships/hyperlink" Target="https://ext-web.ltl-xpo.com/public-app/shipments?referenceNumber=557708804&amp;_gl=1*kdb7ow*_gcl_au*ODgwMzAyNjQ3LjE3ODY0NTQxMDguMTU2ODU4ODk2Ny4xNzg4NTQxODcwLjE3ODg1NDI5NzEuMTY4MzM2MjMxMy4xNzg4NTMxNTE3LjE3ODg1NDMxMTc." TargetMode="External"/><Relationship Id="rId497" Type="http://schemas.openxmlformats.org/officeDocument/2006/relationships/hyperlink" Target="https://ext-web.ltl-xpo.com/public-app/shipments?referenceNumber=163471593&amp;_gl=1*1vt2rbs*_gcl_au*MTQ0NDI3MDM3My4xNzc2NDQyMDAzLjkwNzc3NzY5MS4xNzgyMzIwMjA3LjE3ODIzMjM5OTg." TargetMode="External"/><Relationship Id="rId620" Type="http://schemas.openxmlformats.org/officeDocument/2006/relationships/hyperlink" Target="https://ext-web.ltl-xpo.com/public-app/shipments?referenceNumber=216821625&amp;_gl=1*1owoazf*_gcl_au*MTQ5ODM0NzM5Ni4xNzc4Njg2NzM2LjgzMDMyNTg4OC4xNzg0NzQyMjA3LjE3ODQ3NDQyMjIuMjMyNjk0NzEzLjE3ODQ3MzA3MTAuMTc4NDc0NDIyMg.." TargetMode="External"/><Relationship Id="rId718" Type="http://schemas.openxmlformats.org/officeDocument/2006/relationships/hyperlink" Target="https://ext-web.ltl-xpo.com/public-app/shipments?referenceNumber=216842603&amp;_gl=1*7rs5bz*_gcl_au*ODY0MTMyMDc0LjE3ODQyMTg3NzkuMTU0MTQ5OTQ4NC4xNzg1NTA1MjM5LjE3ODU1MDczMjYuNDQ5MDU4Nzk2LjE3ODU0MjI2NjIuMTc4NTUwNzMyNg.." TargetMode="External"/><Relationship Id="rId925" Type="http://schemas.openxmlformats.org/officeDocument/2006/relationships/hyperlink" Target="https://rxo.com/track/RXONC20OVNGHLGNI26" TargetMode="External"/><Relationship Id="rId357" Type="http://schemas.openxmlformats.org/officeDocument/2006/relationships/hyperlink" Target="https://ext-web.ltl-xpo.com/public-app/shipments?referenceNumber=451223065&amp;_gl=1*14rzoch*_gcl_au*MTQ5ODM0NzM5Ni4xNzc4Njg2NzM2Ljg5OTMyMDgyOS4xNzc4Nzg2ODU1LjE3Nzg3ODcwMTU." TargetMode="External"/><Relationship Id="rId54" Type="http://schemas.openxmlformats.org/officeDocument/2006/relationships/hyperlink" Target="http://www.saia.com/Tracing/AjaxProstatusByPro.aspx?nh=N&amp;Pro=121496321403" TargetMode="External"/><Relationship Id="rId217" Type="http://schemas.openxmlformats.org/officeDocument/2006/relationships/hyperlink" Target="https://rxo.com/track/RXONC20O4FLANZ7D26" TargetMode="External"/><Relationship Id="rId564" Type="http://schemas.openxmlformats.org/officeDocument/2006/relationships/hyperlink" Target="https://tools.daytonfreight.com/tracking/detail/00034913017" TargetMode="External"/><Relationship Id="rId771" Type="http://schemas.openxmlformats.org/officeDocument/2006/relationships/hyperlink" Target="https://pittohio.com/myPittOhio/Shipping/LTL/tracerequest?pro=5057003373" TargetMode="External"/><Relationship Id="rId869" Type="http://schemas.openxmlformats.org/officeDocument/2006/relationships/hyperlink" Target="http://www.daytonfreight.com/Tracking/TrackingDetail.aspx?proNum=754051218" TargetMode="External"/><Relationship Id="rId424" Type="http://schemas.openxmlformats.org/officeDocument/2006/relationships/hyperlink" Target="https://ext-web.ltl-xpo.com/public-app/shipments?referenceNumber=163441062&amp;_gl=1*cr11o5*_gcl_au*MTQ5ODM0NzM5Ni4xNzc4Njg2NzM2Ljc4Njg4NTQ4Ny4xNzgxMDExMjg4LjE3ODEwMTE5MTY." TargetMode="External"/><Relationship Id="rId631" Type="http://schemas.openxmlformats.org/officeDocument/2006/relationships/hyperlink" Target="https://ext-web.ltl-xpo.com/public-app/shipments?referenceNumber=216824160&amp;_gl=1*1b8w2ip*_gcl_au*ODY0MTMyMDc0LjE3ODQyMTg3NzkuMTg2ODA2MzQ1Ny4xNzg0ODI1Njk5LjE3ODQ4Mjg5NDguMjQwMDExNTcuMTc4NDc0MjY2OS4xNzg0ODI4OTQ4" TargetMode="External"/><Relationship Id="rId729" Type="http://schemas.openxmlformats.org/officeDocument/2006/relationships/hyperlink" Target="https://pittohio.com/myPittOhio/Shipping/LTL/tracerequest?pro=5057002380" TargetMode="External"/><Relationship Id="rId270" Type="http://schemas.openxmlformats.org/officeDocument/2006/relationships/hyperlink" Target="https://www.odfl.com/us/en/tools/trace-track-ltl-freight.html?proNumbers=59739004733" TargetMode="External"/><Relationship Id="rId936" Type="http://schemas.openxmlformats.org/officeDocument/2006/relationships/hyperlink" Target="https://ext-web.ltl-xpo.com/public-app/shipments?referenceNumber=557740805&amp;_gl=1*3u6sv6*_gcl_au*ODY0MTMyMDc0LjE3ODQyMTg3NzkuMTY4OTA4MjU4My4xNzkwMTkxNzY4LjE3OTAxOTI0NzUuNDkzODUxNTUzLjE3OTAxNjk2MTUuMTc5MDE5MjQ3NQ.." TargetMode="External"/><Relationship Id="rId65" Type="http://schemas.openxmlformats.org/officeDocument/2006/relationships/hyperlink" Target="https://ext-web.ltl-xpo.com/public-app/shipments?referenceNumber=317999161&amp;_gl=1*sdpkwn*_gcl_au*NzE3Njc0MDQ0LjE3Njc3MjI5MDAuNTk4MTU5NzA2LjE3NzE2MTk5NTYuMTc3MTYyMDQxOQ.." TargetMode="External"/><Relationship Id="rId130" Type="http://schemas.openxmlformats.org/officeDocument/2006/relationships/hyperlink" Target="https://ext-web.ltl-xpo.com/public-app/shipments?referenceNumber=637614084&amp;_gl=1*1hw7uu1*_gcl_au*NzE3Njc0MDQ0LjE3Njc3MjI5MDAuNzIwNzgzMDIzLjE3NzMzMjE4NDcuMTc3MzMyMjc2OA.." TargetMode="External"/><Relationship Id="rId368" Type="http://schemas.openxmlformats.org/officeDocument/2006/relationships/hyperlink" Target="https://www.rosenau.ca/track-shipment/?probillNumber=270974964" TargetMode="External"/><Relationship Id="rId575" Type="http://schemas.openxmlformats.org/officeDocument/2006/relationships/hyperlink" Target="http://www.odfl.com/trace/Trace.jsp?Type=P&amp;pronum=59739011928" TargetMode="External"/><Relationship Id="rId782" Type="http://schemas.openxmlformats.org/officeDocument/2006/relationships/hyperlink" Target="https://ext-web.ltl-xpo.com/public-app/shipments?referenceNumber=216866683&amp;_gl=1*v68f2c*_gcl_au*ODgwMzAyNjQ3LjE3ODY0NTQxMDguOTg1MDc4NTUwLjE3ODcwNjIxMjguMTc4NzA2MzI3OS4xOTQ1Nzg1MDE1LjE3ODcwNTgyNjAuMTc4NzA2MzI3OQ.." TargetMode="External"/><Relationship Id="rId228" Type="http://schemas.openxmlformats.org/officeDocument/2006/relationships/hyperlink" Target="https://ext-web.ltl-xpo.com/public-app/shipments?referenceNumber=429578461&amp;_gl=1*dylmph*_gcl_au*MTQ0NDI3MDM3My4xNzc2NDQyMDAzLjQ0NDA3Mjg4Ni4xNzc2NjkzMDIyLjE3NzY2OTMwMjM." TargetMode="External"/><Relationship Id="rId435" Type="http://schemas.openxmlformats.org/officeDocument/2006/relationships/hyperlink" Target="http://www.daytonfreight.com/Tracking/TrackingDetail.aspx?proNum=00034912543" TargetMode="External"/><Relationship Id="rId642" Type="http://schemas.openxmlformats.org/officeDocument/2006/relationships/hyperlink" Target="https://ext-web.ltl-xpo.com/public-app/shipments?referenceNumber=216828124&amp;_gl=1*yvueid*_gcl_au*ODY0MTMyMDc0LjE3ODQyMTg3NzkuNTc3NjI3Mjk1LjE3ODQ4Mzc3MDkuMTc4NDgzNzc3Ny4xMzQ2MzExMzM0LjE3ODQ4Mjk0MzMuMTc4NDgzNzc3Ng.." TargetMode="External"/><Relationship Id="rId281" Type="http://schemas.openxmlformats.org/officeDocument/2006/relationships/hyperlink" Target="http://www.saia.com/Tracing/AjaxProstatusByPro.aspx?nh=N&amp;Pro=121499794702" TargetMode="External"/><Relationship Id="rId502" Type="http://schemas.openxmlformats.org/officeDocument/2006/relationships/hyperlink" Target="https://ext-web.ltl-xpo.com/public-app/shipments?referenceNumber=163472551&amp;_gl=1*13zvrt9*_gcl_au*MTQ5ODM0NzM5Ni4xNzc4Njg2NzM2LjQ4NjIyNTI3OC4xNzgyMzI0ODQ4LjE3ODIzMjY3ODQ." TargetMode="External"/><Relationship Id="rId947" Type="http://schemas.openxmlformats.org/officeDocument/2006/relationships/hyperlink" Target="https://ext-web.ltl-xpo.com/public-app/shipments?referenceNumber=557743012&amp;_gl=1*jm6292*_gcl_au*ODgwMzAyNjQ3LjE3ODY0NTQxMDguMjA2MjU1MDg1NC4xNzkwMjU3MjYxLjE3OTAyNjAwOTUuMTA5MDUyNjQ1MC4xNzkwMjU1NDUzLjE3OTAyNjAyMDQ." TargetMode="External"/><Relationship Id="rId76" Type="http://schemas.openxmlformats.org/officeDocument/2006/relationships/hyperlink" Target="https://pittohio.com/myPittOhio/Shipping/LTL/tracerequest?pro=5055151337" TargetMode="External"/><Relationship Id="rId141" Type="http://schemas.openxmlformats.org/officeDocument/2006/relationships/hyperlink" Target="http://www.saia.com/Tracing/AjaxProstatusByPro.aspx?nh=N&amp;Pro=121497613704" TargetMode="External"/><Relationship Id="rId379" Type="http://schemas.openxmlformats.org/officeDocument/2006/relationships/hyperlink" Target="http://www.saia.com/Tracing/AjaxProstatusByPro.aspx?nh=N&amp;Pro=121501256800" TargetMode="External"/><Relationship Id="rId586" Type="http://schemas.openxmlformats.org/officeDocument/2006/relationships/hyperlink" Target="https://ext-web.ltl-xpo.com/public-app/shipments?referenceNumber=216810440&amp;_gl=1*dbibi2*_gcl_au*MTQ5ODM0NzM5Ni4xNzc4Njg2NzM2LjE2MzUwNjEwNjAuMTc4NDIwODg3OS4xNzg0MjA5NDkx" TargetMode="External"/><Relationship Id="rId793" Type="http://schemas.openxmlformats.org/officeDocument/2006/relationships/hyperlink" Target="https://ext-web.ltl-xpo.com/public-app/shipments?referenceNumber=216870010&amp;_gl=1*13kjqr7*_gcl_au*ODgwMzAyNjQ3LjE3ODY0NTQxMDguMjAzMTU2NDI0MC4xNzg3MTU4MDk2LjE3ODcxNTgzNjQuNTQ3NjQwNjcwLjE3ODcxNDcwMjAuMTc4NzE1ODM2NA.." TargetMode="External"/><Relationship Id="rId807" Type="http://schemas.openxmlformats.org/officeDocument/2006/relationships/hyperlink" Target="https://ext-web.ltl-xpo.com/public-app/shipments?referenceNumber=934249433&amp;_gl=1*ustje3*_gcl_au*ODgwMzAyNjQ3LjE3ODY0NTQxMDguLS4tLjE3ODcyNTMzMzIuMTUxMzg5NjI2Ni4xNzg3MjM1MTk0LjE3ODczMjEwNjk." TargetMode="External"/><Relationship Id="rId7" Type="http://schemas.openxmlformats.org/officeDocument/2006/relationships/hyperlink" Target="https://rxo.com/track/RXONC20OTEC2TY7A26" TargetMode="External"/><Relationship Id="rId239" Type="http://schemas.openxmlformats.org/officeDocument/2006/relationships/hyperlink" Target="https://ext-web.ltl-xpo.com/public-app/shipments?referenceNumber=321364352&amp;_gl=1*s89017*_gcl_au*MTA5OTE3NzIyNi4xNzcyNjMzNDg1Ljg1OTg2MjM5My4xNzc2MzY3Mzc2LjE3NzYzNjg3MTQ." TargetMode="External"/><Relationship Id="rId446" Type="http://schemas.openxmlformats.org/officeDocument/2006/relationships/hyperlink" Target="https://ext-web.ltl-xpo.com/public-app/shipments?referenceNumber=163455320&amp;_gl=1*6r8438*_gcl_au*MTQ0NDI3MDM3My4xNzc2NDQyMDAzLjIwNDExNzc3NTEuMTc4MTYyMTk2Mi4xNzgxNjIxOTYy" TargetMode="External"/><Relationship Id="rId653" Type="http://schemas.openxmlformats.org/officeDocument/2006/relationships/hyperlink" Target="https://ext-web.ltl-xpo.com/public-app/shipments?referenceNumber=216850664&amp;_gl=1*pfqmy5*_gcl_au*ODY0MTMyMDc0LjE3ODQyMTg3NzkuMTEzNDI1OTYwOS4xNzg1MTU5ODQ4LjE3ODUxNjIzNTUuMTU5MzYzMzgwMi4xNzg1MTUzODY3LjE3ODUxNjIzODk." TargetMode="External"/><Relationship Id="rId292" Type="http://schemas.openxmlformats.org/officeDocument/2006/relationships/hyperlink" Target="https://rxo.com/track/RXONC20OHWH4KETD26" TargetMode="External"/><Relationship Id="rId306" Type="http://schemas.openxmlformats.org/officeDocument/2006/relationships/hyperlink" Target="https://ext-web.ltl-xpo.com/public-app/shipments?referenceNumber=321399831&amp;_gl=1*z7009v*_gcl_au*NDI3NjEyOTY3LjE3NzA5OTIyMjguMTI5MTU0NDAzNS4xNzc4MTU5OTA2LjE3NzgxNjE2NTY." TargetMode="External"/><Relationship Id="rId860" Type="http://schemas.openxmlformats.org/officeDocument/2006/relationships/hyperlink" Target="https://pittohio.com/myPittOhio/Shipping/LTL/tracerequest?pro=5057002465" TargetMode="External"/><Relationship Id="rId958" Type="http://schemas.openxmlformats.org/officeDocument/2006/relationships/hyperlink" Target="https://ext-web.ltl-xpo.com/public-app/shipments?referenceNumber=557743561&amp;_gl=1*mkj3v*_gcl_au*ODgwMzAyNjQ3LjE3ODY0NTQxMDguNDYyMDcyNjg5LjE3OTAzNDE0OTUuMTc5MDM0MTY1Ny4xMDkwNTI2NDUwLjE3OTAyNTU0NTMuMTc5MDM0MTY1Nw.." TargetMode="External"/><Relationship Id="rId87" Type="http://schemas.openxmlformats.org/officeDocument/2006/relationships/hyperlink" Target="http://www.saia.com/Tracing/AjaxProstatusByPro.aspx?nh=N&amp;Pro=121496544501" TargetMode="External"/><Relationship Id="rId513" Type="http://schemas.openxmlformats.org/officeDocument/2006/relationships/hyperlink" Target="https://rxo.com/track/RXONC20O3SROCPTF26" TargetMode="External"/><Relationship Id="rId597" Type="http://schemas.openxmlformats.org/officeDocument/2006/relationships/hyperlink" Target="https://ext-web.ltl-xpo.com/public-app/shipments?referenceNumber=216814006&amp;_gl=1*x09nc0*_gcl_au*ODY0MTMyMDc0LjE3ODQyMTg3NzkuLS4tLjE3ODQzMTcyNTYuMTM1MjU1NTE5MS4xNzg0NDYyNDg0LjE3ODQ0NjI1NTk." TargetMode="External"/><Relationship Id="rId720" Type="http://schemas.openxmlformats.org/officeDocument/2006/relationships/hyperlink" Target="https://ext-web.ltl-xpo.com/public-app/shipments?referenceNumber=216826890&amp;_gl=1*2is9sz*_gcl_au*MTQ5ODM0NzM5Ni4xNzc4Njg2NzM2LjE0NDg5NjQxNDAuMTc4NTUyMTY2Ni4xNzg1NTIxODU5LjE4NjU2NTE1MDUuMTc4NTUwNjI1MS4xNzg1NTIxODU5" TargetMode="External"/><Relationship Id="rId818" Type="http://schemas.openxmlformats.org/officeDocument/2006/relationships/hyperlink" Target="https://ext-web.ltl-xpo.com/public-app/tools/service-center-locator?serviceCenterCode=LFW" TargetMode="External"/><Relationship Id="rId152" Type="http://schemas.openxmlformats.org/officeDocument/2006/relationships/hyperlink" Target="https://ext-web.ltl-xpo.com/public-app/shipments?referenceNumber=527640901&amp;_gl=1*1ra8kcc*_gcl_au*MTA5OTE3NzIyNi4xNzcyNjMzNDg1LjM5NzcwODQ2Ni4xNzc0MDE2MDQ2LjE3NzQwMTc3NDA." TargetMode="External"/><Relationship Id="rId457" Type="http://schemas.openxmlformats.org/officeDocument/2006/relationships/hyperlink" Target="http://www.daytonfreight.com/Tracking/TrackingDetail.aspx?proNum=00034912643" TargetMode="External"/><Relationship Id="rId1003" Type="http://schemas.openxmlformats.org/officeDocument/2006/relationships/hyperlink" Target="https://ext-web.ltl-xpo.com/public-app/shipments?referenceNumber=557752451&amp;_gl=1*16kqzsx*_gcl_au*ODY0MTMyMDc0LjE3ODQyMTg3NzkuNDQ2NzMwMTEyLjE3OTA2MzA5NzYuMTc5MDYzMTQxNC4zNzM4OTMwMzkuMTc5MDYwMDkyNC4xNzkwNjMxNDE0" TargetMode="External"/><Relationship Id="rId664" Type="http://schemas.openxmlformats.org/officeDocument/2006/relationships/hyperlink" Target="https://pittohio.com/myPittOhio/Shipping/LTL/tracerequest?pro=5057002205" TargetMode="External"/><Relationship Id="rId871" Type="http://schemas.openxmlformats.org/officeDocument/2006/relationships/hyperlink" Target="https://rxo.com/track/RXONC20OEXJF4Y9I26" TargetMode="External"/><Relationship Id="rId969" Type="http://schemas.openxmlformats.org/officeDocument/2006/relationships/hyperlink" Target="https://ext-web.ltl-xpo.com/public-app/shipments?referenceNumber=557745090&amp;_gl=1*1um8zxy*_gcl_au*ODgwMzAyNjQ3LjE3ODY0NTQxMDguNDYyMDcyNjg5LjE3OTAzNDE0OTUuMTc5MDM0NzA4Mi41NjMxMzI2NTguMTc5MDM0MjI2MS4xNzkwMzQ3MDgy" TargetMode="External"/><Relationship Id="rId14" Type="http://schemas.openxmlformats.org/officeDocument/2006/relationships/hyperlink" Target="https://ext-web.ltl-xpo.com/public-app/shipments?referenceNumber=138896634&amp;_gl=1*1p5fdq4*_gcl_au*MTM5NDc1NDQzMy4xNzY4NTk1Njk4Ljg5NzA0MzE3OC4xNzY4NTk1OTQwLjE3Njg1OTk2MzE." TargetMode="External"/><Relationship Id="rId317" Type="http://schemas.openxmlformats.org/officeDocument/2006/relationships/hyperlink" Target="https://www.saia.com/tracing/ajaxprostatusbypro.aspx?nh=N&amp;Pro=121500338306" TargetMode="External"/><Relationship Id="rId524" Type="http://schemas.openxmlformats.org/officeDocument/2006/relationships/hyperlink" Target="http://www.daytonfreight.com/Tracking/TrackingDetail.aspx?proNum=00034912862" TargetMode="External"/><Relationship Id="rId731" Type="http://schemas.openxmlformats.org/officeDocument/2006/relationships/hyperlink" Target="https://rxo.com/track/RXONC20OYWWCZZ6H26" TargetMode="External"/><Relationship Id="rId98" Type="http://schemas.openxmlformats.org/officeDocument/2006/relationships/hyperlink" Target="https://ext-web.ltl-xpo.com/public-app/shipments?referenceNumber=789805004&amp;_gl=1*15myylm*_gcl_au*NzE3Njc0MDQ0LjE3Njc3MjI5MDAuMTQ5NzkwODgxMy4xNzcyMjI2MjU0LjE3NzIyMjY4NTM." TargetMode="External"/><Relationship Id="rId163" Type="http://schemas.openxmlformats.org/officeDocument/2006/relationships/hyperlink" Target="https://ext-web.ltl-xpo.com/public-app/shipments?referenceNumber=527650012&amp;_gl=1*elvoky*_gcl_au*MTQ5ODM0NzM5Ni4xNzc4Njg2NzM2LjE4NjE3NTE1MDMuMTc4MTI5MzU2NS4xNzgxMjk1NDgz" TargetMode="External"/><Relationship Id="rId370" Type="http://schemas.openxmlformats.org/officeDocument/2006/relationships/hyperlink" Target="https://pittohio.com/myPittOhio/Shipping/LTL/tracerequest?pro=5056001203" TargetMode="External"/><Relationship Id="rId829" Type="http://schemas.openxmlformats.org/officeDocument/2006/relationships/hyperlink" Target="http://www.daytonfreight.com/Tracking/TrackingDetail.aspx?proNum=00034913786" TargetMode="External"/><Relationship Id="rId1014" Type="http://schemas.openxmlformats.org/officeDocument/2006/relationships/hyperlink" Target="https://tools.daytonfreight.com/tracking/detail/00037410800" TargetMode="External"/><Relationship Id="rId230" Type="http://schemas.openxmlformats.org/officeDocument/2006/relationships/hyperlink" Target="http://www.saia.com/Tracing/AjaxProstatusByPro.aspx?nh=N&amp;Pro=10938404110" TargetMode="External"/><Relationship Id="rId468" Type="http://schemas.openxmlformats.org/officeDocument/2006/relationships/hyperlink" Target="https://ext-web.ltl-xpo.com/public-app/shipments?referenceNumber=163457022&amp;_gl=1*16fqpjc*_gcl_au*MTQ0NDI3MDM3My4xNzc2NDQyMDAzLjQwMDQ2NjMwNi4xNzgxNjM4OTE4LjE3ODE2NDIzNDk." TargetMode="External"/><Relationship Id="rId675" Type="http://schemas.openxmlformats.org/officeDocument/2006/relationships/hyperlink" Target="https://ext-web.ltl-xpo.com/public-app/shipments?referenceNumber=216829583&amp;_gl=1*1in56au*_gcl_au*ODY0MTMyMDc0LjE3ODQyMTg3NzkuMTExOTYwNjY0NS4xNzg1MTc5NjY0LjE3ODUxODQwMjEuMTU5MzYzMzgwMi4xNzg1MTUzODY3LjE3ODUxODQwMjE." TargetMode="External"/><Relationship Id="rId882" Type="http://schemas.openxmlformats.org/officeDocument/2006/relationships/hyperlink" Target="https://ext-web.ltl-xpo.com/public-app/shipments?referenceNumber=557723143&amp;_gl=1*1l6b2kl*_gcl_au*MTU4MjMwMTQ3MS4xNzg2NDYyODMwLjEyNzEwMDAxNjYuMTc4OTQwODcyMC4xNzg5NDA4ODYyLjc4Mjk0MDAwNS4xNzg5MzkyMTU1LjE3ODk0MDg5MTM." TargetMode="External"/><Relationship Id="rId25" Type="http://schemas.openxmlformats.org/officeDocument/2006/relationships/hyperlink" Target="https://pittohio.com/myPittOhio/Shipping/LTL/tracerequest?pro=5055151547" TargetMode="External"/><Relationship Id="rId328" Type="http://schemas.openxmlformats.org/officeDocument/2006/relationships/hyperlink" Target="https://www.saia.com/tracing/ajaxprostatusbypro.aspx?nh=N&amp;Pro=121500399206" TargetMode="External"/><Relationship Id="rId535" Type="http://schemas.openxmlformats.org/officeDocument/2006/relationships/hyperlink" Target="https://ext-web.ltl-xpo.com/public-app/shipments?referenceNumber=163482723&amp;_gl=1*413jg1*_gcl_au*MTc1OTAzNzIyOS4xNzc1NDk5NDI2LjE1MTQwMjU3MTQuMTc4Mjk0MjQxMy4xNzgyOTQzMjMx" TargetMode="External"/><Relationship Id="rId742" Type="http://schemas.openxmlformats.org/officeDocument/2006/relationships/hyperlink" Target="https://tools.daytonfreight.com/tracking/detail/00034913456" TargetMode="External"/><Relationship Id="rId174" Type="http://schemas.openxmlformats.org/officeDocument/2006/relationships/hyperlink" Target="https://www.saia.com/tracing/ajaxprostatusbypro.aspx?nh=N&amp;Pro=121498073900" TargetMode="External"/><Relationship Id="rId381" Type="http://schemas.openxmlformats.org/officeDocument/2006/relationships/hyperlink" Target="https://ext-web.ltl-xpo.com/public-app/shipments?referenceNumber=451238830&amp;_gl=1*1f56dht*_gcl_au*MTQ5ODM0NzM5Ni4xNzc4Njg2NzM2LjU4NjU3NzQ1NC4xNzc5ODg5NDI3LjE3Nzk4OTA0NzE." TargetMode="External"/><Relationship Id="rId602" Type="http://schemas.openxmlformats.org/officeDocument/2006/relationships/hyperlink" Target="https://ext-web.ltl-xpo.com/public-app/shipments?referenceNumber=216814636&amp;_gl=1*3j5en5*_gcl_au*ODY0MTMyMDc0LjE3ODQyMTg3NzkuNjYzMDU2NDU2LjE3ODQ2NDkyOTguMTc4NDY0OTkyOC44OTY2MDE3OTkuMTc4NDY0MDkwMi4xNzg0NjUxMjE3" TargetMode="External"/><Relationship Id="rId1025" Type="http://schemas.openxmlformats.org/officeDocument/2006/relationships/hyperlink" Target="https://www.tforcefreight.com/ltl/apps/Tracking?proNumbers=312684120" TargetMode="External"/><Relationship Id="rId241" Type="http://schemas.openxmlformats.org/officeDocument/2006/relationships/hyperlink" Target="http://www.saia.com/Tracing/AjaxProstatusByPro.aspx?nh=N&amp;Pro=10918398830" TargetMode="External"/><Relationship Id="rId479" Type="http://schemas.openxmlformats.org/officeDocument/2006/relationships/hyperlink" Target="https://ext-web.ltl-xpo.com/public-app/shipments?referenceNumber=163460290&amp;_gl=1*19mcmmn*_gcl_au*MTQ0NDI3MDM3My4xNzc2NDQyMDAzLjE1ODI1NDQ1NzcuMTc4MTc5MTU1OC4xNzgxNzkzMTk5" TargetMode="External"/><Relationship Id="rId686" Type="http://schemas.openxmlformats.org/officeDocument/2006/relationships/hyperlink" Target="https://ext-web.ltl-xpo.com/public-app/shipments?referenceNumber=216834612&amp;_gl=1*1c5mzbe*_gcl_au*MTQ5ODM0NzM5Ni4xNzc4Njg2NzM2LjM0NjI2NjI4NC4xNzg1MjY0Nzc5LjE3ODUyNjU5MDguNTE4NjEwNzUuMTc4NTI0NTM3Ni4xNzg1MjY1OTA4" TargetMode="External"/><Relationship Id="rId893" Type="http://schemas.openxmlformats.org/officeDocument/2006/relationships/hyperlink" Target="https://pittohio.com/myPittOhio/Shipping/LTL/tracerequest?pro=5057002793" TargetMode="External"/><Relationship Id="rId907" Type="http://schemas.openxmlformats.org/officeDocument/2006/relationships/hyperlink" Target="https://ext-web.ltl-xpo.com/public-app/shipments?referenceNumber=557736561&amp;_gl=1*hdivag*_gcl_au*MTU4MjMwMTQ3MS4xNzg2NDYyODMwLjE5ODA4NTg1NzguMTc5MDAyMjg3Ni4xNzkwMDIzNjYxLjk3MzY2NjIxOS4xNzg5OTk2NzU1LjE3OTAwMjM2NjE." TargetMode="External"/><Relationship Id="rId36" Type="http://schemas.openxmlformats.org/officeDocument/2006/relationships/hyperlink" Target="https://pittohio.com/myPittOhio/Shipping/LTL/tracerequest?pro=5055152179" TargetMode="External"/><Relationship Id="rId339" Type="http://schemas.openxmlformats.org/officeDocument/2006/relationships/hyperlink" Target="https://pittohio.com/myPittOhio/Shipping/LTL/tracerequest?pro=5056001176" TargetMode="External"/><Relationship Id="rId546" Type="http://schemas.openxmlformats.org/officeDocument/2006/relationships/hyperlink" Target="https://ext-web.ltl-xpo.com/public-app/shipments?referenceNumber=216795283&amp;_gl=1*e6uo9i*_gcl_au*MTQ0NDI3MDM3My4xNzc2NDQyMDAzLjE0NDgyNDAxNDUuMTc4MzQ1NTgzMy4xNzgzNDU5MDYw" TargetMode="External"/><Relationship Id="rId753" Type="http://schemas.openxmlformats.org/officeDocument/2006/relationships/hyperlink" Target="https://rxo.com/track/RXONC20OKNDRR0CH26" TargetMode="External"/><Relationship Id="rId101" Type="http://schemas.openxmlformats.org/officeDocument/2006/relationships/hyperlink" Target="https://rxo.com/track/RXONC20OJ5JZ1V2C26" TargetMode="External"/><Relationship Id="rId185" Type="http://schemas.openxmlformats.org/officeDocument/2006/relationships/hyperlink" Target="https://ext-web.ltl-xpo.com/public-app/shipments?referenceNumber=527657546&amp;_gl=1*12jpknr*_gcl_au*MTA5OTE3NzIyNi4xNzcyNjMzNDg1Ljk4ODA2NzM3OS4xNzc0OTYzMDE4LjE3NzQ5NjMyNzE." TargetMode="External"/><Relationship Id="rId406" Type="http://schemas.openxmlformats.org/officeDocument/2006/relationships/hyperlink" Target="https://ext-web.ltl-xpo.com/public-app/shipments?referenceNumber=451251356&amp;_gl=1*1ib3b8b*_gcl_au*MTQ5ODM0NzM5Ni4xNzc4Njg2NzM2LjIwNzkxMjgxMzguMTc4MDQyOTc4OS4xNzgwNDMwMDQ2" TargetMode="External"/><Relationship Id="rId960" Type="http://schemas.openxmlformats.org/officeDocument/2006/relationships/hyperlink" Target="https://ext-web.ltl-xpo.com/public-app/shipments?referenceNumber=557744051&amp;_gl=1*1245us0*_gcl_au*ODgwMzAyNjQ3LjE3ODY0NTQxMDguNDYyMDcyNjg5LjE3OTAzNDE0OTUuMTc5MDM0MzY1My41NjMxMzI2NTguMTc5MDM0MjI2MS4xNzkwMzQzNzA2" TargetMode="External"/><Relationship Id="rId1036" Type="http://schemas.openxmlformats.org/officeDocument/2006/relationships/hyperlink" Target="https://rxo.com/track/RXONC20OJ2DL2FGJ26" TargetMode="External"/><Relationship Id="rId392" Type="http://schemas.openxmlformats.org/officeDocument/2006/relationships/hyperlink" Target="https://ext-web.ltl-xpo.com/public-app/shipments?referenceNumber=451243111&amp;_gl=1*145s3wa*_gcl_au*MTQ0NDI3MDM3My4xNzc2NDQyMDAzLjgxMTQ5NDU2NC4xNzc5OTk0MzQ5LjE3Nzk5OTQ4NjU." TargetMode="External"/><Relationship Id="rId613" Type="http://schemas.openxmlformats.org/officeDocument/2006/relationships/hyperlink" Target="https://pittohio.com/myPittOhio/Shipping/LTL/tracerequest?pro=5057002614" TargetMode="External"/><Relationship Id="rId697" Type="http://schemas.openxmlformats.org/officeDocument/2006/relationships/hyperlink" Target="https://ext-web.ltl-xpo.com/public-app/shipments?referenceNumber=216842883&amp;_gl=1*8b2hhs*_gcl_au*MTQ5ODM0NzM5Ni4xNzc4Njg2NzM2LjE5MzI5NTA2NTAuMTc4NTMyNTkyMS4xNzg1MzMwMjI2LjUxODYxMDc1LjE3ODUyNDUzNzYuMTc4NTMzMDIyNg.." TargetMode="External"/><Relationship Id="rId820" Type="http://schemas.openxmlformats.org/officeDocument/2006/relationships/hyperlink" Target="https://ext-web.ltl-xpo.com/public-app/shipments?referenceNumber=557690921&amp;_gl=1*wu44f3*_gcl_au*ODgwMzAyNjQ3LjE3ODY0NTQxMDguMTg4ODMzOTg5NC4xNzg3NzUwNzU1LjE3ODc3NTExOTcuMjA2NDcxOTYwOC4xNzg3NzQ5NTQ0LjE3ODc3NTE0NzA." TargetMode="External"/><Relationship Id="rId918" Type="http://schemas.openxmlformats.org/officeDocument/2006/relationships/hyperlink" Target="https://ext-web.ltl-xpo.com/public-app/shipments?referenceNumber=557737445&amp;_gl=1*12azrzu*_gcl_au*ODgwMzAyNjQ3LjE3ODY0NTQxMDguMTgzNTI5NDkwNS4xNzkwMTAwNjE0LjE3OTAxMDMzNTQuNDY4MjMwMDMzLjE3OTAwODUwOTQuMTc5MDEwMzQ4MQ.." TargetMode="External"/><Relationship Id="rId252" Type="http://schemas.openxmlformats.org/officeDocument/2006/relationships/hyperlink" Target="https://ext-web.ltl-xpo.com/public-app/shipments?referenceNumber=321374115&amp;_gl=1*does0k*_gcl_au*NDI3NjEyOTY3LjE3NzA5OTIyMjguMTY4NTg3OTgzMC4xNzc2ODc3MjEwLjE3NzY4Nzc5MzU." TargetMode="External"/><Relationship Id="rId47" Type="http://schemas.openxmlformats.org/officeDocument/2006/relationships/hyperlink" Target="https://ext-web.ltl-xpo.com/public-app/shipments?referenceNumber=789772896&amp;_gl=1*1pflmgw*_gcl_au*NzE3Njc0MDQ0LjE3Njc3MjI5MDAuMTMyMzE2NzY1LjE3NzA3MzUzMzMuMTc3MDczNTUxMQ.." TargetMode="External"/><Relationship Id="rId112" Type="http://schemas.openxmlformats.org/officeDocument/2006/relationships/hyperlink" Target="https://ext-web.ltl-xpo.com/public-app/shipments?referenceNumber=606941145&amp;_gl=1*w0s8sb*_gcl_au*NzE3Njc0MDQ0LjE3Njc3MjI5MDAuMTg2MzEzMDYyOS4xNzczMDgyMDg2LjE3NzMwODIxNjM." TargetMode="External"/><Relationship Id="rId557" Type="http://schemas.openxmlformats.org/officeDocument/2006/relationships/hyperlink" Target="https://rxo.com/track/RXONC20OXJPLZ09G26" TargetMode="External"/><Relationship Id="rId764" Type="http://schemas.openxmlformats.org/officeDocument/2006/relationships/hyperlink" Target="https://ext-web.ltl-xpo.com/public-app/shipments?referenceNumber=216860792&amp;_gl=1*vwyhhf*_gcl_au*ODgwMzAyNjQ3LjE3ODY0NTQxMDguMTIxOTk1NzAyMi4xNzg2NjQ2NjA1LjE3ODY2NDg4ODIuMTQ1MTYzMjQwMi4xNzg2NjI4MjkzLjE3ODY2NDg4ODI." TargetMode="External"/><Relationship Id="rId971" Type="http://schemas.openxmlformats.org/officeDocument/2006/relationships/hyperlink" Target="https://ext-web.ltl-xpo.com/public-app/shipments?referenceNumber=557745204&amp;_gl=1*zpo5tm*_gcl_au*ODgwMzAyNjQ3LjE3ODY0NTQxMDguNDYyMDcyNjg5LjE3OTAzNDE0OTUuMTc5MDM0ODUyMS41NjMxMzI2NTguMTc5MDM0MjI2MS4xNzkwMzQ4NTIx" TargetMode="External"/><Relationship Id="rId196" Type="http://schemas.openxmlformats.org/officeDocument/2006/relationships/hyperlink" Target="https://rxo.com/track/RXONC20O1XW4W26D26" TargetMode="External"/><Relationship Id="rId417" Type="http://schemas.openxmlformats.org/officeDocument/2006/relationships/hyperlink" Target="http://www.saia.com/Tracing/AjaxProstatusByPro.aspx?nh=N&amp;Pro=121502000200" TargetMode="External"/><Relationship Id="rId624" Type="http://schemas.openxmlformats.org/officeDocument/2006/relationships/hyperlink" Target="https://ext-web.ltl-xpo.com/public-app/shipments?referenceNumber=674657056&amp;_gl=1*1c3bv1x*_gcl_au*ODY0MTMyMDc0LjE3ODQyMTg3NzkuLS4tLjE3ODU0MzY5MjAuNDQ5MDU4Nzk2LjE3ODU0MjI2NjIuMTc4NTQ5Njc5Ng.." TargetMode="External"/><Relationship Id="rId831" Type="http://schemas.openxmlformats.org/officeDocument/2006/relationships/hyperlink" Target="https://ext-web.ltl-xpo.com/public-app/shipments?referenceNumber=557691470&amp;_gl=1*9kyjd5*_gcl_au*ODY0MTMyMDc0LjE3ODQyMTg3NzkuMTc1OTI3MzE4My4xNzg3NzUzNDA5LjE3ODc3NTg3NDAuMTIxNzMxNzAuMTc4Nzc1MDgxOS4xNzg3NzU4NzQw" TargetMode="External"/><Relationship Id="rId263" Type="http://schemas.openxmlformats.org/officeDocument/2006/relationships/hyperlink" Target="https://ext-web.ltl-xpo.com/public-app/shipments?referenceNumber=321377394&amp;_gl=1*t259k9*_gcl_au*NDI3NjEyOTY3LjE3NzA5OTIyMjguMjY3Mzc3NjkyLjE3NzY5NzQ3OTQuMTc3Njk3NTM5Mw.." TargetMode="External"/><Relationship Id="rId470" Type="http://schemas.openxmlformats.org/officeDocument/2006/relationships/hyperlink" Target="https://pittohio.com/myPittOhio/Shipping/LTL/tracerequest?pro=5057002076" TargetMode="External"/><Relationship Id="rId929" Type="http://schemas.openxmlformats.org/officeDocument/2006/relationships/hyperlink" Target="https://ext-web.ltl-xpo.com/public-app/shipments?referenceNumber=557740470&amp;_gl=1*bamhtm*_gcl_au*MTU4MjMwMTQ3MS4xNzg2NDYyODMwLjE5NTE0NDk2NTIuMTc5MDE4NzQ3NS4xNzkwMTg3NzgxLjE1ODE0MTU0MjEuMTc5MDE3MDU3OC4xNzkwMTg3Nzgx" TargetMode="External"/><Relationship Id="rId58" Type="http://schemas.openxmlformats.org/officeDocument/2006/relationships/hyperlink" Target="http://www.daytonfreight.com/Tracking/TrackingDetail.aspx?proNum=00034198959" TargetMode="External"/><Relationship Id="rId123" Type="http://schemas.openxmlformats.org/officeDocument/2006/relationships/hyperlink" Target="https://pittohio.com/myPittOhio/Shipping/LTL/tracerequest?pro=5055152059" TargetMode="External"/><Relationship Id="rId330" Type="http://schemas.openxmlformats.org/officeDocument/2006/relationships/hyperlink" Target="http://www.saia.com/Tracing/AjaxProstatusByPro.aspx?nh=N&amp;Pro=121500399300" TargetMode="External"/><Relationship Id="rId568" Type="http://schemas.openxmlformats.org/officeDocument/2006/relationships/hyperlink" Target="https://ext-web.ltl-xpo.com/public-app/shipments?referenceNumber=216804151&amp;_gl=1*1vqkx0i*_gcl_au*MTQ0NDI3MDM3My4xNzc2NDQyMDAzLjQ1MDIyNzc2MC4xNzgzOTcwNTExLjE3ODM5NzE4ODU." TargetMode="External"/><Relationship Id="rId775" Type="http://schemas.openxmlformats.org/officeDocument/2006/relationships/hyperlink" Target="https://tools.daytonfreight.com/tracking/detail/00034913574" TargetMode="External"/><Relationship Id="rId982" Type="http://schemas.openxmlformats.org/officeDocument/2006/relationships/hyperlink" Target="https://rxo.com/track/RXONC20O43GDE3SI26" TargetMode="External"/><Relationship Id="rId428" Type="http://schemas.openxmlformats.org/officeDocument/2006/relationships/hyperlink" Target="https://rxo.com/track/RXONC20O0JLA0H9F26" TargetMode="External"/><Relationship Id="rId635" Type="http://schemas.openxmlformats.org/officeDocument/2006/relationships/hyperlink" Target="https://ext-web.ltl-xpo.com/public-app/shipments?referenceNumber=216824366&amp;_gl=1*ddlo32*_gcl_au*ODY0MTMyMDc0LjE3ODQyMTg3NzkuMTg2ODA2MzQ1Ny4xNzg0ODI1Njk5LjE3ODQ4MzE0MzIuMTM0NjMxMTMzNC4xNzg0ODI5NDMzLjE3ODQ4MzE0MzI." TargetMode="External"/><Relationship Id="rId842" Type="http://schemas.openxmlformats.org/officeDocument/2006/relationships/hyperlink" Target="http://facts.dohrn.com/scripts/cgiip.exe/protraceext.htm?wpro=80642930" TargetMode="External"/><Relationship Id="rId274" Type="http://schemas.openxmlformats.org/officeDocument/2006/relationships/hyperlink" Target="https://ext-web.ltl-xpo.com/public-app/shipments?referenceNumber=321382062&amp;_gl=1*xa1r0f*_gcl_au*MTQ0NDI3MDM3My4xNzc2NDQyMDAzLjE4MTA2NzkxNTguMTc3NzM5MzU0OS4xNzc3Mzk1NDgx" TargetMode="External"/><Relationship Id="rId481" Type="http://schemas.openxmlformats.org/officeDocument/2006/relationships/hyperlink" Target="https://pittohio.com/myPittOhio/Shipping/LTL/tracerequest?pro=5057002097" TargetMode="External"/><Relationship Id="rId702" Type="http://schemas.openxmlformats.org/officeDocument/2006/relationships/hyperlink" Target="https://www.tforcefreight.com/ltl/apps/Tracking?proNumbers=376354510" TargetMode="External"/><Relationship Id="rId69" Type="http://schemas.openxmlformats.org/officeDocument/2006/relationships/hyperlink" Target="https://ext-web.ltl-xpo.com/public-app/shipments?referenceNumber=789787924&amp;_gl=1*r21nvw*_gcl_au*NzE3Njc0MDQ0LjE3Njc3MjI5MDAuMTQ5OTE1NTc0NS4xNzcxNTI2MzQ1LjE3NzE1MzA1MTA." TargetMode="External"/><Relationship Id="rId134" Type="http://schemas.openxmlformats.org/officeDocument/2006/relationships/hyperlink" Target="http://www.daytonfreight.com/Tracking/TrackingDetail.aspx?proNum=00034199338" TargetMode="External"/><Relationship Id="rId579" Type="http://schemas.openxmlformats.org/officeDocument/2006/relationships/hyperlink" Target="https://ext-web.ltl-xpo.com/public-app/shipments?referenceNumber=216808130&amp;_gl=1*6q00xi*_gcl_au*MTQ5ODM0NzM5Ni4xNzc4Njg2NzM2LjE3MTUyNzc5OS4xNzg0MTIxODI1LjE3ODQxMjUxNDk." TargetMode="External"/><Relationship Id="rId786" Type="http://schemas.openxmlformats.org/officeDocument/2006/relationships/hyperlink" Target="https://rxo.com/track/RXONC20OIAYCYJIH26" TargetMode="External"/><Relationship Id="rId993" Type="http://schemas.openxmlformats.org/officeDocument/2006/relationships/hyperlink" Target="https://rxo.com/track/RXONC20OBZEFJAUI26" TargetMode="External"/><Relationship Id="rId341" Type="http://schemas.openxmlformats.org/officeDocument/2006/relationships/hyperlink" Target="https://ext-web.ltl-xpo.com/public-app/shipments?referenceNumber=451213921&amp;_gl=1*we3pdq*_gcl_au*MTQ0NDI3MDM3My4xNzc2NDQyMDAzLjE3MzI2NDY1NDYuMTc3ODUzMDk4Mi4xNzc4NTMyNzUx" TargetMode="External"/><Relationship Id="rId439" Type="http://schemas.openxmlformats.org/officeDocument/2006/relationships/hyperlink" Target="https://ext-web.ltl-xpo.com/public-app/shipments?referenceNumber=163445925&amp;_gl=1*zdvzfs*_gcl_au*MTQ5ODM0NzM5Ni4xNzc4Njg2NzM2LjY4ODk0OTQyOS4xNzgxMTIxNjE5LjE3ODExMjQzOTQ." TargetMode="External"/><Relationship Id="rId646" Type="http://schemas.openxmlformats.org/officeDocument/2006/relationships/hyperlink" Target="https://ext-web.ltl-xpo.com/public-app/shipments?referenceNumber=216826271&amp;_gl=1*lw8g1m*_gcl_au*ODY0MTMyMDc0LjE3ODQyMTg3NzkuNTc3NjI3Mjk1LjE3ODQ4Mzc3MDkuMTc4NDgzOTk4My4xMzQ2MzExMzM0LjE3ODQ4Mjk0MzMuMTc4NDgzOTk4Mw.." TargetMode="External"/><Relationship Id="rId201" Type="http://schemas.openxmlformats.org/officeDocument/2006/relationships/hyperlink" Target="https://ext-web.ltl-xpo.com/public-app/shipments?referenceNumber=527664826&amp;_gl=1*iz09qh*_gcl_au*NDI3NjEyOTY3LjE3NzA5OTIyMjguMTExNjMyMjAwNC4xNzc1MjQ0NzEwLjE3NzUyNDkxNzY." TargetMode="External"/><Relationship Id="rId285" Type="http://schemas.openxmlformats.org/officeDocument/2006/relationships/hyperlink" Target="http://www.saia.com/Tracing/AjaxProstatusByPro.aspx?nh=N&amp;Pro=121499870403" TargetMode="External"/><Relationship Id="rId506" Type="http://schemas.openxmlformats.org/officeDocument/2006/relationships/hyperlink" Target="https://ext-web.ltl-xpo.com/public-app/shipments?referenceNumber=163475082&amp;_gl=1*1nadizj*_gcl_au*MTQ5ODM0NzM5Ni4xNzc4Njg2NzM2LjEwODEyMTg1ODkuMTc4MjUwMTc5NC4xNzgyNTAzODc2" TargetMode="External"/><Relationship Id="rId853" Type="http://schemas.openxmlformats.org/officeDocument/2006/relationships/hyperlink" Target="https://ext-web.ltl-xpo.com/public-app/shipments?referenceNumber=557706796&amp;_gl=1*srwsoq*_gcl_au*ODgwMzAyNjQ3LjE3ODY0NTQxMDguLS4tLjE3ODg0NTY3MDcuMTY2NTkyNTU2Mi4xNzg4NDQyODQ5LjE3ODg0NTk5ODU." TargetMode="External"/><Relationship Id="rId492" Type="http://schemas.openxmlformats.org/officeDocument/2006/relationships/hyperlink" Target="https://rxo.com/track/RXONC20OPFFCFVOF26" TargetMode="External"/><Relationship Id="rId713" Type="http://schemas.openxmlformats.org/officeDocument/2006/relationships/hyperlink" Target="https://ext-web.ltl-xpo.com/public-app/shipments?referenceNumber=216836933&amp;_gl=1*1q5kslh*_gcl_au*MTQ5ODM0NzM5Ni4xNzc4Njg2NzM2LjI2MTQyNzk1Mi4xNzg1NDM0NDkwLjE3ODU0MzY2NTkuODY5MDIwNzQ3LjE3ODU0MTk2MDMuMTc4NTQzNjcxMw.." TargetMode="External"/><Relationship Id="rId797" Type="http://schemas.openxmlformats.org/officeDocument/2006/relationships/hyperlink" Target="https://facts.dohrn.com/scripts/cgiip.exe/protraceext.htm?wpro=80642904" TargetMode="External"/><Relationship Id="rId920" Type="http://schemas.openxmlformats.org/officeDocument/2006/relationships/hyperlink" Target="https://ext-web.ltl-xpo.com/public-app/shipments?referenceNumber=557739070&amp;_gl=1*2dg728*_gcl_au*ODgwMzAyNjQ3LjE3ODY0NTQxMDguMTgzNTI5NDkwNS4xNzkwMTAwNjE0LjE3OTAxMDQyMTEuNDY4MjMwMDMzLjE3OTAwODUwOTQuMTc5MDEwNDI5MQ.." TargetMode="External"/><Relationship Id="rId145" Type="http://schemas.openxmlformats.org/officeDocument/2006/relationships/hyperlink" Target="http://www.saia.com/Tracing/AjaxProstatusByPro.aspx?nh=N&amp;Pro=12149759850" TargetMode="External"/><Relationship Id="rId352" Type="http://schemas.openxmlformats.org/officeDocument/2006/relationships/hyperlink" Target="https://rxo.com/track/RXONC20OGYYWGHDE26" TargetMode="External"/><Relationship Id="rId212" Type="http://schemas.openxmlformats.org/officeDocument/2006/relationships/hyperlink" Target="https://rxo.com/track/RXONC20OLDTD4G7D26" TargetMode="External"/><Relationship Id="rId657" Type="http://schemas.openxmlformats.org/officeDocument/2006/relationships/hyperlink" Target="https://ext-web.ltl-xpo.com/public-app/shipments?referenceNumber=216845263&amp;_gl=1*1st1dpw*_gcl_au*MTQ5ODM0NzM5Ni4xNzc4Njg2NzM2LjIwODU5MTM3MDcuMTc4NDkyNjIxNS4xNzg0OTI3MzY5LjczOTkwMTUuMTc4NDkwNTA4My4xNzg0OTI3MzY5" TargetMode="External"/><Relationship Id="rId864" Type="http://schemas.openxmlformats.org/officeDocument/2006/relationships/hyperlink" Target="http://www.daytonfreight.com/Tracking/TrackingDetail.aspx?proNum=00034913984" TargetMode="External"/><Relationship Id="rId296" Type="http://schemas.openxmlformats.org/officeDocument/2006/relationships/hyperlink" Target="https://rxo.com/track/RXONC20OHUHW5FUD26" TargetMode="External"/><Relationship Id="rId517" Type="http://schemas.openxmlformats.org/officeDocument/2006/relationships/hyperlink" Target="https://rxo.com/track/RXONC20O45CQDHTF26" TargetMode="External"/><Relationship Id="rId724" Type="http://schemas.openxmlformats.org/officeDocument/2006/relationships/hyperlink" Target="https://ext-web.ltl-xpo.com/public-app/shipments?referenceNumber=216841962&amp;_gl=1*1xrvet5*_gcl_au*MTQ5ODM0NzM5Ni4xNzc4Njg2NzM2LjUzMTI1NDE3MS4xNzg1ODY2NDcxLjE3ODU4Njc2MDYuMTg1MzQ2NjYzNC4xNzg1ODUwOTgyLjE3ODU4Njc2NjI." TargetMode="External"/><Relationship Id="rId931" Type="http://schemas.openxmlformats.org/officeDocument/2006/relationships/hyperlink" Target="https://ext-web.ltl-xpo.com/public-app/shipments?referenceNumber=557740912&amp;_gl=1*rdad55*_gcl_au*MTU4MjMwMTQ3MS4xNzg2NDYyODMwLjE5NTE0NDk2NTIuMTc5MDE4NzQ3NS4xNzkwMTg4NDg2LjE1ODE0MTU0MjEuMTc5MDE3MDU3OC4xNzkwMTg4NDg2" TargetMode="External"/><Relationship Id="rId60" Type="http://schemas.openxmlformats.org/officeDocument/2006/relationships/hyperlink" Target="https://ext-web.ltl-xpo.com/public-app/shipments?referenceNumber=789783816&amp;_gl=1*dnm3fp*_gcl_au*NzE3Njc0MDQ0LjE3Njc3MjI5MDAuODQyOTQ4OTMwLjE3NzEzNDM5MzIuMTc3MTM1NTI2OQ.." TargetMode="External"/><Relationship Id="rId156" Type="http://schemas.openxmlformats.org/officeDocument/2006/relationships/hyperlink" Target="https://ext-web.ltl-xpo.com/public-app/shipments?referenceNumber=527637504&amp;_gl=1*1uw1lus*_gcl_au*MTA5OTE3NzIyNi4xNzcyNjMzNDg1LjM5NzcwODQ2Ni4xNzc0MDE2MDQ2LjE3NzQwMTc3NDA." TargetMode="External"/><Relationship Id="rId363" Type="http://schemas.openxmlformats.org/officeDocument/2006/relationships/hyperlink" Target="https://www.oakh.com/quicktrace&amp;PRO=38845659" TargetMode="External"/><Relationship Id="rId570" Type="http://schemas.openxmlformats.org/officeDocument/2006/relationships/hyperlink" Target="http://www.daytonfreight.com/Tracking/TrackingDetail.aspx?proNum=00034913066" TargetMode="External"/><Relationship Id="rId1007" Type="http://schemas.openxmlformats.org/officeDocument/2006/relationships/hyperlink" Target="https://ext-web.ltl-xpo.com/public-app/shipments?referenceNumber=557743734&amp;_gl=1*1lmkqgw*_gcl_au*ODY0MTMyMDc0LjE3ODQyMTg3NzkuMTc4MDYyMDk1NS4xNzkwMzQ1OTIyLjE3OTAzNDgwOTYuMjM5OTg3MzkxLjE3OTAzNDU5MjIuMTc5MDM0ODA5Ng.." TargetMode="External"/><Relationship Id="rId223" Type="http://schemas.openxmlformats.org/officeDocument/2006/relationships/hyperlink" Target="https://rxo.com/track/RXONC20OEEPGYI8D26" TargetMode="External"/><Relationship Id="rId430" Type="http://schemas.openxmlformats.org/officeDocument/2006/relationships/hyperlink" Target="https://ext-web.ltl-xpo.com/public-app/shipments?referenceNumber=163445693&amp;_gl=1*7cnagm*_gcl_au*MTQ0NDI3MDM3My4xNzc2NDQyMDAzLjMwNDcyMDQyLjE3ODExMTc5OTMuMTc4MTExODg4MQ.." TargetMode="External"/><Relationship Id="rId668" Type="http://schemas.openxmlformats.org/officeDocument/2006/relationships/hyperlink" Target="https://pittohio.com/myPittOhio/Shipping/LTL/tracerequest?pro=5057002297" TargetMode="External"/><Relationship Id="rId875" Type="http://schemas.openxmlformats.org/officeDocument/2006/relationships/hyperlink" Target="http://www.odfl.com/trace/Trace.jsp?Type=P&amp;pronum=59739013205" TargetMode="External"/><Relationship Id="rId18" Type="http://schemas.openxmlformats.org/officeDocument/2006/relationships/hyperlink" Target="https://www.estes-express.com/myestes/shipment-tracking/?type=PRO&amp;query=0248881230%20&amp;submit=Submit" TargetMode="External"/><Relationship Id="rId528" Type="http://schemas.openxmlformats.org/officeDocument/2006/relationships/hyperlink" Target="https://ext-web.ltl-xpo.com/public-app/shipments?referenceNumber=163481474&amp;_gl=1*1f9td1v*_gcl_au*MTQ0NDI3MDM3My4xNzc2NDQyMDAzLjEwMzUzMjkwODIuMTc4Mjg1MDQ2OS4xNzgyODUxNzIx" TargetMode="External"/><Relationship Id="rId735" Type="http://schemas.openxmlformats.org/officeDocument/2006/relationships/hyperlink" Target="https://ext-web.ltl-xpo.com/public-app/shipments?referenceNumber=216844832&amp;_gl=1*1ktnkyc*_gcl_au*MTQ5ODM0NzM5Ni4xNzc4Njg2NzM2Ljc4MzIxMzcxMi4xNzg2MTEwMDI3LjE3ODYxMTE3MjQuMTkxMTI4NDI5My4xNzg2MTExNjQ5LjE3ODYxMTE3MjQ." TargetMode="External"/><Relationship Id="rId942" Type="http://schemas.openxmlformats.org/officeDocument/2006/relationships/hyperlink" Target="https://ext-web.ltl-xpo.com/public-app/shipments?referenceNumber=557742975&amp;_gl=1*10uc2pj*_gcl_au*ODY0MTMyMDc0LjE3ODQyMTg3NzkuMjEyODc1NzU2MS4xNzkwMjU3MDc2LjE3OTAyNTgyODMuMjA2ODY1NzUyOC4xNzkwMjU3MDc2LjE3OTAyNTgyODM." TargetMode="External"/><Relationship Id="rId167" Type="http://schemas.openxmlformats.org/officeDocument/2006/relationships/hyperlink" Target="https://ext-web.ltl-xpo.com/public-app/shipments?referenceNumber=527650104&amp;_gl=1*103r7oy*_gcl_au*MTA5OTE3NzIyNi4xNzcyNjMzNDg1LjE2MDg0MjcwNjkuMTc3NDUzMDk3Ni4xNzc0NTMzMjU2" TargetMode="External"/><Relationship Id="rId374" Type="http://schemas.openxmlformats.org/officeDocument/2006/relationships/hyperlink" Target="https://rxo.com/track/RXONC20OPZDF0QLE26" TargetMode="External"/><Relationship Id="rId581" Type="http://schemas.openxmlformats.org/officeDocument/2006/relationships/hyperlink" Target="https://ext-web.ltl-xpo.com/public-app/shipments?referenceNumber=216810554&amp;_gl=1*165wmko*_gcl_au*ODY0MTMyMDc0LjE3ODQyMTg3NzkuLS4tLjE3ODQzMTcyNTYuMTM1MjU1NTE5MS4xNzg0NDYyNDg0LjE3ODQ0NjI1NTk." TargetMode="External"/><Relationship Id="rId1018" Type="http://schemas.openxmlformats.org/officeDocument/2006/relationships/hyperlink" Target="https://ext-web.ltl-xpo.com/public-app/shipments?referenceNumber=557763581&amp;_gl=1*4edz2j*_gcl_au*ODY0MTMyMDc0LjE3ODQyMTg3NzkuMTQyMjQyNDUxMy4xNzkxMzE4MTA2LjE3OTEzMjAzNTguNjY3NzQ3NTM5LjE3OTEyOTI0OTYuMTc5MTMyMDM1OA.." TargetMode="External"/><Relationship Id="rId71" Type="http://schemas.openxmlformats.org/officeDocument/2006/relationships/hyperlink" Target="https://ext-web.ltl-xpo.com/public-app/shipments?referenceNumber=789788414&amp;_gl=1*1dgin5x*_gcl_au*NzE3Njc0MDQ0LjE3Njc3MjI5MDAuMTMyMTQ1ODk5OC4xNzcxNTM5OTgwLjE3NzE1NDAxMzU." TargetMode="External"/><Relationship Id="rId234" Type="http://schemas.openxmlformats.org/officeDocument/2006/relationships/hyperlink" Target="https://ext-web.ltl-xpo.com/public-app/shipments?referenceNumber=321364083&amp;_gl=1*c843vk*_gcl_au*MTA5OTE3NzIyNi4xNzcyNjMzNDg1Ljg1OTg2MjM5My4xNzc2MzY3Mzc2LjE3NzYzNjg3MTQ." TargetMode="External"/><Relationship Id="rId679" Type="http://schemas.openxmlformats.org/officeDocument/2006/relationships/hyperlink" Target="https://ext-web.ltl-xpo.com/public-app/shipments?referenceNumber=216831904&amp;_gl=1*2nlvsk*_gcl_au*ODY0MTMyMDc0LjE3ODQyMTg3NzkuMTg2MDU0MDgzNS4xNzg1MjU0NDI5LjE3ODUyNTQ2NDguNTMyMjM2MDY5LjE3ODUyNDM4OTcuMTc4NTI1NDczMA.." TargetMode="External"/><Relationship Id="rId802" Type="http://schemas.openxmlformats.org/officeDocument/2006/relationships/hyperlink" Target="https://ext-web.ltl-xpo.com/public-app/shipments?referenceNumber=216871771&amp;_gl=1*1x083hb*_gcl_au*ODY0MTMyMDc0LjE3ODQyMTg3NzkuMTU5NDg5OTI5Ny4xNzg3MjM3MjY0LjE3ODcyMzgwNjQuMTE5ODU1MjY3My4xNzg3MTU3NTM5LjE3ODcyMzgwNjQ." TargetMode="External"/><Relationship Id="rId886" Type="http://schemas.openxmlformats.org/officeDocument/2006/relationships/hyperlink" Target="https://rxo.com/track/RXONC20OHGSCZIFI26" TargetMode="External"/><Relationship Id="rId2" Type="http://schemas.openxmlformats.org/officeDocument/2006/relationships/hyperlink" Target="https://ext-web.ltl-xpo.com/public-app/shipments?referenceNumber=138875365&amp;_gl=1*nmulpm*_gcl_au*NTc0MjQ1MzM4LjE3NTk5NDU0MzguMjA4MDM1MTUxNi4xNzY3MjA2NTYyLjE3NjcyMDY5Mzk." TargetMode="External"/><Relationship Id="rId29" Type="http://schemas.openxmlformats.org/officeDocument/2006/relationships/hyperlink" Target="https://rxo.com/track/RXONC20O11YRIYTA26" TargetMode="External"/><Relationship Id="rId441" Type="http://schemas.openxmlformats.org/officeDocument/2006/relationships/hyperlink" Target="https://rxo.com/track/RXONC20O1NEQMTCF26" TargetMode="External"/><Relationship Id="rId539" Type="http://schemas.openxmlformats.org/officeDocument/2006/relationships/hyperlink" Target="https://ext-web.ltl-xpo.com/public-app/shipments?referenceNumber=163487321&amp;_gl=1*1otc9gn*_gcl_au*MTQ5ODM0NzM5Ni4xNzc4Njg2NzM2LjEzMTYyNTk4ODIuMTc4MzAxMTk1Ny4xNzgzMDEzMzg5" TargetMode="External"/><Relationship Id="rId746" Type="http://schemas.openxmlformats.org/officeDocument/2006/relationships/hyperlink" Target="https://ext-web.ltl-xpo.com/public-app/shipments?referenceNumber=216855833&amp;_gl=1*yhim6n*_gcl_au*ODY0MTMyMDc0LjE3ODQyMTg3NzkuLS4tLjE3ODY0ODAzODYuMTI4MjY4OTI2LjE3ODY1NDM1NzUuMTc4NjU0MzU3NQ.." TargetMode="External"/><Relationship Id="rId178" Type="http://schemas.openxmlformats.org/officeDocument/2006/relationships/hyperlink" Target="https://www.saia.com/tracing/ajaxprostatusbypro.aspx?nh=N&amp;Pro=121498215805" TargetMode="External"/><Relationship Id="rId301" Type="http://schemas.openxmlformats.org/officeDocument/2006/relationships/hyperlink" Target="https://rxo.com/track/RXONC20OGTDXSG6E26" TargetMode="External"/><Relationship Id="rId953" Type="http://schemas.openxmlformats.org/officeDocument/2006/relationships/hyperlink" Target="https://ext-web.ltl-xpo.com/public-app/shipments?referenceNumber=557742463&amp;_gl=1*9kqzk3*_gcl_au*ODgwMzAyNjQ3LjE3ODY0NTQxMDguMTkxMTM5MTU0Mi4xNzkwMjczMDU5LjE3OTAyNzQwMzUuMTA5MDUyNjQ1MC4xNzkwMjU1NDUzLjE3OTAyNzQwMzU." TargetMode="External"/><Relationship Id="rId1029" Type="http://schemas.openxmlformats.org/officeDocument/2006/relationships/hyperlink" Target="https://ext-web.ltl-xpo.com/public-app/shipments?referenceNumber=557773215&amp;_gl=1*i7yb9f*_gcl_au*MTU4MjMwMTQ3MS4xNzg2NDYyODMwLjEyOTE4ODk1MTYuMTc5MTgxMTIyOS4xNzkxODExNjQzLjI0MzQxMTg3MS4xNzkxODExMDE2LjE3OTE4MTE2NDM." TargetMode="External"/><Relationship Id="rId82" Type="http://schemas.openxmlformats.org/officeDocument/2006/relationships/hyperlink" Target="https://polaristransport.com/en/trace-polaris.php?pro=P3128748" TargetMode="External"/><Relationship Id="rId385" Type="http://schemas.openxmlformats.org/officeDocument/2006/relationships/hyperlink" Target="https://ext-web.ltl-xpo.com/public-app/shipments?referenceNumber=451239121&amp;_gl=1*1jp1dsb*_gcl_au*MTQ5ODM0NzM5Ni4xNzc4Njg2NzM2LjE0OTQ0MDAyMDIuMTc3OTg5MjMxNi4xNzc5ODkyNjQ4" TargetMode="External"/><Relationship Id="rId592" Type="http://schemas.openxmlformats.org/officeDocument/2006/relationships/hyperlink" Target="https://pittohio.com/myPittOhio/Shipping/LTL/tracerequest?pro=5057002599" TargetMode="External"/><Relationship Id="rId606" Type="http://schemas.openxmlformats.org/officeDocument/2006/relationships/hyperlink" Target="https://tools.daytonfreight.com/tracking/detail/00034913143" TargetMode="External"/><Relationship Id="rId813" Type="http://schemas.openxmlformats.org/officeDocument/2006/relationships/hyperlink" Target="https://ext-web.ltl-xpo.com/public-app/shipments?referenceNumber=216876962&amp;_gl=1*vr0ohy*_gcl_au*MTU4MjMwMTQ3MS4xNzg2NDYyODMwLjYwMjc4MjIwNy4xNzg3NTk4MjM5LjE3ODc1OTgzNjIuMjAxNTExNzU2MC4xNzg3NTc3MjMyLjE3ODc1OTgzNjI." TargetMode="External"/><Relationship Id="rId245" Type="http://schemas.openxmlformats.org/officeDocument/2006/relationships/hyperlink" Target="https://rxo.com/track/RXONC20OPLYEPAHD26" TargetMode="External"/><Relationship Id="rId452" Type="http://schemas.openxmlformats.org/officeDocument/2006/relationships/hyperlink" Target="https://ext-web.ltl-xpo.com/public-app/shipments?referenceNumber=163455725&amp;_gl=1*13hdnun*_gcl_au*MTQ5ODM0NzM5Ni4xNzc4Njg2NzM2LjE5NzkyMDM1MDcuMTc4MTYyNTEwOC4xNzgxNjI1MTY3" TargetMode="External"/><Relationship Id="rId897" Type="http://schemas.openxmlformats.org/officeDocument/2006/relationships/hyperlink" Target="https://ext-web.ltl-xpo.com/public-app/shipments?referenceNumber=557729071&amp;_gl=1*er34ou*_gcl_au*ODgwMzAyNjQ3LjE3ODY0NTQxMDguMjExMDIwMTI3NC4xNzg5NjUwNTU4LjE3ODk2NTI3NzkuNTEyNjk4OTA5LjE3ODk2NTEwOTkuMTc4OTY1Mjc3OQ.." TargetMode="External"/><Relationship Id="rId105" Type="http://schemas.openxmlformats.org/officeDocument/2006/relationships/hyperlink" Target="http://www.saia.com/Tracing/AjaxProstatusByPro.aspx?nh=N&amp;Pro=121496837101" TargetMode="External"/><Relationship Id="rId312" Type="http://schemas.openxmlformats.org/officeDocument/2006/relationships/hyperlink" Target="https://ext-web.ltl-xpo.com/public-app/shipments?referenceNumber=321400376&amp;_gl=1*1ti5fqd*_gcl_au*NDI3NjEyOTY3LjE3NzA5OTIyMjguMTI5MTU0NDAzNS4xNzc4MTU5OTA2LjE3NzgxNjAyMDI." TargetMode="External"/><Relationship Id="rId757" Type="http://schemas.openxmlformats.org/officeDocument/2006/relationships/hyperlink" Target="https://ext-web.ltl-xpo.com/public-app/shipments?referenceNumber=216860206&amp;_gl=1*1st40qv*_gcl_au*ODY0MTMyMDc0LjE3ODQyMTg3NzkuMjQ5NDAxODkyLjE3ODY2MzkwMjUuMTc4NjY0MjQxOS41MTMwMjA3MzAuMTc4NjYzMzk4My4xNzg2NjQyNjM0" TargetMode="External"/><Relationship Id="rId964" Type="http://schemas.openxmlformats.org/officeDocument/2006/relationships/hyperlink" Target="https://ext-web.ltl-xpo.com/public-app/shipments?referenceNumber=557743944&amp;_gl=1*1uxszgx*_gcl_au*ODgwMzAyNjQ3LjE3ODY0NTQxMDguNDYyMDcyNjg5LjE3OTAzNDE0OTUuMTc5MDM0NTgyOC41NjMxMzI2NTguMTc5MDM0MjI2MS4xNzkwMzQ1ODI4" TargetMode="External"/><Relationship Id="rId93" Type="http://schemas.openxmlformats.org/officeDocument/2006/relationships/hyperlink" Target="https://rxo.com/track/RXONC20OVDUCWGPB26" TargetMode="External"/><Relationship Id="rId189" Type="http://schemas.openxmlformats.org/officeDocument/2006/relationships/hyperlink" Target="https://ext-web.ltl-xpo.com/public-app/shipments?referenceNumber=527660980&amp;_gl=1*1mw81wo*_gcl_au*MTA5OTE3NzIyNi4xNzcyNjMzNDg1LjM2Njk0MTI2OC4xNzc1MDcwNjE4LjE3NzUwNzE5NDM." TargetMode="External"/><Relationship Id="rId396" Type="http://schemas.openxmlformats.org/officeDocument/2006/relationships/hyperlink" Target="https://ext-web.ltl-xpo.com/public-app/shipments?referenceNumber=381-520812&amp;_gl=1*kzp5pn*_gcl_au*MTQ0NDI3MDM3My4xNzc2NDQyMDAzLjE1MzcyMzM2OTYuMTc4MDk0OTU4NS4xNzgwOTQ5NTg0" TargetMode="External"/><Relationship Id="rId617" Type="http://schemas.openxmlformats.org/officeDocument/2006/relationships/hyperlink" Target="https://ext-web.ltl-xpo.com/public-app/shipments?referenceNumber=216818873&amp;_gl=1*gwwdki*_gcl_au*MTQ5ODM0NzM5Ni4xNzc4Njg2NzM2LjIxMjE4NTg1MTIuMTc4NDY1ODg3MC4xNzg0NjYwNzc2LjIyOTM3MzMwMy4xNzg0NjQzNDA1LjE3ODQ2NjA3NzY." TargetMode="External"/><Relationship Id="rId824" Type="http://schemas.openxmlformats.org/officeDocument/2006/relationships/hyperlink" Target="https://ext-web.ltl-xpo.com/public-app/shipments?referenceNumber=557691120&amp;_gl=1*izcqw0*_gcl_au*MTU4MjMwMTQ3MS4xNzg2NDYyODMwLjExODE5OTg4NDcuMTc4Nzc1Mzc2OS4xNzg3NzU1MTQwLjE0MDM4ODcyNDYuMTc4Nzc1MDY5OS4xNzg3NzU1MjE5" TargetMode="External"/><Relationship Id="rId256" Type="http://schemas.openxmlformats.org/officeDocument/2006/relationships/hyperlink" Target="https://rxo.com/track/RXONC20OFO4WXLMD26" TargetMode="External"/><Relationship Id="rId463" Type="http://schemas.openxmlformats.org/officeDocument/2006/relationships/hyperlink" Target="https://ext-web.ltl-xpo.com/public-app/shipments?referenceNumber=163456882&amp;_gl=1*lw70ff*_gcl_au*MTQ0NDI3MDM3My4xNzc2NDQyMDAzLjQwMDQ2NjMwNi4xNzgxNjM4OTE4LjE3ODE2Mzk1OTE." TargetMode="External"/><Relationship Id="rId670" Type="http://schemas.openxmlformats.org/officeDocument/2006/relationships/hyperlink" Target="https://ext-web.ltl-xpo.com/public-app/shipments?referenceNumber=216838366&amp;_gl=1*ebm5lk*_gcl_au*MTQ5ODM0NzM5Ni4xNzc4Njg2NzM2LjEyMzIwODc5MS4xNzg1MTc5NzMzLjE3ODUxODAyNDMuNzk2MzcxMzY1LjE3ODUxNTQ2MTIuMTc4NTE4MDI0Mw.." TargetMode="External"/><Relationship Id="rId116" Type="http://schemas.openxmlformats.org/officeDocument/2006/relationships/hyperlink" Target="http://www.saia.com/Tracing/AjaxProstatusByPro.aspx?nh=N&amp;Pro=121497529906" TargetMode="External"/><Relationship Id="rId323" Type="http://schemas.openxmlformats.org/officeDocument/2006/relationships/hyperlink" Target="https://ext-web.ltl-xpo.com/public-app/shipments?referenceNumber=321401743&amp;_gl=1*8p1ga2*_gcl_au*MTQ0NDI3MDM3My4xNzc2NDQyMDAzLjgxNzI3OTQyLjE3NzgxODA2MjYuMTc3ODE4NDAzNg.." TargetMode="External"/><Relationship Id="rId530" Type="http://schemas.openxmlformats.org/officeDocument/2006/relationships/hyperlink" Target="https://www.tforcefreight.com/ltl/apps/Tracking?proNumbers=357973943" TargetMode="External"/><Relationship Id="rId768" Type="http://schemas.openxmlformats.org/officeDocument/2006/relationships/hyperlink" Target="https://ext-web.ltl-xpo.com/public-app/shipments?referenceNumber=216861573&amp;_gl=1*1g8youv*_gcl_au*MTU4MjMwMTQ3MS4xNzg2NDYyODMwLi0uLS4xNzg2NzE4ODQ4LjEyOTgwODI5NTIuMTc4NjYzOTcxNy4xNzg2NzIwOTU0" TargetMode="External"/><Relationship Id="rId975" Type="http://schemas.openxmlformats.org/officeDocument/2006/relationships/hyperlink" Target="https://ext-web.ltl-xpo.com/public-app/shipments?referenceNumber=557744692&amp;_gl=1*1k2vxri*_gcl_au*ODgwMzAyNjQ3LjE3ODY0NTQxMDguMTk3Nzc4NTI1OC4xNzkwMzUwNzAwLjE3OTAzNTE3NjEuNTYzMTMyNjU4LjE3OTAzNDIyNjEuMTc5MDM1MTc2MQ.." TargetMode="External"/><Relationship Id="rId20" Type="http://schemas.openxmlformats.org/officeDocument/2006/relationships/hyperlink" Target="https://ext-web.ltl-xpo.com/public-app/shipments?referenceNumber=138899902&amp;_gl=1*1q3cg3p*_gcl_au*NzE3Njc0MDQ0LjE3Njc3MjI5MDAuMTk3MzA4NTYzNi4xNzY4OTM0MTA2LjE3Njg5MzY1NzE." TargetMode="External"/><Relationship Id="rId628" Type="http://schemas.openxmlformats.org/officeDocument/2006/relationships/hyperlink" Target="https://ext-web.ltl-xpo.com/public-app/shipments?referenceNumber=216823832&amp;_gl=1*1ersmqr*_gcl_au*MTQ5ODM0NzM5Ni4xNzc4Njg2NzM2LjE3Mzg0MjM2MTYuMTc4NDgyMjUxNC4xNzg0ODI0ODA3LjU0OTI4NTQ2LjE3ODQ4MTgwNzUuMTc4NDgyNDgwNw.." TargetMode="External"/><Relationship Id="rId835" Type="http://schemas.openxmlformats.org/officeDocument/2006/relationships/hyperlink" Target="https://ext-web.ltl-xpo.com/public-app/shipments?referenceNumber=557692144&amp;_gl=1*d3274m*_gcl_au*ODgwMzAyNjQ3LjE3ODY0NTQxMDguODI3MzMzNTM2LjE3ODc3NjQ3NjQuMTc4Nzc2NTMyOS4yMDY0NzE5NjA4LjE3ODc3NDk1NDQuMTc4Nzc2NTMyOQ.." TargetMode="External"/><Relationship Id="rId267" Type="http://schemas.openxmlformats.org/officeDocument/2006/relationships/hyperlink" Target="https://ext-web.ltl-xpo.com/public-app/shipments?referenceNumber=321378444&amp;_gl=1*198z3uf*_gcl_au*MTQ0NDI3MDM3My4xNzc2NDQyMDAzLjE5OTgyMTE5NzcuMTc3NzA2NDg1Mi4xNzc3MDY0ODUx" TargetMode="External"/><Relationship Id="rId474" Type="http://schemas.openxmlformats.org/officeDocument/2006/relationships/hyperlink" Target="https://rxo.com/track/RXONC20O5CW5GQHF26" TargetMode="External"/><Relationship Id="rId1020" Type="http://schemas.openxmlformats.org/officeDocument/2006/relationships/hyperlink" Target="http://www.daytonfreight.com/Tracking/TrackingDetail.aspx?proNum=00037410853" TargetMode="External"/><Relationship Id="rId127" Type="http://schemas.openxmlformats.org/officeDocument/2006/relationships/hyperlink" Target="http://www.saia.com/Tracing/AjaxProstatusByPro.aspx?nh=N&amp;Pro=121497288702" TargetMode="External"/><Relationship Id="rId681" Type="http://schemas.openxmlformats.org/officeDocument/2006/relationships/hyperlink" Target="https://ext-web.ltl-xpo.com/public-app/shipments?referenceNumber=216833271&amp;_gl=1*njd1yz*_gcl_au*ODY0MTMyMDc0LjE3ODQyMTg3NzkuNjkwOTM4MzkxLjE3ODUyNTQ0MjkuMTc4NTI1NTUzMi41MzIyMzYwNjkuMTc4NTI0Mzg5Ny4xNzg1MjU1NTMy" TargetMode="External"/><Relationship Id="rId779" Type="http://schemas.openxmlformats.org/officeDocument/2006/relationships/hyperlink" Target="https://rxo.com/track/RXONC20O2CVCAPHH26" TargetMode="External"/><Relationship Id="rId902" Type="http://schemas.openxmlformats.org/officeDocument/2006/relationships/hyperlink" Target="http://www.daytonfreight.com/Tracking/TrackingDetail.aspx?proNum=00034914171" TargetMode="External"/><Relationship Id="rId986" Type="http://schemas.openxmlformats.org/officeDocument/2006/relationships/hyperlink" Target="https://tools.daytonfreight.com/tracking/detail/00034914310" TargetMode="External"/><Relationship Id="rId31" Type="http://schemas.openxmlformats.org/officeDocument/2006/relationships/hyperlink" Target="https://ext-web.ltl-xpo.com/public-app/shipments?referenceNumber=317980666&amp;_gl=1*179q6aj*_gcl_au*NzE3Njc0MDQ0LjE3Njc3MjI5MDAuOTAzNzY0NDA4LjE3Njk4MTgzNDAuMTc2OTgxODM3OA.." TargetMode="External"/><Relationship Id="rId334" Type="http://schemas.openxmlformats.org/officeDocument/2006/relationships/hyperlink" Target="https://ext-web.ltl-xpo.com/public-app/shipments?referenceNumber=321404366&amp;_gl=1*1rd0c1u*_gcl_au*NDI3NjEyOTY3LjE3NzA5OTIyMjguMTgzMDYwNDM5NC4xNzc4MjY2NjUwLjE3NzgyNjc0NzQ." TargetMode="External"/><Relationship Id="rId541" Type="http://schemas.openxmlformats.org/officeDocument/2006/relationships/hyperlink" Target="https://rxo.com/track/RXONC20OBHLJTI6G26" TargetMode="External"/><Relationship Id="rId639" Type="http://schemas.openxmlformats.org/officeDocument/2006/relationships/hyperlink" Target="https://ext-web.ltl-xpo.com/public-app/shipments?referenceNumber=101-091572" TargetMode="External"/><Relationship Id="rId180" Type="http://schemas.openxmlformats.org/officeDocument/2006/relationships/hyperlink" Target="http://www.saia.com/Tracing/AjaxProstatusByPro.aspx?nh=N&amp;Pro=121498113100" TargetMode="External"/><Relationship Id="rId278" Type="http://schemas.openxmlformats.org/officeDocument/2006/relationships/hyperlink" Target="https://ext-web.ltl-xpo.com/public-app/shipments?referenceNumber=321384276&amp;_gl=1*wipotb*_gcl_au*NDI3NjEyOTY3LjE3NzA5OTIyMjguMTAyNzU0NDkyOS4xNzc3MzkwNTQ0LjE3NzczOTEyMTM." TargetMode="External"/><Relationship Id="rId401" Type="http://schemas.openxmlformats.org/officeDocument/2006/relationships/hyperlink" Target="https://ext-web.ltl-xpo.com/public-app/shipments?referenceNumber=451246386&amp;_gl=1*xic8j*_gcl_au*MTQ5ODM0NzM5Ni4xNzc4Njg2NzM2LjEyNjE2NDEwMjcuMTc4MDA4MDUyMi4xNzgwMDgwNzQw" TargetMode="External"/><Relationship Id="rId846" Type="http://schemas.openxmlformats.org/officeDocument/2006/relationships/hyperlink" Target="https://rxo.com/track/RXONC20OGNN4ZVOF26" TargetMode="External"/><Relationship Id="rId1031" Type="http://schemas.openxmlformats.org/officeDocument/2006/relationships/hyperlink" Target="https://pittohio.com/myPittOhio/Shipping/LTL/tracerequest?pro=5057003053" TargetMode="External"/><Relationship Id="rId485" Type="http://schemas.openxmlformats.org/officeDocument/2006/relationships/hyperlink" Target="http://www.daytonfreight.com/Tracking/TrackingDetail.aspx?proNum=34912735" TargetMode="External"/><Relationship Id="rId692" Type="http://schemas.openxmlformats.org/officeDocument/2006/relationships/hyperlink" Target="https://ext-web.ltl-xpo.com/public-app/shipments?referenceNumber=216840551&amp;_gl=1*z4p9cw*_gcl_au*ODY0MTMyMDc0LjE3ODQyMTg3NzkuMTIyNTk2OTQzNS4xNzg1MjY4MDQ4LjE3ODUyNzI4NzAuNTMyMjM2MDY5LjE3ODUyNDM4OTcuMTc4NTI3Mjg3MA.." TargetMode="External"/><Relationship Id="rId706" Type="http://schemas.openxmlformats.org/officeDocument/2006/relationships/hyperlink" Target="https://rxo.com/track/RXONC20OAAW3CRTG26" TargetMode="External"/><Relationship Id="rId913" Type="http://schemas.openxmlformats.org/officeDocument/2006/relationships/hyperlink" Target="https://rxo.com/track/RXONC20OINDBHHMI26" TargetMode="External"/><Relationship Id="rId42" Type="http://schemas.openxmlformats.org/officeDocument/2006/relationships/hyperlink" Target="https://ext-web.ltl-xpo.com/public-app/shipments?referenceNumber=138919222&amp;_gl=1*1xmmfa*_gcl_au*NzE3Njc0MDQ0LjE3Njc3MjI5MDAuMjEwMjgyNDQuMTc3MDEzODY1NC4xNzcwMTM4NzI5" TargetMode="External"/><Relationship Id="rId138" Type="http://schemas.openxmlformats.org/officeDocument/2006/relationships/hyperlink" Target="http://www.daytonfreight.com/Tracking/TrackingDetail.aspx?proNum=34199527" TargetMode="External"/><Relationship Id="rId345" Type="http://schemas.openxmlformats.org/officeDocument/2006/relationships/hyperlink" Target="http://www.saia.com/Tracing/AjaxProstatusByPro.aspx?nh=N&amp;Pro=121500540902" TargetMode="External"/><Relationship Id="rId552" Type="http://schemas.openxmlformats.org/officeDocument/2006/relationships/hyperlink" Target="https://ext-web.ltl-xpo.com/public-app/shipments?referenceNumber=216800006&amp;_gl=1*9ahv5m*_gcl_au*MTQ5ODM0NzM5Ni4xNzc4Njg2NzM2LjE0MzQ5NTUxODUuMTc4MzYyMzI0OS4xNzgzNjI0Mzc3" TargetMode="External"/><Relationship Id="rId997" Type="http://schemas.openxmlformats.org/officeDocument/2006/relationships/hyperlink" Target="https://rxo.com/track/RXONC20O52APYZ1J26" TargetMode="External"/><Relationship Id="rId191" Type="http://schemas.openxmlformats.org/officeDocument/2006/relationships/hyperlink" Target="https://tools.daytonfreight.com/tracking/detail/00034911449" TargetMode="External"/><Relationship Id="rId205" Type="http://schemas.openxmlformats.org/officeDocument/2006/relationships/hyperlink" Target="https://rxo.com/track/RXONC20OWZ1PB07D26" TargetMode="External"/><Relationship Id="rId412" Type="http://schemas.openxmlformats.org/officeDocument/2006/relationships/hyperlink" Target="https://ext-web.ltl-xpo.com/public-app/shipments?referenceNumber=451253611&amp;_gl=1*16c3785*_gcl_au*MTQ0NDI3MDM3My4xNzc2NDQyMDAzLjIwMjA3MTM5NDMuMTc4MDUxMTIwMy4xNzgwNTExNDgz" TargetMode="External"/><Relationship Id="rId857" Type="http://schemas.openxmlformats.org/officeDocument/2006/relationships/hyperlink" Target="https://ext-web.ltl-xpo.com/public-app/shipments?referenceNumber=557706800&amp;_gl=1*bu2wq9*_gcl_au*MTU4MjMwMTQ3MS4xNzg2NDYyODMwLi0uLS4xNzg4NTMyMDA0LjQ1MTE3NjcwMC4xNzg4NTI5MjQ2LjE3ODg1Mzc0NzE." TargetMode="External"/><Relationship Id="rId289" Type="http://schemas.openxmlformats.org/officeDocument/2006/relationships/hyperlink" Target="https://ext-web.ltl-xpo.com/public-app/shipments?referenceNumber=321388200&amp;_gl=1*3zfzbb*_gcl_au*MTc1OTAzNzIyOS4xNzc1NDk5NDI2LjEzNjg0Njc5NzguMTc3NzQ4NjczMS4xNzc3NDk1OTk3" TargetMode="External"/><Relationship Id="rId496" Type="http://schemas.openxmlformats.org/officeDocument/2006/relationships/hyperlink" Target="https://ext-web.ltl-xpo.com/public-app/shipments?referenceNumber=163471103&amp;_gl=1*1jfyslg*_gcl_au*MTQ0NDI3MDM3My4xNzc2NDQyMDAzLjkwNzc3NzY5MS4xNzgyMzIwMjA3LjE3ODIzMjMyMjI." TargetMode="External"/><Relationship Id="rId717" Type="http://schemas.openxmlformats.org/officeDocument/2006/relationships/hyperlink" Target="https://ext-web.ltl-xpo.com/public-app/shipments?referenceNumber=216833024&amp;_gl=1*e0fjk8*_gcl_au*ODY0MTMyMDc0LjE3ODQyMTg3NzkuNTM0NzE3OTA3LjE3ODU1MjUyMjIuMTc4NTUyNTIyMS40NzM1OTk4MTkuMTc4NTUxMDY5Ny4xNzg1NTI1Mjc1" TargetMode="External"/><Relationship Id="rId924" Type="http://schemas.openxmlformats.org/officeDocument/2006/relationships/hyperlink" Target="https://ext-web.ltl-xpo.com/public-app/shipments?referenceNumber=557738322&amp;_gl=1*f7q37y*_gcl_au*ODgwMzAyNjQ3LjE3ODY0NTQxMDguMzc3NzIwNjk0LjE3OTAxMTE4MDYuMTc5MDExMjAzMi40NjgyMzAwMzMuMTc5MDA4NTA5NC4xNzkwMTEyMDMy" TargetMode="External"/><Relationship Id="rId53" Type="http://schemas.openxmlformats.org/officeDocument/2006/relationships/hyperlink" Target="http://www.saia.com/Tracing/AjaxProstatusByPro.aspx?nh=N&amp;Pro=121496307403" TargetMode="External"/><Relationship Id="rId149" Type="http://schemas.openxmlformats.org/officeDocument/2006/relationships/hyperlink" Target="http://www.polaristransport.com/en/P3146738" TargetMode="External"/><Relationship Id="rId356" Type="http://schemas.openxmlformats.org/officeDocument/2006/relationships/hyperlink" Target="http://www.saia.com/Tracing/AjaxProstatusByPro.aspx?nh=N&amp;Pro=121500618400" TargetMode="External"/><Relationship Id="rId563" Type="http://schemas.openxmlformats.org/officeDocument/2006/relationships/hyperlink" Target="https://rxo.com/track/RXONC20OVJWP20AG26" TargetMode="External"/><Relationship Id="rId770" Type="http://schemas.openxmlformats.org/officeDocument/2006/relationships/hyperlink" Target="https://ext-web.ltl-xpo.com/public-app/shipments?referenceNumber=216861901&amp;_gl=1*ilz0x*_gcl_au*ODgwMzAyNjQ3LjE3ODY0NTQxMDguMjYyOTQzODY4LjE3ODY3MTcxNjQuMTc4NjcxODkyNC4xMjEyMzg0MDQ5LjE3ODY3MTcxNjQuMTc4NjcxODkyNA.." TargetMode="External"/><Relationship Id="rId216" Type="http://schemas.openxmlformats.org/officeDocument/2006/relationships/hyperlink" Target="https://rxo.com/track/RXONC20O4HPYAG7D26" TargetMode="External"/><Relationship Id="rId423" Type="http://schemas.openxmlformats.org/officeDocument/2006/relationships/hyperlink" Target="https://tools.daytonfreight.com/tracking/detail/00034912482" TargetMode="External"/><Relationship Id="rId868" Type="http://schemas.openxmlformats.org/officeDocument/2006/relationships/hyperlink" Target="https://rxo.com/track/RXONC20OKAF4P34I26" TargetMode="External"/><Relationship Id="rId630" Type="http://schemas.openxmlformats.org/officeDocument/2006/relationships/hyperlink" Target="https://ext-web.ltl-xpo.com/public-app/shipments?referenceNumber=216824053&amp;_gl=1*12zv2fk*_gcl_au*ODY0MTMyMDc0LjE3ODQyMTg3NzkuMTg2ODA2MzQ1Ny4xNzg0ODI1Njk5LjE3ODQ4Mjc4MTguMjQwMDExNTcuMTc4NDc0MjY2OS4xNzg0ODI3ODE4" TargetMode="External"/><Relationship Id="rId728" Type="http://schemas.openxmlformats.org/officeDocument/2006/relationships/hyperlink" Target="https://ext-web.ltl-xpo.com/public-app/shipments?referenceNumber=216828194&amp;_gl=1*9hqi94*_gcl_au*MTQ5ODM0NzM5Ni4xNzc4Njg2NzM2LjExMTk4ODIzMjguMTc4NTk0Mzk0My4xNzg1OTQ1NTYyLjMwMzYzMzQxNi4xNzg1OTM3NTM3LjE3ODU5NDU1NjI." TargetMode="External"/><Relationship Id="rId935" Type="http://schemas.openxmlformats.org/officeDocument/2006/relationships/hyperlink" Target="https://ext-web.ltl-xpo.com/public-app/shipments?referenceNumber=557740794&amp;_gl=1*14priaj*_gcl_au*ODY0MTMyMDc0LjE3ODQyMTg3NzkuMTY4OTA4MjU4My4xNzkwMTkxNzY4LjE3OTAxOTIwMDMuNDkzODUxNTUzLjE3OTAxNjk2MTUuMTc5MDE5MjAwMw.." TargetMode="External"/><Relationship Id="rId64" Type="http://schemas.openxmlformats.org/officeDocument/2006/relationships/hyperlink" Target="https://ext-web.ltl-xpo.com/public-app/shipments?referenceNumber=789783923&amp;_gl=1*1dcx9wr*_gcl_au*NzE3Njc0MDQ0LjE3Njc3MjI5MDAuODQyOTQ4OTMwLjE3NzEzNDM5MzIuMTc3MTM1NTI2OQ.." TargetMode="External"/><Relationship Id="rId367" Type="http://schemas.openxmlformats.org/officeDocument/2006/relationships/hyperlink" Target="https://ext-web.ltl-xpo.com/public-app/shipments?referenceNumber=451230264&amp;_gl=1*1471viv*_gcl_au*MTQ5ODM0NzM5Ni4xNzc4Njg2NzM2LjExODkzMDAxMDAuMTc3OTM3MjY1OS4xNzc5Mzc0NDY0" TargetMode="External"/><Relationship Id="rId574" Type="http://schemas.openxmlformats.org/officeDocument/2006/relationships/hyperlink" Target="http://www.daytonfreight.com/Tracking/TrackingDetail.aspx?proNum=00034913067" TargetMode="External"/><Relationship Id="rId227" Type="http://schemas.openxmlformats.org/officeDocument/2006/relationships/hyperlink" Target="https://ext-web.ltl-xpo.com/public-app/shipments?referenceNumber=321357072&amp;_gl=1*1e78rxh*_gcl_au*MTA5OTE3NzIyNi4xNzcyNjMzNDg1LjE4NTYyNDY2ODQuMTc3NjEwOTM5Ny4xNzc2MTA5NzQ5" TargetMode="External"/><Relationship Id="rId781" Type="http://schemas.openxmlformats.org/officeDocument/2006/relationships/hyperlink" Target="https://ext-web.ltl-xpo.com/public-app/shipments?referenceNumber=216866451&amp;_gl=1*113uz5r*_gcl_au*MTU4MjMwMTQ3MS4xNzg2NDYyODMwLjE2NTQxOTcyNS4xNzg3MDU5MzcwLjE3ODcwNjE0ODAuMTg4NDM0Mjg4OS4xNzg3MDU5MzcwLjE3ODcwNjE0ODA." TargetMode="External"/><Relationship Id="rId879" Type="http://schemas.openxmlformats.org/officeDocument/2006/relationships/hyperlink" Target="https://rxo.com/track/RXONC20O2ELHXOBI26" TargetMode="External"/><Relationship Id="rId434" Type="http://schemas.openxmlformats.org/officeDocument/2006/relationships/hyperlink" Target="http://facts.dohrn.com/scripts/cgiip.exe/protraceext.htm?wpro=4536380045" TargetMode="External"/><Relationship Id="rId641" Type="http://schemas.openxmlformats.org/officeDocument/2006/relationships/hyperlink" Target="https://rxo.com/track/RXONC20OWIR3BRNG26" TargetMode="External"/><Relationship Id="rId739" Type="http://schemas.openxmlformats.org/officeDocument/2006/relationships/hyperlink" Target="https://ext-web.ltl-xpo.com/public-app/shipments?referenceNumber=216847396&amp;_gl=1*1xic1st*_gcl_au*MTQ5ODM0NzM5Ni4xNzc4Njg2NzM2LjczNzYzOTI3Ny4xNzg2MTE3Nzg0LjE3ODYxMTc4NDMuMTkxMTI4NDI5My4xNzg2MTExNjQ5LjE3ODYxMTc4NDM." TargetMode="External"/><Relationship Id="rId280" Type="http://schemas.openxmlformats.org/officeDocument/2006/relationships/hyperlink" Target="https://pittohio.com/myPittOhio/Shipping/LTL/tracerequest?pro=5056000917" TargetMode="External"/><Relationship Id="rId501" Type="http://schemas.openxmlformats.org/officeDocument/2006/relationships/hyperlink" Target="https://ext-web.ltl-xpo.com/public-app/shipments?referenceNumber=163471954&amp;_gl=1*rsbp35*_gcl_au*MTQ0NDI3MDM3My4xNzc2NDQyMDAzLjkwNzc3NzY5MS4xNzgyMzIwMjA3LjE3ODIzMjY0MzY." TargetMode="External"/><Relationship Id="rId946" Type="http://schemas.openxmlformats.org/officeDocument/2006/relationships/hyperlink" Target="https://ext-web.ltl-xpo.com/public-app/shipments?referenceNumber=557741424&amp;_gl=1*1eb3evf*_gcl_au*ODgwMzAyNjQ3LjE3ODY0NTQxMDguMjA2MjU1MDg1NC4xNzkwMjU3MjYxLjE3OTAyNjAwOTUuMTA5MDUyNjQ1MC4xNzkwMjU1NDUzLjE3OTAyNjAyMDQ." TargetMode="External"/><Relationship Id="rId75" Type="http://schemas.openxmlformats.org/officeDocument/2006/relationships/hyperlink" Target="https://pittohio.com/myPittOhio/Shipping/LTL/tracerequest?pro=5055152223" TargetMode="External"/><Relationship Id="rId140" Type="http://schemas.openxmlformats.org/officeDocument/2006/relationships/hyperlink" Target="https://pittohio.com/myPittOhio/Shipping/LTL/tracerequest?pro=5056000358" TargetMode="External"/><Relationship Id="rId378" Type="http://schemas.openxmlformats.org/officeDocument/2006/relationships/hyperlink" Target="https://ext-web.ltl-xpo.com/public-app/shipments?referenceNumber=381-421821" TargetMode="External"/><Relationship Id="rId585" Type="http://schemas.openxmlformats.org/officeDocument/2006/relationships/hyperlink" Target="https://rxo.com/track/RXONC20OJVLMT1FG26" TargetMode="External"/><Relationship Id="rId792" Type="http://schemas.openxmlformats.org/officeDocument/2006/relationships/hyperlink" Target="https://ext-web.ltl-xpo.com/public-app/shipments?referenceNumber=216869833&amp;_gl=1*pzftnm*_gcl_au*MTU4MjMwMTQ3MS4xNzg2NDYyODMwLjc2ODc0OTI5My4xNzg3MTU2MDg2LjE3ODcxNTY2NTYuMjAxODk4NDA5MS4xNzg3MTQ1OTI3LjE3ODcxNTY2NTY." TargetMode="External"/><Relationship Id="rId806" Type="http://schemas.openxmlformats.org/officeDocument/2006/relationships/hyperlink" Target="http://facts.dohrn.com/scripts/cgiip.exe/protraceext.htm?wpro=4536704972" TargetMode="External"/><Relationship Id="rId6" Type="http://schemas.openxmlformats.org/officeDocument/2006/relationships/hyperlink" Target="https://ext-web.ltl-xpo.com/public-app/shipments?referenceNumber=178325125&amp;_gl=1*1xmxq6n*_gcl_au*NzE3Njc0MDQ0LjE3Njc3MjI5MDAuMTQ5NTI2Mzk0MS4xNzY3NzI0MTAzLjE3Njc3MjgyODE." TargetMode="External"/><Relationship Id="rId238" Type="http://schemas.openxmlformats.org/officeDocument/2006/relationships/hyperlink" Target="https://ext-web.ltl-xpo.com/public-app/shipments?referenceNumber=321364304&amp;_gl=1*s89017*_gcl_au*MTA5OTE3NzIyNi4xNzcyNjMzNDg1Ljg1OTg2MjM5My4xNzc2MzY3Mzc2LjE3NzYzNjg3MTQ." TargetMode="External"/><Relationship Id="rId445" Type="http://schemas.openxmlformats.org/officeDocument/2006/relationships/hyperlink" Target="https://tools.daytonfreight.com/tracking/detail/828824864" TargetMode="External"/><Relationship Id="rId652" Type="http://schemas.openxmlformats.org/officeDocument/2006/relationships/hyperlink" Target="https://ext-web.ltl-xpo.com/public-app/shipments?referenceNumber=216849710&amp;_gl=1*1vzoulx*_gcl_au*ODY0MTMyMDc0LjE3ODQyMTg3NzkuMTgzMTMyNjkyLjE3ODUxNTk4NDguMTc4NTE2MTEzOC4xNTkzNjMzODAyLjE3ODUxNTM4NjcuMTc4NTE2MTEzOA.." TargetMode="External"/><Relationship Id="rId291" Type="http://schemas.openxmlformats.org/officeDocument/2006/relationships/hyperlink" Target="http://www.saia.com/Tracing/AjaxProstatusByPro.aspx?nh=N&amp;Pro=121499893301" TargetMode="External"/><Relationship Id="rId305" Type="http://schemas.openxmlformats.org/officeDocument/2006/relationships/hyperlink" Target="https://rxo.com/track/RXONC20OEDULCF6E26" TargetMode="External"/><Relationship Id="rId512" Type="http://schemas.openxmlformats.org/officeDocument/2006/relationships/hyperlink" Target="http://facts.dohrn.com/scripts/cgiip.exe/protraceext.htm?wpro=80642656" TargetMode="External"/><Relationship Id="rId957" Type="http://schemas.openxmlformats.org/officeDocument/2006/relationships/hyperlink" Target="https://ext-web.ltl-xpo.com/public-app/shipments?referenceNumber=557745462&amp;_gl=1*1xsat4x*_gcl_au*ODgwMzAyNjQ3LjE3ODY0NTQxMDguMTc1NDczMTQzNC4xNzkwMjgzNDY1LjE3OTAyODM2MzguMTA5MDUyNjQ1MC4xNzkwMjU1NDUzLjE3OTAyODM2Mzg." TargetMode="External"/><Relationship Id="rId86" Type="http://schemas.openxmlformats.org/officeDocument/2006/relationships/hyperlink" Target="https://pittohio.com/myPittOhio/Shipping/LTL/tracerequest?pro=5055151390" TargetMode="External"/><Relationship Id="rId151" Type="http://schemas.openxmlformats.org/officeDocument/2006/relationships/hyperlink" Target="https://ext-web.ltl-xpo.com/public-app/shipments?referenceNumber=527641671&amp;_gl=1*1dnc53n*_gcl_au*MTA5OTE3NzIyNi4xNzcyNjMzNDg1LjM5NzcwODQ2Ni4xNzc0MDE2MDQ2LjE3NzQwMTc3NDA." TargetMode="External"/><Relationship Id="rId389" Type="http://schemas.openxmlformats.org/officeDocument/2006/relationships/hyperlink" Target="http://www.saia.com/Tracing/AjaxProstatusByPro.aspx?nh=N&amp;Pro=121501440705" TargetMode="External"/><Relationship Id="rId596" Type="http://schemas.openxmlformats.org/officeDocument/2006/relationships/hyperlink" Target="https://ext-web.ltl-xpo.com/public-app/shipments?referenceNumber=216813822&amp;_gl=1*807kgn*_gcl_au*MTQ5ODM0NzM5Ni4xNzc4Njg2NzM2LjEzMTY4ODc3MTguMTc4NDMxNTMwNi4xNzg0MzE1NDUyLjE3NTE4NTAwOTUuMTc4NDIyOTg3MC4xNzg0MzE1NDUy" TargetMode="External"/><Relationship Id="rId817" Type="http://schemas.openxmlformats.org/officeDocument/2006/relationships/hyperlink" Target="https://ext-web.ltl-xpo.com/public-app/shipments?referenceNumber=557690125&amp;_gl=1*ba52xl*_gcl_au*ODgwMzAyNjQ3LjE3ODY0NTQxMDguMjc1MjU0MDc5LjE3ODc2ODM5MzcuMTc4NzY4NDM4MS4xNDAzODA2MjI4LjE3ODc2NjMxNDMuMTc4NzY4NDM4MQ.." TargetMode="External"/><Relationship Id="rId1002" Type="http://schemas.openxmlformats.org/officeDocument/2006/relationships/hyperlink" Target="https://ext-web.ltl-xpo.com/public-app/shipments?referenceNumber=557750303&amp;_gl=1*ibrjon*_gcl_au*MTU4MjMwMTQ3MS4xNzg2NDYyODMwLjMzMzMxNTQ4MC4xNzkwNzAwODIyLjE3OTA3MDIxMTYuMTUyNTU2Mzg3NC4xNzkwNjg4ODc1LjE3OTA3MDIxMTY." TargetMode="External"/><Relationship Id="rId249" Type="http://schemas.openxmlformats.org/officeDocument/2006/relationships/hyperlink" Target="http://www.saia.com/Tracing/AjaxProstatusByPro.aspx?nh=N&amp;Pro=121499253905" TargetMode="External"/><Relationship Id="rId456" Type="http://schemas.openxmlformats.org/officeDocument/2006/relationships/hyperlink" Target="https://rxo.com/track/RXONC20O3C1MQLJF26" TargetMode="External"/><Relationship Id="rId663" Type="http://schemas.openxmlformats.org/officeDocument/2006/relationships/hyperlink" Target="https://pittohio.com/myPittOhio/Shipping/LTL/tracerequest?pro=5057002186" TargetMode="External"/><Relationship Id="rId870" Type="http://schemas.openxmlformats.org/officeDocument/2006/relationships/hyperlink" Target="http://www.daytonfreight.com/Tracking/TrackingDetail.aspx?proNum=754051234" TargetMode="External"/><Relationship Id="rId13" Type="http://schemas.openxmlformats.org/officeDocument/2006/relationships/hyperlink" Target="https://ext-web.ltl-xpo.com/public-app/shipments?referenceNumber=138896601&amp;_gl=1*1dfesgo*_gcl_au*MTM5NDc1NDQzMy4xNzY4NTk1Njk4Ljg5NzA0MzE3OC4xNzY4NTk1OTQwLjE3Njg1OTgzNjY." TargetMode="External"/><Relationship Id="rId109" Type="http://schemas.openxmlformats.org/officeDocument/2006/relationships/hyperlink" Target="https://pittohio.com/myPittOhio/Shipping/LTL/tracerequest?pro=5055151515" TargetMode="External"/><Relationship Id="rId316" Type="http://schemas.openxmlformats.org/officeDocument/2006/relationships/hyperlink" Target="https://www.tforcefreight.com/ltl/apps/Tracking?proNumbers=432369136" TargetMode="External"/><Relationship Id="rId523" Type="http://schemas.openxmlformats.org/officeDocument/2006/relationships/hyperlink" Target="https://ext-web.ltl-xpo.com/public-app/shipments?referenceNumber=163479282&amp;_gl=1*1f3h7ha*_gcl_au*MTQ5ODM0NzM5Ni4xNzc4Njg2NzM2LjEwMTczNzg1MjQuMTc4MjgzMjkwOS4xNzgyODMzMjMw" TargetMode="External"/><Relationship Id="rId968" Type="http://schemas.openxmlformats.org/officeDocument/2006/relationships/hyperlink" Target="https://ext-web.ltl-xpo.com/public-app/shipments?referenceNumber=557744891&amp;_gl=1*1qivvwp*_gcl_au*MTU4MjMwMTQ3MS4xNzg2NDYyODMwLjE5MjYwNjU2NjguMTc5MDM0MzQ5NC4xNzkwMzQ2OTExLjU4NzUzNjM1MS4xNzkwMzQzODg3LjE3OTAzNDY5MTE." TargetMode="External"/><Relationship Id="rId97" Type="http://schemas.openxmlformats.org/officeDocument/2006/relationships/hyperlink" Target="https://ext-web.ltl-xpo.com/public-app/shipments?referenceNumber=789804503&amp;_gl=1*15myylm*_gcl_au*NzE3Njc0MDQ0LjE3Njc3MjI5MDAuMTQ5NzkwODgxMy4xNzcyMjI2MjU0LjE3NzIyMjY4NTM." TargetMode="External"/><Relationship Id="rId730" Type="http://schemas.openxmlformats.org/officeDocument/2006/relationships/hyperlink" Target="https://rxo.com/track/RXONC20OEPPYOX6H26" TargetMode="External"/><Relationship Id="rId828" Type="http://schemas.openxmlformats.org/officeDocument/2006/relationships/hyperlink" Target="https://ext-web.ltl-xpo.com/public-app/shipments?referenceNumber=557691256&amp;_gl=1*tl7zml*_gcl_au*ODY0MTMyMDc0LjE3ODQyMTg3NzkuMTc1OTI3MzE4My4xNzg3NzUzNDA5LjE3ODc3NTcwODMuMTIxNzMxNzAuMTc4Nzc1MDgxOS4xNzg3NzU3MDgz" TargetMode="External"/><Relationship Id="rId1013" Type="http://schemas.openxmlformats.org/officeDocument/2006/relationships/hyperlink" Target="https://rxo.com/track/RXONC20OIPXGDL5J26" TargetMode="External"/><Relationship Id="rId162" Type="http://schemas.openxmlformats.org/officeDocument/2006/relationships/hyperlink" Target="https://rxo.com/track/RXONC20O52GL5HOC26" TargetMode="External"/><Relationship Id="rId467" Type="http://schemas.openxmlformats.org/officeDocument/2006/relationships/hyperlink" Target="https://pittohio.com/myPittOhio/Shipping/LTL/tracerequest?pro=5057002065" TargetMode="External"/><Relationship Id="rId674" Type="http://schemas.openxmlformats.org/officeDocument/2006/relationships/hyperlink" Target="https://ext-web.ltl-xpo.com/public-app/shipments?referenceNumber=216829211&amp;_gl=1*qordvn*_gcl_au*MTQ5ODM0NzM5Ni4xNzc4Njg2NzM2LjEyMzIwODc5MS4xNzg1MTc5NzMzLjE3ODUxODM3NTIuNzk2MzcxMzY1LjE3ODUxNTQ2MTIuMTc4NTE4Mzc1Mg.." TargetMode="External"/><Relationship Id="rId881" Type="http://schemas.openxmlformats.org/officeDocument/2006/relationships/hyperlink" Target="https://tools.daytonfreight.com/tracking/detail/828824997" TargetMode="External"/><Relationship Id="rId979" Type="http://schemas.openxmlformats.org/officeDocument/2006/relationships/hyperlink" Target="https://ext-web.ltl-xpo.com/public-app/shipments?referenceNumber=557749570&amp;_gl=1*2iyjbk*_gcl_au*MTU4MjMwMTQ3MS4xNzg2NDYyODMwLjUwNDcwNjMyOS4xNzkwNjAxNzI3LjE3OTA2MDI2MDIuMTIxMDkyMjk4My4xNzkwNjAxMzgxLjE3OTA2MDI2MDI." TargetMode="External"/><Relationship Id="rId24" Type="http://schemas.openxmlformats.org/officeDocument/2006/relationships/hyperlink" Target="https://ext-web.ltl-xpo.com/public-app/shipments?referenceNumber=138903575&amp;_gl=1*z0pfu5*_gcl_au*NzE3Njc0MDQ0LjE3Njc3MjI5MDAuNzg3Nzc2NzUxLjE3NjkxMDgzNzEuMTc2OTEwOTU3MQ.." TargetMode="External"/><Relationship Id="rId327" Type="http://schemas.openxmlformats.org/officeDocument/2006/relationships/hyperlink" Target="https://ext-web.ltl-xpo.com/public-app/shipments?referenceNumber=321403633&amp;_gl=1*1nmrl6v*_gcl_au*MTQ0NDI3MDM3My4xNzc2NDQyMDAzLjE2NzI2ODI0LjE3NzgyNTY1NzkuMTc3ODI1NjY4OA.." TargetMode="External"/><Relationship Id="rId534" Type="http://schemas.openxmlformats.org/officeDocument/2006/relationships/hyperlink" Target="https://ext-web.ltl-xpo.com/public-app/shipments?referenceNumber=163482410&amp;_gl=1*14i13e*_gcl_au*MTQ0NDI3MDM3My4xNzc2NDQyMDAzLjUwMTk2NTU5NC4xNzgyOTMzMjkwLjE3ODI5MzM0Mjk." TargetMode="External"/><Relationship Id="rId741" Type="http://schemas.openxmlformats.org/officeDocument/2006/relationships/hyperlink" Target="https://ext-web.ltl-xpo.com/public-app/shipments?referenceNumber=216851261&amp;_gl=1*l6wlbr*_gcl_au*MTQ5ODM0NzM5Ni4xNzc4Njg2NzM2LjExNzg2NTY1MTEuMTc4NjEzNDI3MC4xNzg2MTM1MjYxLjE5MTEyODQyOTMuMTc4NjExMTY0OS4xNzg2MTM1MjYx" TargetMode="External"/><Relationship Id="rId839" Type="http://schemas.openxmlformats.org/officeDocument/2006/relationships/hyperlink" Target="https://rxonc20o0l4ruysh26/" TargetMode="External"/><Relationship Id="rId173" Type="http://schemas.openxmlformats.org/officeDocument/2006/relationships/hyperlink" Target="http://www.saia.com/Tracing/AjaxProstatusByPro.aspx?nh=N&amp;Pro=121498074405" TargetMode="External"/><Relationship Id="rId380" Type="http://schemas.openxmlformats.org/officeDocument/2006/relationships/hyperlink" Target="https://pittohio.com/myPittOhio/Shipping/LTL/tracerequest?pro=5056001262" TargetMode="External"/><Relationship Id="rId601" Type="http://schemas.openxmlformats.org/officeDocument/2006/relationships/hyperlink" Target="https://ext-web.ltl-xpo.com/public-app/shipments?referenceNumber=216816036&amp;_gl=1*g0fad5*_gcl_au*MTQ5ODM0NzM5Ni4xNzc4Njg2NzM2LjEyNDU2OTY1NzQuMTc4NDU2ODQ4Mi4xNzg0NTY4Njg2LjU1NDczMTE2OC4xNzg0NTU0MDMzLjE3ODQ1Njg2ODY." TargetMode="External"/><Relationship Id="rId1024" Type="http://schemas.openxmlformats.org/officeDocument/2006/relationships/hyperlink" Target="https://ext-web.ltl-xpo.com/public-app/shipments?referenceNumber=557770161&amp;_gl=1*1ndduwp*_gcl_au*ODY0MTMyMDc0LjE3ODQyMTg3NzkuMjM0OTk1MjA4LjE3OTE0ODI4NDMuMTc5MTQ4MzY0NS4zNDIzNjQ4MS4xNzkxNDc2OTAxLjE3OTE0ODM2NDU." TargetMode="External"/><Relationship Id="rId240" Type="http://schemas.openxmlformats.org/officeDocument/2006/relationships/hyperlink" Target="https://rxo.com/track/RXONC20OQTSPV5HD26" TargetMode="External"/><Relationship Id="rId478" Type="http://schemas.openxmlformats.org/officeDocument/2006/relationships/hyperlink" Target="https://ext-web.ltl-xpo.com/public-app/shipments?referenceNumber=163460216&amp;_gl=1*lndzpj*_gcl_au*MTQ0NDI3MDM3My4xNzc2NDQyMDAzLjE1ODI1NDQ1NzcuMTc4MTc5MTU1OC4xNzgxNzkyNzE5" TargetMode="External"/><Relationship Id="rId685" Type="http://schemas.openxmlformats.org/officeDocument/2006/relationships/hyperlink" Target="https://ext-web.ltl-xpo.com/public-app/shipments?referenceNumber=216833411&amp;_gl=1*1gfmjgf*_gcl_au*ODY0MTMyMDc0LjE3ODQyMTg3NzkuMTkzODQzNzQ1NS4xNzg1MjYzMDc3LjE3ODUyNjQ4NTUuNTMyMjM2MDY5LjE3ODUyNDM4OTcuMTc4NTI2NDg1NQ.." TargetMode="External"/><Relationship Id="rId892" Type="http://schemas.openxmlformats.org/officeDocument/2006/relationships/hyperlink" Target="https://pittohio.com/myPittOhio/Shipping/LTL/tracerequest?pro=5057002621" TargetMode="External"/><Relationship Id="rId906" Type="http://schemas.openxmlformats.org/officeDocument/2006/relationships/hyperlink" Target="https://ext-web.ltl-xpo.com/public-app/shipments?referenceNumber=557734041&amp;_gl=1*155mx78*_gcl_au*ODgwMzAyNjQ3LjE3ODY0NTQxMDguMjEyNjUxMTU3LjE3OTAwMDUxMDIuMTc5MDAwNTM1MS4xMTY5NTI4MTQzLjE3ODk5OTU1OTkuMTc5MDAwNTM1MQ.." TargetMode="External"/><Relationship Id="rId35" Type="http://schemas.openxmlformats.org/officeDocument/2006/relationships/hyperlink" Target="https://pittohio.com/myPittOhio/Shipping/LTL/tracerequest?pro=5055151472" TargetMode="External"/><Relationship Id="rId100" Type="http://schemas.openxmlformats.org/officeDocument/2006/relationships/hyperlink" Target="https://rxo.com/track/RXONC20OXCIEKM2C26" TargetMode="External"/><Relationship Id="rId338" Type="http://schemas.openxmlformats.org/officeDocument/2006/relationships/hyperlink" Target="https://ext-web.ltl-xpo.com/public-app/shipments?referenceNumber=451220243&amp;_gl=1*1pqbh7p*_gcl_au*MTQ0NDI3MDM3My4xNzc2NDQyMDAzLjE3MzI2NDY1NDYuMTc3ODUzMDk4Mi4xNzc4NTMxNjg3" TargetMode="External"/><Relationship Id="rId545" Type="http://schemas.openxmlformats.org/officeDocument/2006/relationships/hyperlink" Target="https://rxo.com/track/RXONC20O2NARO07G26" TargetMode="External"/><Relationship Id="rId752" Type="http://schemas.openxmlformats.org/officeDocument/2006/relationships/hyperlink" Target="https://rxo.com/track/RXONC20ORGIJNUCH26" TargetMode="External"/><Relationship Id="rId184" Type="http://schemas.openxmlformats.org/officeDocument/2006/relationships/hyperlink" Target="https://ext-web.ltl-xpo.com/public-app/shipments?referenceNumber=527657266&amp;_gl=1*4setz*_gcl_au*NDI3NjEyOTY3LjE3NzA5OTIyMjguNTkzNTM2NjI4LjE3NzQ5NjI2OTMuMTc3NDk2MzYyMw.." TargetMode="External"/><Relationship Id="rId391" Type="http://schemas.openxmlformats.org/officeDocument/2006/relationships/hyperlink" Target="https://ext-web.ltl-xpo.com/public-app/shipments?referenceNumber=451242201&amp;_gl=1*r5jyo6*_gcl_au*MTQ0NDI3MDM3My4xNzc2NDQyMDAzLjEzOTUwMjY4OTMuMTc3OTk3NzcxOS4xNzc5OTgwMTE0" TargetMode="External"/><Relationship Id="rId405" Type="http://schemas.openxmlformats.org/officeDocument/2006/relationships/hyperlink" Target="https://rxo.com/track/RXONC20OWXACUC1F26" TargetMode="External"/><Relationship Id="rId612" Type="http://schemas.openxmlformats.org/officeDocument/2006/relationships/hyperlink" Target="https://www.tforcefreight.com/ltl/apps/Tracking?proNumbers=357980140" TargetMode="External"/><Relationship Id="rId1035" Type="http://schemas.openxmlformats.org/officeDocument/2006/relationships/hyperlink" Target="https://tools.daytonfreight.com/tracking/detail/00037411027" TargetMode="External"/><Relationship Id="rId251" Type="http://schemas.openxmlformats.org/officeDocument/2006/relationships/hyperlink" Target="https://ext-web.ltl-xpo.com/public-app/shipments?referenceNumber=321374255&amp;_gl=1*1yrs5hq*_gcl_au*MTQ0NDI3MDM3My4xNzc2NDQyMDAzLjIxOTAxODY2Ni4xNzc2ODczNTc3LjE3NzY4Nzk3MzI." TargetMode="External"/><Relationship Id="rId489" Type="http://schemas.openxmlformats.org/officeDocument/2006/relationships/hyperlink" Target="https://rxo.com/track/RXONC20OOJ5Z1CNF26" TargetMode="External"/><Relationship Id="rId696" Type="http://schemas.openxmlformats.org/officeDocument/2006/relationships/hyperlink" Target="https://ext-web.ltl-xpo.com/public-app/shipments?referenceNumber=216840606&amp;_gl=1*1nbgvbf*_gcl_au*MTQ5ODM0NzM5Ni4xNzc4Njg2NzM2LjE5MzI5NTA2NTAuMTc4NTMyNTkyMS4xNzg1MzI5MDU3LjUxODYxMDc1LjE3ODUyNDUzNzYuMTc4NTMyOTA1Nw.." TargetMode="External"/><Relationship Id="rId917" Type="http://schemas.openxmlformats.org/officeDocument/2006/relationships/hyperlink" Target="https://ext-web.ltl-xpo.com/public-app/shipments?referenceNumber=557737423&amp;_gl=1*15aqhg6*_gcl_au*MTU4MjMwMTQ3MS4xNzg2NDYyODMwLjY1ODQ4MDc1OS4xNzkwMTAyMjQ4LjE3OTAxMDI4OTcuODUxOTU3MzgwLjE3OTAwODM2MzUuMTc5MDEwMjg5Nw.." TargetMode="External"/><Relationship Id="rId46" Type="http://schemas.openxmlformats.org/officeDocument/2006/relationships/hyperlink" Target="https://rxo.com/track/RXONC20OB41ZPM6B26" TargetMode="External"/><Relationship Id="rId349" Type="http://schemas.openxmlformats.org/officeDocument/2006/relationships/hyperlink" Target="http://www.daytonfreight.com/Tracking/TrackingDetail.aspx?proNum=00034912041" TargetMode="External"/><Relationship Id="rId556" Type="http://schemas.openxmlformats.org/officeDocument/2006/relationships/hyperlink" Target="https://rxo.com/track/RXONC20OZ1BAJV9G26" TargetMode="External"/><Relationship Id="rId763" Type="http://schemas.openxmlformats.org/officeDocument/2006/relationships/hyperlink" Target="https://ext-web.ltl-xpo.com/public-app/shipments?referenceNumber=216860663&amp;_gl=1*1cec2b*_gcl_au*MTU4MjMwMTQ3MS4xNzg2NDYyODMwLjEzODI0MDUxNjcuMTc4NjY0NTc1My4xNzg2NjQ1OTE4LjEyOTgwODI5NTIuMTc4NjYzOTcxNy4xNzg2NjQ1OTE4" TargetMode="External"/><Relationship Id="rId111" Type="http://schemas.openxmlformats.org/officeDocument/2006/relationships/hyperlink" Target="https://ext-web.ltl-xpo.com/public-app/shipments?referenceNumber=789806905&amp;_gl=1*1h5c2zk*_gcl_au*NzE3Njc0MDQ0LjE3Njc3MjI5MDAuNTg2MTAwNTM5LjE3NzI2NTAyMzYuMTc3MjY1MDU5Ng.." TargetMode="External"/><Relationship Id="rId195" Type="http://schemas.openxmlformats.org/officeDocument/2006/relationships/hyperlink" Target="http://www.saia.com/Tracing/AjaxProstatusByPro.aspx?nh=N&amp;Pro=121498444200" TargetMode="External"/><Relationship Id="rId209" Type="http://schemas.openxmlformats.org/officeDocument/2006/relationships/hyperlink" Target="http://www.daytonfreight.com/Tracking/TrackingDetail.aspx?proNum=827062316" TargetMode="External"/><Relationship Id="rId416" Type="http://schemas.openxmlformats.org/officeDocument/2006/relationships/hyperlink" Target="https://ext-web.ltl-xpo.com/public-app/shipments?referenceNumber=451258205&amp;_gl=1*5b02el*_gcl_au*MTQ0NDI3MDM3My4xNzc2NDQyMDAzLjIxMzA0NjYxNDIuMTc4MDY3OTc0NS4xNzgwNjgwMDMx" TargetMode="External"/><Relationship Id="rId970" Type="http://schemas.openxmlformats.org/officeDocument/2006/relationships/hyperlink" Target="https://ext-web.ltl-xpo.com/public-app/shipments?referenceNumber=557743863&amp;_gl=1*16cm1i4*_gcl_au*MTU4MjMwMTQ3MS4xNzg2NDYyODMwLjE5MjYwNjU2NjguMTc5MDM0MzQ5NC4xNzkwMzQ4MjUxLjU4NzUzNjM1MS4xNzkwMzQzODg3LjE3OTAzNDgyNTE." TargetMode="External"/><Relationship Id="rId623" Type="http://schemas.openxmlformats.org/officeDocument/2006/relationships/hyperlink" Target="https://ext-web.ltl-xpo.com/public-app/shipments?referenceNumber=216821835&amp;_gl=1*g62v0u*_gcl_au*ODY0MTMyMDc0LjE3ODQyMTg3NzkuMTc3NTEzNDgxLjE3ODQ3NDQ3NDcuMTc4NDc0NjMxNC4yNDAwMTE1Ny4xNzg0NzQyNjY5LjE3ODQ3NDYzMTQ." TargetMode="External"/><Relationship Id="rId830" Type="http://schemas.openxmlformats.org/officeDocument/2006/relationships/hyperlink" Target="https://ext-web.ltl-xpo.com/public-app/shipments?referenceNumber=557691341&amp;_gl=1*8net8*_gcl_au*ODY0MTMyMDc0LjE3ODQyMTg3NzkuMTc1OTI3MzE4My4xNzg3NzUzNDA5LjE3ODc3NTgwMTguMTIxNzMxNzAuMTc4Nzc1MDgxOS4xNzg3NzU4MDE4" TargetMode="External"/><Relationship Id="rId928" Type="http://schemas.openxmlformats.org/officeDocument/2006/relationships/hyperlink" Target="https://ext-web.ltl-xpo.com/public-app/shipments?referenceNumber=557740750&amp;_gl=1*1jhjzqr*_gcl_au*ODY0MTMyMDc0LjE3ODQyMTg3NzkuNzQ2NDU5OTgwLjE3OTAxODY5NjguMTc5MDE4NzgxMy40OTM4NTE1NTMuMTc5MDE2OTYxNS4xNzkwMTg3ODEz" TargetMode="External"/><Relationship Id="rId57" Type="http://schemas.openxmlformats.org/officeDocument/2006/relationships/hyperlink" Target="https://ext-web.ltl-xpo.com/public-app/shipments?referenceNumber=789783702&amp;_gl=1*1tg4bso*_gcl_au*NzE3Njc0MDQ0LjE3Njc3MjI5MDAuODQyOTQ4OTMwLjE3NzEzNDM5MzIuMTc3MTM1NTI2OQ.." TargetMode="External"/><Relationship Id="rId262" Type="http://schemas.openxmlformats.org/officeDocument/2006/relationships/hyperlink" Target="http://www.polaristransport.com/en/" TargetMode="External"/><Relationship Id="rId567" Type="http://schemas.openxmlformats.org/officeDocument/2006/relationships/hyperlink" Target="https://ext-web.ltl-xpo.com/public-app/shipments?referenceNumber=216804195&amp;_gl=1*qy2a8f*_gcl_au*MTQ0NDI3MDM3My4xNzc2NDQyMDAzLjQ1MDIyNzc2MC4xNzgzOTcwNTExLjE3ODM5NzI1Nzc." TargetMode="External"/><Relationship Id="rId122" Type="http://schemas.openxmlformats.org/officeDocument/2006/relationships/hyperlink" Target="https://rxo.com/track/RXONC20OHJ3M1OAC26" TargetMode="External"/><Relationship Id="rId774" Type="http://schemas.openxmlformats.org/officeDocument/2006/relationships/hyperlink" Target="https://rxo.com/track/RXONC20OVUP525EH26" TargetMode="External"/><Relationship Id="rId981" Type="http://schemas.openxmlformats.org/officeDocument/2006/relationships/hyperlink" Target="https://ext-web.ltl-xpo.com/public-app/shipments?referenceNumber=557752716&amp;_gl=1*f9vqew*_gcl_au*MTU4MjMwMTQ3MS4xNzg2NDYyODMwLjExMTczMzA0MjEuMTc5MDYwNDg2Ny4xNzkwNjA0OTg5LjEyMTA5MjI5ODMuMTc5MDYwMTM4MS4xNzkwNjA0OTg5" TargetMode="External"/><Relationship Id="rId427" Type="http://schemas.openxmlformats.org/officeDocument/2006/relationships/hyperlink" Target="https://ext-web.ltl-xpo.com/public-app/shipments?referenceNumber=163442462&amp;_gl=1*1u7i4dw*_gcl_au*MTQ5ODM0NzM5Ni4xNzc4Njg2NzM2LjE4NTM3OTcxOTguMTc4MTAyODQxNS4xNzgxMDI4NjAw" TargetMode="External"/><Relationship Id="rId634" Type="http://schemas.openxmlformats.org/officeDocument/2006/relationships/hyperlink" Target="https://ext-web.ltl-xpo.com/public-app/shipments?referenceNumber=216824333&amp;_gl=1*mlz9fe*_gcl_au*ODY0MTMyMDc0LjE3ODQyMTg3NzkuMTg2ODA2MzQ1Ny4xNzg0ODI1Njk5LjE3ODQ4MzA2NjQuMTM0NjMxMTMzNC4xNzg0ODI5NDMzLjE3ODQ4MzA2NjQ." TargetMode="External"/><Relationship Id="rId841" Type="http://schemas.openxmlformats.org/officeDocument/2006/relationships/hyperlink" Target="https://1.110.47.228/" TargetMode="External"/><Relationship Id="rId273" Type="http://schemas.openxmlformats.org/officeDocument/2006/relationships/hyperlink" Target="https://ext-web.ltl-xpo.com/public-app/shipments?referenceNumber=321382902&amp;_gl=1*13qvv6v*_gcl_au*NDI3NjEyOTY3LjE3NzA5OTIyMjguMTg5ODUxNTUyMS4xNzc3MzgyMTgwLjE3NzczODIzMzE." TargetMode="External"/><Relationship Id="rId480" Type="http://schemas.openxmlformats.org/officeDocument/2006/relationships/hyperlink" Target="http://facts.dohrn.com/scripts/cgiip.exe/protraceext.htm?wpro=80642631" TargetMode="External"/><Relationship Id="rId701" Type="http://schemas.openxmlformats.org/officeDocument/2006/relationships/hyperlink" Target="http://www.daytonfreight.com/Tracking/TrackingDetail.aspx?proNum=00034913294" TargetMode="External"/><Relationship Id="rId939" Type="http://schemas.openxmlformats.org/officeDocument/2006/relationships/hyperlink" Target="https://ext-web.ltl-xpo.com/public-app/shipments?referenceNumber=557741041&amp;_gl=1*27qvzs*_gcl_au*MTU4MjMwMTQ3MS4xNzg2NDYyODMwLi0uLS4xNzkwMTk4NzA0LjE1ODE0MTU0MjEuMTc5MDE3MDU3OC4xNzkwMjU2ODAz" TargetMode="External"/><Relationship Id="rId68" Type="http://schemas.openxmlformats.org/officeDocument/2006/relationships/hyperlink" Target="https://rxo.com/track/RXONC20ODUSHJ4JB26" TargetMode="External"/><Relationship Id="rId133" Type="http://schemas.openxmlformats.org/officeDocument/2006/relationships/hyperlink" Target="http://www.saia.com/Tracing/AjaxProstatusByPro.aspx?nh=N&amp;Pro=121497304001" TargetMode="External"/><Relationship Id="rId340" Type="http://schemas.openxmlformats.org/officeDocument/2006/relationships/hyperlink" Target="https://pittohio.com/myPittOhio/Shipping/LTL/tracerequest?pro=5056001180" TargetMode="External"/><Relationship Id="rId578" Type="http://schemas.openxmlformats.org/officeDocument/2006/relationships/hyperlink" Target="https://tools.daytonfreight.com/tracking/detail/00034913072" TargetMode="External"/><Relationship Id="rId785" Type="http://schemas.openxmlformats.org/officeDocument/2006/relationships/hyperlink" Target="http://www.daytonfreight.com/Tracking/TrackingDetail.aspx?proNum=00034913605" TargetMode="External"/><Relationship Id="rId992" Type="http://schemas.openxmlformats.org/officeDocument/2006/relationships/hyperlink" Target="https://rxo.com/track/RXONC20O3YBDGSUI26" TargetMode="External"/><Relationship Id="rId200" Type="http://schemas.openxmlformats.org/officeDocument/2006/relationships/hyperlink" Target="https://www.tforcefreight.com/ltl/apps/Tracking" TargetMode="External"/><Relationship Id="rId438" Type="http://schemas.openxmlformats.org/officeDocument/2006/relationships/hyperlink" Target="https://www.saia.com/tracing/ajaxprostatusbypro.aspx?nh=N&amp;Pro=121502236403" TargetMode="External"/><Relationship Id="rId645" Type="http://schemas.openxmlformats.org/officeDocument/2006/relationships/hyperlink" Target="https://ext-web.ltl-xpo.com/public-app/shipments?referenceNumber=216826223&amp;_gl=1*mev61y*_gcl_au*ODY0MTMyMDc0LjE3ODQyMTg3NzkuNTc3NjI3Mjk1LjE3ODQ4Mzc3MDkuMTc4NDgzOTM3Ni4xMzQ2MzExMzM0LjE3ODQ4Mjk0MzMuMTc4NDgzOTM3Ng.." TargetMode="External"/><Relationship Id="rId852" Type="http://schemas.openxmlformats.org/officeDocument/2006/relationships/hyperlink" Target="https://ext-web.ltl-xpo.com/public-app/shipments?referenceNumber=557706741&amp;_gl=1*1kzrdjg*_gcl_au*ODY0MTMyMDc0LjE3ODQyMTg3NzkuMjU4Njk0MTEzLjE3ODg0NTQ3NDMuMTc4ODQ1NzI1Mi4xNTM1NDg3MzE1LjE3ODg0NTQ3NDMuMTc4ODQ1NzI1Mg.." TargetMode="External"/><Relationship Id="rId284" Type="http://schemas.openxmlformats.org/officeDocument/2006/relationships/hyperlink" Target="https://tools.daytonfreight.com/tracking/detail/00034911820" TargetMode="External"/><Relationship Id="rId491" Type="http://schemas.openxmlformats.org/officeDocument/2006/relationships/hyperlink" Target="https://pittohio.com/myPittOhio/Shipping/LTL/tracerequest?pro=5057002362" TargetMode="External"/><Relationship Id="rId505" Type="http://schemas.openxmlformats.org/officeDocument/2006/relationships/hyperlink" Target="https://tools.daytonfreight.com/tracking/detail/00034912798" TargetMode="External"/><Relationship Id="rId712" Type="http://schemas.openxmlformats.org/officeDocument/2006/relationships/hyperlink" Target="https://rxo.com/track/RXONC20OX2FJGOTG26" TargetMode="External"/><Relationship Id="rId79" Type="http://schemas.openxmlformats.org/officeDocument/2006/relationships/hyperlink" Target="https://www.estes-express.com/myestes/shipment-tracking/?type=PRO&amp;query=0948205088%20&amp;submit=Submit" TargetMode="External"/><Relationship Id="rId144" Type="http://schemas.openxmlformats.org/officeDocument/2006/relationships/hyperlink" Target="https://pittohio.com/myPittOhio/Shipping/LTL/tracerequest?pro=5056000353" TargetMode="External"/><Relationship Id="rId589" Type="http://schemas.openxmlformats.org/officeDocument/2006/relationships/hyperlink" Target="http://facts.dohrn.com/scripts/cgiip.exe/protraceext.htm?wpro=80642758" TargetMode="External"/><Relationship Id="rId796" Type="http://schemas.openxmlformats.org/officeDocument/2006/relationships/hyperlink" Target="http://www.daytonfreight.com/Tracking/TrackingDetail.aspx?proNum=00034913628" TargetMode="External"/><Relationship Id="rId351" Type="http://schemas.openxmlformats.org/officeDocument/2006/relationships/hyperlink" Target="https://rxo.com/track/RXONC20ORYR5ESDE26" TargetMode="External"/><Relationship Id="rId449" Type="http://schemas.openxmlformats.org/officeDocument/2006/relationships/hyperlink" Target="https://ext-web.ltl-xpo.com/public-app/shipments?referenceNumber=163455460&amp;_gl=1*1qv2b4q*_gcl_au*MTQ0NDI3MDM3My4xNzc2NDQyMDAzLjIwNDExNzc3NTEuMTc4MTYyMTk2Mi4xNzgxNjIyOTcz" TargetMode="External"/><Relationship Id="rId656" Type="http://schemas.openxmlformats.org/officeDocument/2006/relationships/hyperlink" Target="https://ext-web.ltl-xpo.com/public-app/shipments?referenceNumber=216843852&amp;_gl=1*1kczkcg*_gcl_au*MTQ5ODM0NzM5Ni4xNzc4Njg2NzM2LjIwODU5MTM3MDcuMTc4NDkyNjIxNS4xNzg0OTI2NzA1LjczOTkwMTUuMTc4NDkwNTA4My4xNzg0OTI2NzA1" TargetMode="External"/><Relationship Id="rId863" Type="http://schemas.openxmlformats.org/officeDocument/2006/relationships/hyperlink" Target="https://pittohio.com/myPittOhio/Shipping/LTL/tracerequest?pro=5057002456" TargetMode="External"/><Relationship Id="rId211" Type="http://schemas.openxmlformats.org/officeDocument/2006/relationships/hyperlink" Target="https://ext-web.ltl-xpo.com/public-app/shipments?referenceNumber=527669542&amp;_gl=1*m7p9ou*_gcl_au*MTA5OTE3NzIyNi4xNzcyNjMzNDg1LjExMDEzMDIzMTQuMTc3NTU4NTA5NS4xNzc1NTg2MTUx" TargetMode="External"/><Relationship Id="rId295" Type="http://schemas.openxmlformats.org/officeDocument/2006/relationships/hyperlink" Target="https://ext-web.ltl-xpo.com/public-app/shipments?referenceNumber=321390090&amp;_gl=1*23wed3*_gcl_au*NDI3NjEyOTY3LjE3NzA5OTIyMjguMTQxODE3MjIzMi4xNzc3NTcyMzQzLjE3Nzc1NzMwMjE." TargetMode="External"/><Relationship Id="rId309" Type="http://schemas.openxmlformats.org/officeDocument/2006/relationships/hyperlink" Target="https://pittohio.com/myPittOhio/Shipping/LTL/tracerequest?pro=5056001037" TargetMode="External"/><Relationship Id="rId516" Type="http://schemas.openxmlformats.org/officeDocument/2006/relationships/hyperlink" Target="https://rxo.com/track/RXONC20OLWVP4PTF26" TargetMode="External"/><Relationship Id="rId723" Type="http://schemas.openxmlformats.org/officeDocument/2006/relationships/hyperlink" Target="https://tools.daytonfreight.com/tracking/detail/00034913373" TargetMode="External"/><Relationship Id="rId930" Type="http://schemas.openxmlformats.org/officeDocument/2006/relationships/hyperlink" Target="https://ext-web.ltl-xpo.com/public-app/shipments?referenceNumber=557740256&amp;_gl=1*9mscn4*_gcl_au*ODY0MTMyMDc0LjE3ODQyMTg3NzkuNzQ2NDU5OTgwLjE3OTAxODY5NjguMTc5MDE4ODM5My40OTM4NTE1NTMuMTc5MDE2OTYxNS4xNzkwMTg4Mzkz" TargetMode="External"/><Relationship Id="rId1006" Type="http://schemas.openxmlformats.org/officeDocument/2006/relationships/hyperlink" Target="https://ext-web.ltl-xpo.com/public-app/shipments?referenceNumber=557744530&amp;_gl=1*ays1ad*_gcl_au*ODY0MTMyMDc0LjE3ODQyMTg3NzkuNTA0NzY5NTI1LjE3OTAzNTAyOTUuMTc5MDM1MDUyNC4yMzk5ODczOTEuMTc5MDM0NTkyMi4xNzkwMzUwNTI0" TargetMode="External"/><Relationship Id="rId155" Type="http://schemas.openxmlformats.org/officeDocument/2006/relationships/hyperlink" Target="https://ext-web.ltl-xpo.com/public-app/shipments?referenceNumber=527639906&amp;_gl=1*s45upi*_gcl_au*MTA5OTE3NzIyNi4xNzcyNjMzNDg1LjM5NzcwODQ2Ni4xNzc0MDE2MDQ2LjE3NzQwMTc3NDA." TargetMode="External"/><Relationship Id="rId362" Type="http://schemas.openxmlformats.org/officeDocument/2006/relationships/hyperlink" Target="https://rxo.com/track/RXONC20ONLG0SXIE26" TargetMode="External"/><Relationship Id="rId222" Type="http://schemas.openxmlformats.org/officeDocument/2006/relationships/hyperlink" Target="https://rxo.com/track/RXONC20OSZUSZX8D26" TargetMode="External"/><Relationship Id="rId667" Type="http://schemas.openxmlformats.org/officeDocument/2006/relationships/hyperlink" Target="https://ext-web.ltl-xpo.com/public-app/shipments?referenceNumber=216830596&amp;_gl=1*9c9d6w*_gcl_au*MTQ5ODM0NzM5Ni4xNzc4Njg2NzM2LjExOTcyODg3OTIuMTc4NTE3MTA2OC4xNzg1MTcyMTkzLjc5NjM3MTM2NS4xNzg1MTU0NjEyLjE3ODUxNzIxOTM." TargetMode="External"/><Relationship Id="rId874" Type="http://schemas.openxmlformats.org/officeDocument/2006/relationships/hyperlink" Target="https://ext-web.ltl-xpo.com/public-app/shipments?referenceNumber=557716574&amp;_gl=1*1bvvr3i*_gcl_au*ODY0MTMyMDc0LjE3ODQyMTg3NzkuMTA4MTg4NTIxMy4xNzg5MDUyNTkzLjE3ODkwNTI4MTIuNzI3MjI5OC4xNzg4OTc1Mjc5LjE3ODkwNTI4MTI." TargetMode="External"/><Relationship Id="rId17" Type="http://schemas.openxmlformats.org/officeDocument/2006/relationships/hyperlink" Target="https://ext-web.ltl-xpo.com/public-app/shipments?referenceNumber=138898841&amp;_gl=1*tmjraq*_gcl_au*NzE3Njc0MDQ0LjE3Njc3MjI5MDAuMTQxNDM5MzkxLjE3Njg5MjE2MTEuMTc2ODkyMTYxMA.." TargetMode="External"/><Relationship Id="rId527" Type="http://schemas.openxmlformats.org/officeDocument/2006/relationships/hyperlink" Target="https://rxo.com/track/RXONC20OCVTZYBUF26" TargetMode="External"/><Relationship Id="rId734" Type="http://schemas.openxmlformats.org/officeDocument/2006/relationships/hyperlink" Target="https://ext-web.ltl-xpo.com/public-app/shipments?referenceNumber=216844353&amp;_gl=1*arpln*_gcl_au*MTQ5ODM0NzM5Ni4xNzc4Njg2NzM2LjkyOTQ4ODU5Mi4xNzg2MTEwMDI3LjE3ODYxMTA4ODguMTMxOTY3NjAzNC4xNzg2MDI1MDcwLjE3ODYxMTA5Mjg." TargetMode="External"/><Relationship Id="rId941" Type="http://schemas.openxmlformats.org/officeDocument/2006/relationships/hyperlink" Target="https://ext-web.ltl-xpo.com/public-app/shipments?referenceNumber=557741774&amp;_gl=1*skfj7o*_gcl_au*MTU4MjMwMTQ3MS4xNzg2NDYyODMwLjExMTQyODk0MDkuMTc5MDI1NzEyMi4xNzkwMjU3NDk3LjI1NzY5MDkyMS4xNzkwMjU3MTIyLjE3OTAyNTc0OTc." TargetMode="External"/><Relationship Id="rId70" Type="http://schemas.openxmlformats.org/officeDocument/2006/relationships/hyperlink" Target="https://www.fedex.com/fedextrack/?trknbr=6188139090" TargetMode="External"/><Relationship Id="rId166" Type="http://schemas.openxmlformats.org/officeDocument/2006/relationships/hyperlink" Target="https://ext-web.ltl-xpo.com/public-app/shipments?referenceNumber=527650001&amp;_gl=1*10tdl2v*_gcl_au*MTQ0NDI3MDM3My4xNzc2NDQyMDAzLjgzNjAzMTk4MC4xNzgxMjk3NTgzLjE3ODEyOTk3NTA." TargetMode="External"/><Relationship Id="rId373" Type="http://schemas.openxmlformats.org/officeDocument/2006/relationships/hyperlink" Target="https://rxo.com/track/RXONC20O5BTOIGLE26" TargetMode="External"/><Relationship Id="rId580" Type="http://schemas.openxmlformats.org/officeDocument/2006/relationships/hyperlink" Target="https://ext-web.ltl-xpo.com/public-app/shipments?referenceNumber=216808200&amp;_gl=1*1bwk7ct*_gcl_au*MTQ0NDI3MDM3My4xNzc2NDQyMDAzLjk4ODgyMzQ3LjE3ODQxMjI0MTIuMTc4NDEyNTY4Ng.." TargetMode="External"/><Relationship Id="rId801" Type="http://schemas.openxmlformats.org/officeDocument/2006/relationships/hyperlink" Target="https://ext-web.ltl-xpo.com/public-app/shipments?referenceNumber=216871594&amp;_gl=1*154kx1p*_gcl_au*ODgwMzAyNjQ3LjE3ODY0NTQxMDguMTAwNDcwNDM3Ny4xNzg3MjM1MTk0LjE3ODcyMzUzMTkuMTUxMzg5NjI2Ni4xNzg3MjM1MTk0LjE3ODcyMzUzMTk." TargetMode="External"/><Relationship Id="rId1017" Type="http://schemas.openxmlformats.org/officeDocument/2006/relationships/hyperlink" Target="http://www.daytonfreight.com/Tracking/TrackingDetail.aspx?proNum=00037410836" TargetMode="External"/><Relationship Id="rId1" Type="http://schemas.openxmlformats.org/officeDocument/2006/relationships/hyperlink" Target="https://ext-web.ltl-xpo.com/public-app/shipments?referenceNumber=138875133&amp;_gl=1*1b5pbgl*_gcl_au*NTc0MjQ1MzM4LjE3NTk5NDU0MzguNDU5MjAwNDI5LjE3NjY0NDY5NzMuMTc2NjQ0Njk3Mw.." TargetMode="External"/><Relationship Id="rId233" Type="http://schemas.openxmlformats.org/officeDocument/2006/relationships/hyperlink" Target="https://ext-web.ltl-xpo.com/public-app/shipments?referenceNumber=321364046&amp;_gl=1*hoibw8*_gcl_au*MTA5OTE3NzIyNi4xNzcyNjMzNDg1Ljg1OTg2MjM5My4xNzc2MzY3Mzc2LjE3NzYzNjg3MTQ." TargetMode="External"/><Relationship Id="rId440" Type="http://schemas.openxmlformats.org/officeDocument/2006/relationships/hyperlink" Target="https://rxo.com/track/RXONC20OWCBKWIBF26" TargetMode="External"/><Relationship Id="rId678" Type="http://schemas.openxmlformats.org/officeDocument/2006/relationships/hyperlink" Target="https://pittohio.com/myPittOhio/Shipping/LTL/tracerequest?pro=5057002268" TargetMode="External"/><Relationship Id="rId885" Type="http://schemas.openxmlformats.org/officeDocument/2006/relationships/hyperlink" Target="https://ext-web.ltl-xpo.com/public-app/shipments?referenceNumber=557708830&amp;_gl=1*es4n7o*_gcl_au*ODgwMzAyNjQ3LjE3ODY0NTQxMDguLS4tLjE3ODkwNTI3OTEuNTcyNzYzMzE0LjE3ODk0Nzc0NzYuMTc4OTQ4NDY5NA.." TargetMode="External"/><Relationship Id="rId28" Type="http://schemas.openxmlformats.org/officeDocument/2006/relationships/hyperlink" Target="https://ext-web.ltl-xpo.com/public-app/shipments?referenceNumber=360097986&amp;_gl=1*1y7h2tm*_gcl_au*NzE3Njc0MDQ0LjE3Njc3MjI5MDAuMTE0OTU0NzY5LjE3Njk3MTQ4MDEuMTc2OTcxODMyNw.." TargetMode="External"/><Relationship Id="rId300" Type="http://schemas.openxmlformats.org/officeDocument/2006/relationships/hyperlink" Target="https://rxo.com/track/RXONC20OWRT4QA6E26" TargetMode="External"/><Relationship Id="rId538" Type="http://schemas.openxmlformats.org/officeDocument/2006/relationships/hyperlink" Target="https://ext-web.ltl-xpo.com/public-app/shipments?referenceNumber=163486761&amp;_gl=1*1mr7gal*_gcl_au*MTQ5ODM0NzM5Ni4xNzc4Njg2NzM2LjEzMTYyNTk4ODIuMTc4MzAxMTk1Ny4xNzgzMDEyMTk4" TargetMode="External"/><Relationship Id="rId745" Type="http://schemas.openxmlformats.org/officeDocument/2006/relationships/hyperlink" Target="http://facts.dohrn.com/scripts/cgiip.exe/protraceext.htm?wpro=80642877" TargetMode="External"/><Relationship Id="rId952" Type="http://schemas.openxmlformats.org/officeDocument/2006/relationships/hyperlink" Target="https://ext-web.ltl-xpo.com/public-app/shipments?referenceNumber=557741940&amp;_gl=1*1rv65cr*_gcl_au*ODgwMzAyNjQ3LjE3ODY0NTQxMDguMTkxMTM5MTU0Mi4xNzkwMjczMDU5LjE3OTAyNzMyNzcuMTA5MDUyNjQ1MC4xNzkwMjU1NDUzLjE3OTAyNzMyNzc." TargetMode="External"/><Relationship Id="rId81" Type="http://schemas.openxmlformats.org/officeDocument/2006/relationships/hyperlink" Target="http://www.daytonfreight.com/Tracking/TrackingDetail.aspx?proNum=00034198974" TargetMode="External"/><Relationship Id="rId177" Type="http://schemas.openxmlformats.org/officeDocument/2006/relationships/hyperlink" Target="https://www.saia.com/tracing/ajaxprostatusbypro.aspx?nh=N&amp;Pro=121498104700" TargetMode="External"/><Relationship Id="rId384" Type="http://schemas.openxmlformats.org/officeDocument/2006/relationships/hyperlink" Target="https://ext-web.ltl-xpo.com/public-app/shipments?referenceNumber=451239025&amp;_gl=1*ppq0ov*_gcl_au*MTQ0NDI3MDM3My4xNzc2NDQyMDAzLjc4OTQyMDk5MS4xNzc5ODkwODcxLjE3Nzk4OTIxMTg." TargetMode="External"/><Relationship Id="rId591" Type="http://schemas.openxmlformats.org/officeDocument/2006/relationships/hyperlink" Target="https://facts.dohrn.com/scripts/cgiip.exe/protraceext.htm?wpro=80642769" TargetMode="External"/><Relationship Id="rId605" Type="http://schemas.openxmlformats.org/officeDocument/2006/relationships/hyperlink" Target="https://ext-web.ltl-xpo.com/public-app/shipments?referenceNumber=216817941&amp;_gl=1*1no8c9p*_gcl_au*ODY0MTMyMDc0LjE3ODQyMTg3NzkuNjYzMDU2NDU2LjE3ODQ2NDkyOTguMTc4NDY0OTkyOC44OTY2MDE3OTkuMTc4NDY0MDkwMi4xNzg0NjQ5OTI4" TargetMode="External"/><Relationship Id="rId812" Type="http://schemas.openxmlformats.org/officeDocument/2006/relationships/hyperlink" Target="https://ext-web.ltl-xpo.com/public-app/shipments?referenceNumber=216876660&amp;_gl=1*1mr0npn*_gcl_au*ODY0MTMyMDc0LjE3ODQyMTg3NzkuNTI0NzIzMzUxLjE3ODc1OTM0ODMuMTc4NzU5MzgyNi4xNDM3NDY5MzA0LjE3ODc1NzY2MTQuMTc4NzU5MzgyNg.." TargetMode="External"/><Relationship Id="rId1028" Type="http://schemas.openxmlformats.org/officeDocument/2006/relationships/hyperlink" Target="https://rxo.com/track/RXONC20OSAYWRA9J26" TargetMode="External"/><Relationship Id="rId244" Type="http://schemas.openxmlformats.org/officeDocument/2006/relationships/hyperlink" Target="https://pittohio.com/myPittOhio/Shipping/LTL/tracerequest?pro=5056000821" TargetMode="External"/><Relationship Id="rId689" Type="http://schemas.openxmlformats.org/officeDocument/2006/relationships/hyperlink" Target="https://ext-web.ltl-xpo.com/public-app/shipments?referenceNumber=216838790&amp;_gl=1*ttm6ex*_gcl_au*ODY0MTMyMDc0LjE3ODQyMTg3NzkuMTIyNTk2OTQzNS4xNzg1MjY4MDQ4LjE3ODUyNzA5NTQuNTMyMjM2MDY5LjE3ODUyNDM4OTcuMTc4NTI3MDk1NA.." TargetMode="External"/><Relationship Id="rId896" Type="http://schemas.openxmlformats.org/officeDocument/2006/relationships/hyperlink" Target="https://ext-web.ltl-xpo.com/public-app/shipments?referenceNumber=557730051&amp;_gl=1*1uxp9rn*_gcl_au*ODgwMzAyNjQ3LjE3ODY0NTQxMDguMjExMDIwMTI3NC4xNzg5NjUwNTU4LjE3ODk2NTE4NjAuNTEyNjk4OTA5LjE3ODk2NTEwOTkuMTc4OTY1MTg2MA.." TargetMode="External"/><Relationship Id="rId39" Type="http://schemas.openxmlformats.org/officeDocument/2006/relationships/hyperlink" Target="https://rxo.com/track/RXONC20OFSOFRJ2B26" TargetMode="External"/><Relationship Id="rId451" Type="http://schemas.openxmlformats.org/officeDocument/2006/relationships/hyperlink" Target="https://ext-web.ltl-xpo.com/public-app/shipments?referenceNumber=163455692&amp;_gl=1*162n8px*_gcl_au*MTQ0NDI3MDM3My4xNzc2NDQyMDAzLjIwNDExNzc3NTEuMTc4MTYyMTk2Mi4xNzgxNjI0ODM1" TargetMode="External"/><Relationship Id="rId549" Type="http://schemas.openxmlformats.org/officeDocument/2006/relationships/hyperlink" Target="https://tools.daytonfreight.com/tracking/detail/00034912995" TargetMode="External"/><Relationship Id="rId756" Type="http://schemas.openxmlformats.org/officeDocument/2006/relationships/hyperlink" Target="http://www.daytonfreight.com/Tracking/TrackingDetail.aspx?proNum=00034913531" TargetMode="External"/><Relationship Id="rId104" Type="http://schemas.openxmlformats.org/officeDocument/2006/relationships/hyperlink" Target="https://ext-web.ltl-xpo.com/public-app/shipments?referenceNumber=789803011&amp;_gl=1*if1pvk*_gcl_au*https://ext-web.ltl-xpo.com/public-app/shipments?referenceNumber=606937380&amp;_gl=1*1ftfjdo*_gcl_au*NzE3Njc0MDQ0LjE3Njc3MjI5MDAuMTg2MzEzMDYyOS4xNzczMDgyMDg2LjE3NzMwODIxNjM..." TargetMode="External"/><Relationship Id="rId188" Type="http://schemas.openxmlformats.org/officeDocument/2006/relationships/hyperlink" Target="https://ext-web.ltl-xpo.com/public-app/shipments?referenceNumber=527659532&amp;_gl=1*1drqjph*_gcl_au*MTA5OTE3NzIyNi4xNzcyNjMzNDg1Ljc5NjExMjU1LjE3NzUwNDk1OTQuMTc3NTA1MTA4Mw.." TargetMode="External"/><Relationship Id="rId311" Type="http://schemas.openxmlformats.org/officeDocument/2006/relationships/hyperlink" Target="https://ext-web.ltl-xpo.com/public-app/shipments?referenceNumber=321400435&amp;_gl=1*jah4nm*_gcl_au*MTQ0NDI3MDM3My4xNzc2NDQyMDAzLjEwNjkwNTMzNDMuMTc3ODE2MDU0NC4xNzc4MTYwNjUz" TargetMode="External"/><Relationship Id="rId395" Type="http://schemas.openxmlformats.org/officeDocument/2006/relationships/hyperlink" Target="https://ext-web.ltl-xpo.com/public-app/shipments?referenceNumber=451249864&amp;_gl=1*17hzqgm*_gcl_au*MTQ5ODM0NzM5Ni4xNzc4Njg2NzM2LjIwNTQzNjkxMzIuMTc4MDQwNzUxOS4xNzgwNDA3NTIw" TargetMode="External"/><Relationship Id="rId409" Type="http://schemas.openxmlformats.org/officeDocument/2006/relationships/hyperlink" Target="https://rxo.com/track/RXONC20OHYA0AK3F26" TargetMode="External"/><Relationship Id="rId963" Type="http://schemas.openxmlformats.org/officeDocument/2006/relationships/hyperlink" Target="https://ext-web.ltl-xpo.com/public-app/shipments?referenceNumber=557743340&amp;_gl=1*15mh3om*_gcl_au*ODgwMzAyNjQ3LjE3ODY0NTQxMDguNDYyMDcyNjg5LjE3OTAzNDE0OTUuMTc5MDM0NDk5Ny41NjMxMzI2NTguMTc5MDM0MjI2MS4xNzkwMzQ0OTk3" TargetMode="External"/><Relationship Id="rId92" Type="http://schemas.openxmlformats.org/officeDocument/2006/relationships/hyperlink" Target="https://rxo.com/track/RXONC20OBRHBVLPB26" TargetMode="External"/><Relationship Id="rId616" Type="http://schemas.openxmlformats.org/officeDocument/2006/relationships/hyperlink" Target="https://facts.dohrn.com/scripts/cgiip.exe/track.htm?language=ENGLISH&amp;encpronumb=CuhlDk4lAGqRoD7pBXMSmg%3D%3D" TargetMode="External"/><Relationship Id="rId823" Type="http://schemas.openxmlformats.org/officeDocument/2006/relationships/hyperlink" Target="https://ext-web.ltl-xpo.com/public-app/shipments?referenceNumber=557691094&amp;_gl=1*1j7ozm0*_gcl_au*ODY0MTMyMDc0LjE3ODQyMTg3NzkuMTc1OTI3MzE4My4xNzg3NzUzNDA5LjE3ODc3NTQ2MjMuMTIxNzMxNzAuMTc4Nzc1MDgxOS4xNzg3NzU0NjU4" TargetMode="External"/><Relationship Id="rId255" Type="http://schemas.openxmlformats.org/officeDocument/2006/relationships/hyperlink" Target="https://ext-web.ltl-xpo.com/public-app/shipments?referenceNumber=321374745&amp;_gl=1*4ky8x3*_gcl_au*MTQ0NDI3MDM3My4xNzc2NDQyMDAzLjc2MTcwMDk4My4xNzc2ODg0ODQzLjE3NzY4ODc2MjY." TargetMode="External"/><Relationship Id="rId462" Type="http://schemas.openxmlformats.org/officeDocument/2006/relationships/hyperlink" Target="https://ext-web.ltl-xpo.com/public-app/shipments?referenceNumber=163456786&amp;_gl=1*1w724ht*_gcl_au*MTQ0NDI3MDM3My4xNzc2NDQyMDAzLjQwMDQ2NjMwNi4xNzgxNjM4OTE4LjE3ODE2MzkxMTk." TargetMode="External"/><Relationship Id="rId115" Type="http://schemas.openxmlformats.org/officeDocument/2006/relationships/hyperlink" Target="https://ext-web.ltl-xpo.com/public-app/shipments?referenceNumber=606941160&amp;_gl=1*qvl5r7*_gcl_au*NzE3Njc0MDQ0LjE3Njc3MjI5MDAuMTg2MzEzMDYyOS4xNzczMDgyMDg2LjE3NzMwODIxNjM." TargetMode="External"/><Relationship Id="rId322" Type="http://schemas.openxmlformats.org/officeDocument/2006/relationships/hyperlink" Target="https://ext-web.ltl-xpo.com/public-app/shipments?referenceNumber=321402266&amp;_gl=1*d1qd08*_gcl_au*MTQ0NDI3MDM3My4xNzc2NDQyMDAzLjgxNzI3OTQyLjE3NzgxODA2MjYuMTc3ODE4MzI5OQ.." TargetMode="External"/><Relationship Id="rId767" Type="http://schemas.openxmlformats.org/officeDocument/2006/relationships/hyperlink" Target="https://rxo.com/track/RXONC20OHSJJMUDH26" TargetMode="External"/><Relationship Id="rId974" Type="http://schemas.openxmlformats.org/officeDocument/2006/relationships/hyperlink" Target="https://ext-web.ltl-xpo.com/public-app/shipments?referenceNumber=557745366&amp;_gl=1*1mfmxr4*_gcl_au*ODY0MTMyMDc0LjE3ODQyMTg3NzkuNTA0NzY5NTI1LjE3OTAzNTAyOTUuMTc5MDM1MTIyMi4yMzk5ODczOTEuMTc5MDM0NTkyMi4xNzkwMzUxMjIy" TargetMode="External"/><Relationship Id="rId199" Type="http://schemas.openxmlformats.org/officeDocument/2006/relationships/hyperlink" Target="http://www.saia.com/Tracing/AjaxProstatusByPro.aspx?nh=N&amp;Pro=121498670906" TargetMode="External"/><Relationship Id="rId627" Type="http://schemas.openxmlformats.org/officeDocument/2006/relationships/hyperlink" Target="https://ext-web.ltl-xpo.com/public-app/shipments?referenceNumber=216823806&amp;_gl=1*z0759y*_gcl_au*MTQ5ODM0NzM5Ni4xNzc4Njg2NzM2LjE3Mzg0MjM2MTYuMTc4NDgyMjUxNC4xNzg0ODI0MjQyLjU0OTI4NTQ2LjE3ODQ4MTgwNzUuMTc4NDgyNDI0Mg.." TargetMode="External"/><Relationship Id="rId834" Type="http://schemas.openxmlformats.org/officeDocument/2006/relationships/hyperlink" Target="https://ext-web.ltl-xpo.com/public-app/shipments?referenceNumber=557691702&amp;_gl=1*bbsm50*_gcl_au*ODY0MTMyMDc0LjE3ODQyMTg3NzkuMTc1OTI3MzE4My4xNzg3NzUzNDA5LjE3ODc3NjAwMzIuMTIxNzMxNzAuMTc4Nzc1MDgxOS4xNzg3NzYwMDc5" TargetMode="External"/><Relationship Id="rId266" Type="http://schemas.openxmlformats.org/officeDocument/2006/relationships/hyperlink" Target="http://www.daytonfreight.com/Tracking/TrackingDetail.aspx?proNum=826912489" TargetMode="External"/><Relationship Id="rId473" Type="http://schemas.openxmlformats.org/officeDocument/2006/relationships/hyperlink" Target="https://rxo.com/track/RXONC20OUAKYUQHF26" TargetMode="External"/><Relationship Id="rId680" Type="http://schemas.openxmlformats.org/officeDocument/2006/relationships/hyperlink" Target="https://ext-web.ltl-xpo.com/public-app/shipments?referenceNumber=216834354&amp;_gl=1*1ntkrmm*_gcl_au*MTQ5ODM0NzM5Ni4xNzc4Njg2NzM2LjI4NDY1MTE5LjE3ODUyNTYyMjUuMTc4NTI1NjI4MC41MTg2MTA3NS4xNzg1MjQ1Mzc2LjE3ODUyNTYyODA." TargetMode="External"/><Relationship Id="rId901" Type="http://schemas.openxmlformats.org/officeDocument/2006/relationships/hyperlink" Target="https://ext-web.ltl-xpo.com/public-app/shipments?referenceNumber=557731403&amp;_gl=1*we7qbc*_gcl_au*ODgwMzAyNjQ3LjE3ODY0NTQxMDguNTMxNzc0MTAzLjE3ODk3NDY2MTkuMTc4OTc0NjcyNC4xMjEwNzYzNDA1LjE3ODk3Mzg4NDQuMTc4OTc0NjcyNA.." TargetMode="External"/><Relationship Id="rId30" Type="http://schemas.openxmlformats.org/officeDocument/2006/relationships/hyperlink" Target="https://rxo.com/track/RXONC20ODCZZ2GSA26" TargetMode="External"/><Relationship Id="rId126" Type="http://schemas.openxmlformats.org/officeDocument/2006/relationships/hyperlink" Target="https://ext-web.ltl-xpo.com/public-app/shipments?referenceNumber=637614040&amp;_gl=1*6ww7lw*_gcl_au*NzE3Njc0MDQ0LjE3Njc3MjI5MDAuNzIwNzgzMDIzLjE3NzMzMjE4NDcuMTc3MzMyMjc2OA.." TargetMode="External"/><Relationship Id="rId333" Type="http://schemas.openxmlformats.org/officeDocument/2006/relationships/hyperlink" Target="https://pittohio.com/myPittOhio/Shipping/LTL/tracerequest?pro=5056001072" TargetMode="External"/><Relationship Id="rId540" Type="http://schemas.openxmlformats.org/officeDocument/2006/relationships/hyperlink" Target="https://facts.dohrn.com/scripts/cgiip.exe/protraceext.htm?wpro=80642668" TargetMode="External"/><Relationship Id="rId778" Type="http://schemas.openxmlformats.org/officeDocument/2006/relationships/hyperlink" Target="https://ext-web.ltl-xpo.com/public-app/shipments?referenceNumber=216864222&amp;_gl=1*1dkx84g*_gcl_au*ODY0MTMyMDc0LjE3ODQyMTg3NzkuMjEyNzEyODY5LjE3ODY5ODM0NjIuMTc4Njk4Mzc3Mi4xNzMzNjYwODIzLjE3ODY5NzE3MjEuMTc4Njk4Mzc3Mg.." TargetMode="External"/><Relationship Id="rId985" Type="http://schemas.openxmlformats.org/officeDocument/2006/relationships/hyperlink" Target="https://pittohio.com/myPittOhio/Shipping/LTL/tracerequest?pro=5057002852" TargetMode="External"/><Relationship Id="rId638" Type="http://schemas.openxmlformats.org/officeDocument/2006/relationships/hyperlink" Target="https://ext-web.ltl-xpo.com/public-app/shipments?referenceNumber=216824451&amp;_gl=1*1lvf0j0*_gcl_au*MTQ5ODM0NzM5Ni4xNzc4Njg2NzM2LjIxMzA0NjU0NTcuMTc4NDgyODc1NC4xNzg0ODMyNjExLjU0OTI4NTQ2LjE3ODQ4MTgwNzUuMTc4NDgzMjYxMQ.." TargetMode="External"/><Relationship Id="rId845" Type="http://schemas.openxmlformats.org/officeDocument/2006/relationships/hyperlink" Target="https://tools.daytonfreight.com/tracking/detail/00034913883" TargetMode="External"/><Relationship Id="rId1030" Type="http://schemas.openxmlformats.org/officeDocument/2006/relationships/hyperlink" Target="https://ext-web.ltl-xpo.com/public-app/shipments?referenceNumber=557777216&amp;_gl=1*14qib3h*_gcl_au*MTU4MjMwMTQ3MS4xNzg2NDYyODMwLjE2ODcyNDk1MzcuMTc5MTkxMTg0Mi4xNzkxOTEyNTE5LjExMDc3NTEzMjcuMTc5MTg5ODExMS4xNzkxOTEyNTE5" TargetMode="External"/><Relationship Id="rId277" Type="http://schemas.openxmlformats.org/officeDocument/2006/relationships/hyperlink" Target="https://ext-web.ltl-xpo.com/public-app/shipments?referenceNumber=321383823&amp;_gl=1*cr1jjg*_gcl_au*MTQ0NDI3MDM3My4xNzc2NDQyMDAzLjE4MTA2NzkxNTguMTc3NzM5MzU0OS4xNzc3Mzk1NDgx" TargetMode="External"/><Relationship Id="rId400" Type="http://schemas.openxmlformats.org/officeDocument/2006/relationships/hyperlink" Target="https://rxo.com/track/RXONC20OPVUTUATE26" TargetMode="External"/><Relationship Id="rId484" Type="http://schemas.openxmlformats.org/officeDocument/2006/relationships/hyperlink" Target="https://ext-web.ltl-xpo.com/public-app/shipments?referenceNumber=253688385&amp;_gl=1*1h1qi59*_gcl_au*MTQ0NDI3MDM3My4xNzc2NDQyMDAzLjE0NjkwMDI4MjIuMTc4MjE1NjMyNi4xNzgyMTU2NDQx" TargetMode="External"/><Relationship Id="rId705" Type="http://schemas.openxmlformats.org/officeDocument/2006/relationships/hyperlink" Target="https://ext-web.ltl-xpo.com/public-app/shipments?referenceNumber=216844331&amp;_gl=1*delk74*_gcl_au*ODY0MTMyMDc0LjE3ODQyMTg3NzkuMTcyNzE0MDMyMS4xNzg1MzQ5NjI2LjE3ODUzNTA4MjEuNjYyMjg4ODE3LjE3ODUzMzI0MjQuMTc4NTM1MDk0Nw.." TargetMode="External"/><Relationship Id="rId137" Type="http://schemas.openxmlformats.org/officeDocument/2006/relationships/hyperlink" Target="https://ext-web.ltl-xpo.com/public-app/shipments?referenceNumber=527631090&amp;_gl=1*qzwntp*_gcl_au*NTY5Mzg4NDU0LjE3NjU5OTg3MDkuNTYxMjY5NDIzLjE3NzM0MjU4MDguMTc3MzQyNjUzOA.." TargetMode="External"/><Relationship Id="rId344" Type="http://schemas.openxmlformats.org/officeDocument/2006/relationships/hyperlink" Target="https://ext-web.ltl-xpo.com/public-app/shipments?referenceNumber=451217594&amp;_gl=1*5nn79t*_gcl_au*NDI3NjEyOTY3LjE3NzA5OTIyMjguMjE5MjYxNzUwLjE3Nzg2MTEzNjYuMTc3ODYxMTc3OA.." TargetMode="External"/><Relationship Id="rId691" Type="http://schemas.openxmlformats.org/officeDocument/2006/relationships/hyperlink" Target="https://rxo.com/track/RXONC20OOXRJBJSG26" TargetMode="External"/><Relationship Id="rId789" Type="http://schemas.openxmlformats.org/officeDocument/2006/relationships/hyperlink" Target="https://ext-web.ltl-xpo.com/public-app/shipments?referenceNumber=216868050&amp;_gl=1*1wfvss4*_gcl_au*ODgwMzAyNjQ3LjE3ODY0NTQxMDguMzcxMTI5NjIwLjE3ODcwODA4MTYuMTc4NzA4MTE5MC4xOTQ1Nzg1MDE1LjE3ODcwNTgyNjAuMTc4NzA4MTMwMw.." TargetMode="External"/><Relationship Id="rId912" Type="http://schemas.openxmlformats.org/officeDocument/2006/relationships/hyperlink" Target="https://ext-web.ltl-xpo.com/public-app/shipments?referenceNumber=557736631&amp;_gl=1*1artnay*_gcl_au*MTU4MjMwMTQ3MS4xNzg2NDYyODMwLjE0MzI4ODMxNjkuMTc5MDA4NzA1NS4xNzkwMDg3NjAxLjg1MTk1NzM4MC4xNzkwMDgzNjM1LjE3OTAwODc2MDE." TargetMode="External"/><Relationship Id="rId996" Type="http://schemas.openxmlformats.org/officeDocument/2006/relationships/hyperlink" Target="https://rxo.com/track/RXONC20ODDDPC51J26" TargetMode="External"/><Relationship Id="rId41" Type="http://schemas.openxmlformats.org/officeDocument/2006/relationships/hyperlink" Target="https://rxo.com/track/RXONC20OMQXX4L2B26" TargetMode="External"/><Relationship Id="rId551" Type="http://schemas.openxmlformats.org/officeDocument/2006/relationships/hyperlink" Target="https://pittohio.com/myPittOhio/Shipping/LTL/tracerequest?pro=5057003072" TargetMode="External"/><Relationship Id="rId649" Type="http://schemas.openxmlformats.org/officeDocument/2006/relationships/hyperlink" Target="https://ext-web.ltl-xpo.com/public-app/shipments?referenceNumber=216838705&amp;_gl=1*cd6ksv*_gcl_au*MTQ5ODM0NzM5Ni4xNzc4Njg2NzM2LjE1MDY3NTc1NDMuMTc4NDkxNzM2OS4xNzg0OTE3NTIxLjczOTkwMTUuMTc4NDkwNTA4My4xNzg0OTE3NTk0" TargetMode="External"/><Relationship Id="rId856" Type="http://schemas.openxmlformats.org/officeDocument/2006/relationships/hyperlink" Target="https://ext-web.ltl-xpo.com/public-app/shipments?referenceNumber=557708701&amp;_gl=1*8k0rx1*_gcl_au*ODY0MTMyMDc0LjE3ODQyMTg3NzkuMzk4OTgzNjg4LjE3ODg1Mzk0OTUuMTc4ODUzOTk1MS4xNTM1NDg3MzE1LjE3ODg0NTQ3NDMuMTc4ODUzOTk1MQ.." TargetMode="External"/><Relationship Id="rId190" Type="http://schemas.openxmlformats.org/officeDocument/2006/relationships/hyperlink" Target="http://www.saia.com/Tracing/AjaxProstatusByPro.aspx?nh=N&amp;Pro=121498547100" TargetMode="External"/><Relationship Id="rId204" Type="http://schemas.openxmlformats.org/officeDocument/2006/relationships/hyperlink" Target="https://ext-web.ltl-xpo.com/public-app/shipments?referenceNumber=527667210&amp;_gl=1*qy95ds*_gcl_au*MTA5OTE3NzIyNi4xNzcyNjMzNDg1LjIxMzI4OTEyNzIuMTc3NTUwODgzMS4xNzc1NTEwNjU4" TargetMode="External"/><Relationship Id="rId288" Type="http://schemas.openxmlformats.org/officeDocument/2006/relationships/hyperlink" Target="https://ext-web.ltl-xpo.com/public-app/shipments?referenceNumber=321387824&amp;_gl=1*13jzsi1*_gcl_au*MTc1OTAzNzIyOS4xNzc1NDk5NDI2LjEzNjg0Njc5NzguMTc3NzQ4NjczMS4xNzc3NDk1OTk3" TargetMode="External"/><Relationship Id="rId411" Type="http://schemas.openxmlformats.org/officeDocument/2006/relationships/hyperlink" Target="https://ext-web.ltl-xpo.com/public-app/shipments?referenceNumber=451253364&amp;_gl=1*1d0pi1m*_gcl_au*MTQ0NDI3MDM3My4xNzc2NDQyMDAzLjc0MjYyMjg2My4xNzgwNTA3MTcyLjE3ODA1MDczNjA." TargetMode="External"/><Relationship Id="rId509" Type="http://schemas.openxmlformats.org/officeDocument/2006/relationships/hyperlink" Target="https://customer.rxoconnect.rxo.com/orders/148917858/details" TargetMode="External"/><Relationship Id="rId495" Type="http://schemas.openxmlformats.org/officeDocument/2006/relationships/hyperlink" Target="https://ext-web.ltl-xpo.com/public-app/shipments?referenceNumber=163471814&amp;_gl=1*1ap7x2s*_gcl_au*MTQ5ODM0NzM5Ni4xNzc4Njg2NzM2LjIyNDM1Nzg4OS4xNzgyMzIwMzIwLjE3ODIzMjE2MjY." TargetMode="External"/><Relationship Id="rId716" Type="http://schemas.openxmlformats.org/officeDocument/2006/relationships/hyperlink" Target="https://pittohio.com/myPittOhio/Shipping/LTL/tracerequest?pro=5057002342" TargetMode="External"/><Relationship Id="rId923" Type="http://schemas.openxmlformats.org/officeDocument/2006/relationships/hyperlink" Target="https://ext-web.ltl-xpo.com/public-app/shipments?referenceNumber=557738300&amp;_gl=1*qwud0z*_gcl_au*ODY0MTMyMDc0LjE3ODQyMTg3NzkuNzAyMjU4MzY5LjE3OTAxMTA4NTcuMTc5MDExMTMzOS4yODQ0NDE1NDEuMTc5MDA4MjcxMy4xNzkwMTExMzM5" TargetMode="External"/><Relationship Id="rId52" Type="http://schemas.openxmlformats.org/officeDocument/2006/relationships/hyperlink" Target="https://pittohio.com/myPittOhio/Shipping/LTL/tracerequest?pro=5055151926" TargetMode="External"/><Relationship Id="rId148" Type="http://schemas.openxmlformats.org/officeDocument/2006/relationships/hyperlink" Target="http://www.polaristransport.com/en/P3146761" TargetMode="External"/><Relationship Id="rId355" Type="http://schemas.openxmlformats.org/officeDocument/2006/relationships/hyperlink" Target="https://ext-web.ltl-xpo.com/public-app/shipments?referenceNumber=637399206&amp;_gl=1*1u3u97z*_gcl_au*MTQ0NDI3MDM3My4xNzc2NDQyMDAzLjEwOTMzMzM4NC4xNzc5MjEyOTkwLjE3NzkyMTM0MjY." TargetMode="External"/><Relationship Id="rId562" Type="http://schemas.openxmlformats.org/officeDocument/2006/relationships/hyperlink" Target="https://rxo.com/track/RXONC20O5D3YKY9G26" TargetMode="External"/><Relationship Id="rId215" Type="http://schemas.openxmlformats.org/officeDocument/2006/relationships/hyperlink" Target="https://rxo.com/track/RXONC20OFVIGS17D26" TargetMode="External"/><Relationship Id="rId422" Type="http://schemas.openxmlformats.org/officeDocument/2006/relationships/hyperlink" Target="http://www.daytonfreight.com/Tracking/TrackingDetail.aspx?proNum=00034912490" TargetMode="External"/><Relationship Id="rId867" Type="http://schemas.openxmlformats.org/officeDocument/2006/relationships/hyperlink" Target="https://ext-web.ltl-xpo.com/public-app/shipments?referenceNumber=557712514&amp;_gl=1*tcv9i9*_gcl_au*ODY0MTMyMDc0LjE3ODQyMTg3NzkuNjY3MTY4NzA5LjE3ODg4OTY2MDEuMTc4ODg5OTU3Ni4xMjA5MDE5NzUuMTc4ODg4ODE0NC4xNzg4ODk5NTc2" TargetMode="External"/><Relationship Id="rId299" Type="http://schemas.openxmlformats.org/officeDocument/2006/relationships/hyperlink" Target="https://ext-web.ltl-xpo.com/public-app/shipments?referenceNumber=321395233&amp;_gl=1*bpcho4*_gcl_au*MTQ0NDI3MDM3My4xNzc2NDQyMDAzLjkzNzUwNjQ3OC4xNzc4MDc4NDE0LjE3NzgwNzk2Mzg." TargetMode="External"/><Relationship Id="rId727" Type="http://schemas.openxmlformats.org/officeDocument/2006/relationships/hyperlink" Target="https://ext-web.ltl-xpo.com/public-app/shipments?referenceNumber=216839490&amp;_gl=1*1hiwpxi*_gcl_au*ODY0MTMyMDc0LjE3ODQyMTg3NzkuMTIxMDA4MDY1Mi4xNzg1ODc3MTE1LjE3ODU4Nzg5OTYuMjAyMzEwNjM3Mi4xNzg1ODUyMjY3LjE3ODU4Nzg5OTY." TargetMode="External"/><Relationship Id="rId934" Type="http://schemas.openxmlformats.org/officeDocument/2006/relationships/hyperlink" Target="https://ext-web.ltl-xpo.com/public-app/shipments?referenceNumber=557740621&amp;_gl=1*sriddd*_gcl_au*MTU4MjMwMTQ3MS4xNzg2NDYyODMwLjE5NTE0NDk2NTIuMTc5MDE4NzQ3NS4xNzkwMTkxODM0LjE1ODE0MTU0MjEuMTc5MDE3MDU3OC4xNzkwMTkxODgz" TargetMode="External"/><Relationship Id="rId63" Type="http://schemas.openxmlformats.org/officeDocument/2006/relationships/hyperlink" Target="https://pittohio.com/myPittOhio/Shipping/LTL/tracerequest?pro=5055152028" TargetMode="External"/><Relationship Id="rId159" Type="http://schemas.openxmlformats.org/officeDocument/2006/relationships/hyperlink" Target="https://rxo.com/track/RXONC20OCHKYXXNC26" TargetMode="External"/><Relationship Id="rId366" Type="http://schemas.openxmlformats.org/officeDocument/2006/relationships/hyperlink" Target="https://ext-web.ltl-xpo.com/public-app/shipments?referenceNumber=451229100&amp;_gl=1*1jpnce0*_gcl_au*MTQ5ODM0NzM5Ni4xNzc4Njg2NzM2LjQ4ODUxNTgzLjE3NzkzMDc0NjkuMTc3OTMwODgzMQ.." TargetMode="External"/><Relationship Id="rId573" Type="http://schemas.openxmlformats.org/officeDocument/2006/relationships/hyperlink" Target="https://rxo.com/track/RXONC20OCNBCSWEG26" TargetMode="External"/><Relationship Id="rId780" Type="http://schemas.openxmlformats.org/officeDocument/2006/relationships/hyperlink" Target="https://ext-web.ltl-xpo.com/public-app/shipments?referenceNumber=216866322&amp;_gl=1*65ocyq*_gcl_au*ODgwMzAyNjQ3LjE3ODY0NTQxMDguMTgxMjY0NTYxMC4xNzg3MDU5Mjk0LjE3ODcwNTk3NjMuMTk0NTc4NTAxNS4xNzg3MDU4MjYwLjE3ODcwNTk3NjM." TargetMode="External"/><Relationship Id="rId226" Type="http://schemas.openxmlformats.org/officeDocument/2006/relationships/hyperlink" Target="https://ext-web.ltl-xpo.com/public-app/shipments?referenceNumber=321356685&amp;_gl=1*1gb169s*_gcl_au*MTA5OTE3NzIyNi4xNzcyNjMzNDg1LjExNzYyNDAxNzcuMTc3NjEwMzY1OC4xNzc2MTA0MTAw" TargetMode="External"/><Relationship Id="rId433" Type="http://schemas.openxmlformats.org/officeDocument/2006/relationships/hyperlink" Target="https://ext-web.ltl-xpo.com/public-app/shipments?referenceNumber=163445623&amp;_gl=1*ysy8mv*_gcl_au*MTQ5ODM0NzM5Ni4xNzc4Njg2NzM2Ljg5ODY5NjgzNy4xNzgxMTE3NTQ3LjE3ODExMTgzNTU." TargetMode="External"/><Relationship Id="rId878" Type="http://schemas.openxmlformats.org/officeDocument/2006/relationships/hyperlink" Target="https://ext-web.ltl-xpo.com/public-app/shipments?referenceNumber=557718560&amp;_gl=1*wqy82q*_gcl_au*MTU4MjMwMTQ3MS4xNzg2NDYyODMwLjE5MzU3MjAyNTUuMTc4OTE0MzY4OS4xNzg5MTQ0MzIyLjk5NjQ2NzQ3Ny4xNzg5MTM1MzM5LjE3ODkxNDQzMjI." TargetMode="External"/><Relationship Id="rId640" Type="http://schemas.openxmlformats.org/officeDocument/2006/relationships/hyperlink" Target="https://ext-web.ltl-xpo.com/public-app/shipments?referenceNumber=216824473&amp;_gl=1*j4zadj*_gcl_au*ODY0MTMyMDc0LjE3ODQyMTg3NzkuMTg2ODA2MzQ1Ny4xNzg0ODI1Njk5LjE3ODQ4MzI4NzkuMTM0NjMxMTMzNC4xNzg0ODI5NDMzLjE3ODQ4MzI5NDQ." TargetMode="External"/><Relationship Id="rId738" Type="http://schemas.openxmlformats.org/officeDocument/2006/relationships/hyperlink" Target="https://tools.daytonfreight.com/tracking/detail/00034913424" TargetMode="External"/><Relationship Id="rId945" Type="http://schemas.openxmlformats.org/officeDocument/2006/relationships/hyperlink" Target="https://ext-web.ltl-xpo.com/public-app/shipments?referenceNumber=557742776&amp;_gl=1*8pext9*_gcl_au*ODY0MTMyMDc0LjE3ODQyMTg3NzkuMjEyODc1NzU2MS4xNzkwMjU3MDc2LjE3OTAyNTk0NTAuMjA2ODY1NzUyOC4xNzkwMjU3MDc2LjE3OTAyNTk0NTA." TargetMode="External"/><Relationship Id="rId74" Type="http://schemas.openxmlformats.org/officeDocument/2006/relationships/hyperlink" Target="https://ext-web.ltl-xpo.com/public-app/shipments?referenceNumber=789790105&amp;_gl=1*19mqf4z*_gcl_au*MTM5NDc1NDQzMy4xNzY4NTk1Njk4LjE1MjE1Mjc4NTcuMTc3MTYxMzI0Ny4xNzcxNjEzNjk2" TargetMode="External"/><Relationship Id="rId377" Type="http://schemas.openxmlformats.org/officeDocument/2006/relationships/hyperlink" Target="https://www.saia.com/tracing/ajaxprostatusbypro.aspx?nh=N&amp;Pro=121501176704" TargetMode="External"/><Relationship Id="rId500" Type="http://schemas.openxmlformats.org/officeDocument/2006/relationships/hyperlink" Target="https://ext-web.ltl-xpo.com/public-app/shipments?referenceNumber=163470860&amp;_gl=1*1ia8lzj*_gcl_au*MTQ0NDI3MDM3My4xNzc2NDQyMDAzLjkwNzc3NzY5MS4xNzgyMzIwMjA3LjE3ODIzMjU1NjU." TargetMode="External"/><Relationship Id="rId584" Type="http://schemas.openxmlformats.org/officeDocument/2006/relationships/hyperlink" Target="https://ext-web.ltl-xpo.com/public-app/shipments?referenceNumber=216809106&amp;_gl=1*v2xwc8*_gcl_au*MTQ0NDI3MDM3My4xNzc2NDQyMDAzLjE2NTgzMDI1NjcuMTc4NDEzMTA0MS4xNzg0MTMyMTYz" TargetMode="External"/><Relationship Id="rId805" Type="http://schemas.openxmlformats.org/officeDocument/2006/relationships/hyperlink" Target="https://ext-web.ltl-xpo.com/public-app/shipments?referenceNumber=216873576&amp;_gl=1*6lfca3*_gcl_au*MTU4MjMwMTQ3MS4xNzg2NDYyODMwLjE4MDQ1MjA1OTQuMTc4NzMxOTU1MC4xNzg3MzE5NzE5LjEwODg2NjY0MDguMTc4NzIzMzQ0MC4xNzg3MzE5NzE5" TargetMode="External"/><Relationship Id="rId5" Type="http://schemas.openxmlformats.org/officeDocument/2006/relationships/hyperlink" Target="https://ext-web.ltl-xpo.com/public-app/shipments?referenceNumber=178325114&amp;_gl=1*1xmxq6n*_gcl_au*NzE3Njc0MDQ0LjE3Njc3MjI5MDAuMTQ5NTI2Mzk0MS4xNzY3NzI0MTAzLjE3Njc3MjgyODE." TargetMode="External"/><Relationship Id="rId237" Type="http://schemas.openxmlformats.org/officeDocument/2006/relationships/hyperlink" Target="https://ext-web.ltl-xpo.com/public-app/shipments?referenceNumber=321364256&amp;_gl=1*1rnpwx1*_gcl_au*MTA5OTE3NzIyNi4xNzcyNjMzNDg1Ljg1OTg2MjM5My4xNzc2MzY3Mzc2LjE3NzYzNjg3MTQ." TargetMode="External"/><Relationship Id="rId791" Type="http://schemas.openxmlformats.org/officeDocument/2006/relationships/hyperlink" Target="http://www.daytonfreight.com/Tracking/TrackingDetail.aspx?proNum=00034913621" TargetMode="External"/><Relationship Id="rId889" Type="http://schemas.openxmlformats.org/officeDocument/2006/relationships/hyperlink" Target="https://ext-web.ltl-xpo.com/public-app/shipments?referenceNumber=557726665&amp;_gl=1*13tq0dn*_gcl_au*ODgwMzAyNjQ3LjE3ODY0NTQxMDguODAxNjIxMzI1LjE3ODk1NzA2NzQuMTc4OTU3MTQ1OS43NDEyODAwNTUuMTc4OTU2NDQ0Ny4xNzg5NTcxNDU5" TargetMode="External"/><Relationship Id="rId444" Type="http://schemas.openxmlformats.org/officeDocument/2006/relationships/hyperlink" Target="https://rxo.com/track/RXONC20OYEX0LICF26" TargetMode="External"/><Relationship Id="rId651" Type="http://schemas.openxmlformats.org/officeDocument/2006/relationships/hyperlink" Target="https://ext-web.ltl-xpo.com/public-app/shipments?referenceNumber=216848520&amp;_gl=1*13j6ric*_gcl_au*ODY0MTMyMDc0LjE3ODQyMTg3NzkuMTgzMTMyNjkyLjE3ODUxNTk4NDguMTc4NTE2MDU4NS4xNTkzNjMzODAyLjE3ODUxNTM4NjcuMTc4NTE2MDU4NQ.." TargetMode="External"/><Relationship Id="rId749" Type="http://schemas.openxmlformats.org/officeDocument/2006/relationships/hyperlink" Target="https://ext-web.ltl-xpo.com/public-app/shipments?referenceNumber=381-558306&amp;_gl=1*1e3qeel*_gcl_au*ODY0MTMyMDc0LjE3ODQyMTg3NzkuLS4tLjE3ODY2NTM1NjguNTEzMDIwNzMwLjE3ODY2MzM5ODMuMTc4NjcxOTg3MA.." TargetMode="External"/><Relationship Id="rId290" Type="http://schemas.openxmlformats.org/officeDocument/2006/relationships/hyperlink" Target="https://ext-web.ltl-xpo.com/public-app/shipments?referenceNumber=321388141&amp;_gl=1*3zfzbb*_gcl_au*MTc1OTAzNzIyOS4xNzc1NDk5NDI2LjEzNjg0Njc5NzguMTc3NzQ4NjczMS4xNzc3NDk1OTk3" TargetMode="External"/><Relationship Id="rId304" Type="http://schemas.openxmlformats.org/officeDocument/2006/relationships/hyperlink" Target="https://ext-web.ltl-xpo.com/public-app/shipments?referenceNumber=321398685&amp;_gl=1*ag2u7j*_gcl_au*MTQ0NDI3MDM3My4xNzc2NDQyMDAzLjExODcwMDc5NzkuMTc3ODA4NTI5MC4xNzc4MDg2MjA4" TargetMode="External"/><Relationship Id="rId388" Type="http://schemas.openxmlformats.org/officeDocument/2006/relationships/hyperlink" Target="https://ext-web.ltl-xpo.com/public-app/shipments?referenceNumber=451241722&amp;_gl=1*pntcer*_gcl_au*MTQ0NDI3MDM3My4xNzc2NDQyMDAzLjE2MjMyMzQ1MjAuMTc3OTk3MzYxOS4xNzc5OTc0Njg4" TargetMode="External"/><Relationship Id="rId511" Type="http://schemas.openxmlformats.org/officeDocument/2006/relationships/hyperlink" Target="https://ext-web.ltl-xpo.com/public-app/shipments?referenceNumber=163478033&amp;_gl=1*1w50n8c*_gcl_au*MTQ5ODM0NzM5Ni4xNzc4Njg2NzM2LjM3Njg2MTAwMS4xNzgyNzQ5MTMxLjE3ODI3NTE0MzA." TargetMode="External"/><Relationship Id="rId609" Type="http://schemas.openxmlformats.org/officeDocument/2006/relationships/hyperlink" Target="https://rxo.com/track/RXONC20OUJB4KLLG26" TargetMode="External"/><Relationship Id="rId956" Type="http://schemas.openxmlformats.org/officeDocument/2006/relationships/hyperlink" Target="https://rxo.com/track/RXONC20OGCCA2AOI26" TargetMode="External"/><Relationship Id="rId85" Type="http://schemas.openxmlformats.org/officeDocument/2006/relationships/hyperlink" Target="http://www.saia.com/Tracing/AjaxProstatusByPro.aspx?nh=N&amp;Pro=121496541600" TargetMode="External"/><Relationship Id="rId150" Type="http://schemas.openxmlformats.org/officeDocument/2006/relationships/hyperlink" Target="https://rxo.com/track/RXONC20OW13Z5BJC26" TargetMode="External"/><Relationship Id="rId595" Type="http://schemas.openxmlformats.org/officeDocument/2006/relationships/hyperlink" Target="https://rxo.com/track/RXONC20OKC0W54GG26" TargetMode="External"/><Relationship Id="rId816" Type="http://schemas.openxmlformats.org/officeDocument/2006/relationships/hyperlink" Target="https://rxo.com/track/RXONC20O5NIOEPPH26" TargetMode="External"/><Relationship Id="rId1001" Type="http://schemas.openxmlformats.org/officeDocument/2006/relationships/hyperlink" Target="https://ext-web.ltl-xpo.com/public-app/shipments?referenceNumber=557751165&amp;_gl=1*1i1tt9z*_gcl_au*ODgwMzAyNjQ3LjE3ODY0NTQxMDguNTQxMjM1NTY3LjE3OTA3MDIxNjQuMTc5MDcwMzE2MS4xMjU0MDg3OC4xNzkwNjg2ODUyLjE3OTA3MDMxNjE." TargetMode="External"/><Relationship Id="rId248" Type="http://schemas.openxmlformats.org/officeDocument/2006/relationships/hyperlink" Target="https://tools.daytonfreight.com/tracking/detail/00034911723" TargetMode="External"/><Relationship Id="rId455" Type="http://schemas.openxmlformats.org/officeDocument/2006/relationships/hyperlink" Target="https://rxo.com/track/RXONC20OKOMK1QGF26" TargetMode="External"/><Relationship Id="rId662" Type="http://schemas.openxmlformats.org/officeDocument/2006/relationships/hyperlink" Target="https://ext-web.ltl-xpo.com/public-app/shipments?referenceNumber=216846954&amp;_gl=1*1drudg0*_gcl_au*MTQ5ODM0NzM5Ni4xNzc4Njg2NzM2LjY1Mzc5NDkwMS4xNzg1MTU2NDcyLjE3ODUxNTk0MzIuNzk2MzcxMzY1LjE3ODUxNTQ2MTIuMTc4NTE1OTQzMg.." TargetMode="External"/><Relationship Id="rId12" Type="http://schemas.openxmlformats.org/officeDocument/2006/relationships/hyperlink" Target="http://www.saia.com/Tracing/AjaxProstatusByPro.aspx?nh=N&amp;Pro=121495229100" TargetMode="External"/><Relationship Id="rId108" Type="http://schemas.openxmlformats.org/officeDocument/2006/relationships/hyperlink" Target="http://www.saia.com/Tracing/AjaxProstatusByPro.aspx?nh=N&amp;Pro=121496842600" TargetMode="External"/><Relationship Id="rId315" Type="http://schemas.openxmlformats.org/officeDocument/2006/relationships/hyperlink" Target="https://www.saia.com/tracing/ajaxprostatusbypro.aspx?nh=N&amp;Pro=121500304605" TargetMode="External"/><Relationship Id="rId522" Type="http://schemas.openxmlformats.org/officeDocument/2006/relationships/hyperlink" Target="https://rxo.com/track/RXONC20OMZEQ1HTF26" TargetMode="External"/><Relationship Id="rId967" Type="http://schemas.openxmlformats.org/officeDocument/2006/relationships/hyperlink" Target="https://ext-web.ltl-xpo.com/public-app/shipments?referenceNumber=557744434&amp;_gl=1*1cndqoo*_gcl_au*ODY0MTMyMDc0LjE3ODQyMTg3NzkuMTc4MDYyMDk1NS4xNzkwMzQ1OTIyLjE3OTAzNDY1MzMuMjM5OTg3MzkxLjE3OTAzNDU5MjIuMTc5MDM0NjUzMw.." TargetMode="External"/><Relationship Id="rId96" Type="http://schemas.openxmlformats.org/officeDocument/2006/relationships/hyperlink" Target="https://rxo.com/track/RXONC20O5IXEPBRB26" TargetMode="External"/><Relationship Id="rId161" Type="http://schemas.openxmlformats.org/officeDocument/2006/relationships/hyperlink" Target="https://ext-web.ltl-xpo.com/public-app/shipments?referenceNumber=527644353&amp;_gl=1*1ocd6bs*_gcl_au*MTA5OTE3NzIyNi4xNzcyNjMzNDg1LjYwMzY3NTU5OC4xNzc0Mjk0ODY0LjE3NzQyOTU4NjM." TargetMode="External"/><Relationship Id="rId399" Type="http://schemas.openxmlformats.org/officeDocument/2006/relationships/hyperlink" Target="https://ext-web.ltl-xpo.com/public-app/shipments?referenceNumber=451245443&amp;_gl=1*ad5tol*_gcl_au*MTQ0NDI3MDM3My4xNzc2NDQyMDAzLjg1OTU2MzI3Ny4xNzgwMDY4MjcwLjE3ODAwNjkxNzA." TargetMode="External"/><Relationship Id="rId827" Type="http://schemas.openxmlformats.org/officeDocument/2006/relationships/hyperlink" Target="https://ext-web.ltl-xpo.com/public-app/shipments?referenceNumber=557691190&amp;_gl=1*bb01s1*_gcl_au*MTU4MjMwMTQ3MS4xNzg2NDYyODMwLjExODE5OTg4NDcuMTc4Nzc1Mzc2OS4xNzg3NzU2NjI0LjE0MDM4ODcyNDYuMTc4Nzc1MDY5OS4xNzg3NzU2NjI0" TargetMode="External"/><Relationship Id="rId1012" Type="http://schemas.openxmlformats.org/officeDocument/2006/relationships/hyperlink" Target="https://rxo.com/track/RXONC20OONOKT2UI26" TargetMode="External"/><Relationship Id="rId259" Type="http://schemas.openxmlformats.org/officeDocument/2006/relationships/hyperlink" Target="http://www.daytonfreight.com/Tracking/TrackingDetail.aspx?proNum=826912463" TargetMode="External"/><Relationship Id="rId466" Type="http://schemas.openxmlformats.org/officeDocument/2006/relationships/hyperlink" Target="http://www.daytonfreight.com/Tracking/TrackingDetail.aspx?proNum=00034912647" TargetMode="External"/><Relationship Id="rId673" Type="http://schemas.openxmlformats.org/officeDocument/2006/relationships/hyperlink" Target="https://pittohio.com/myPittOhio/Shipping/LTL/tracerequest?pro=5057002263" TargetMode="External"/><Relationship Id="rId880" Type="http://schemas.openxmlformats.org/officeDocument/2006/relationships/hyperlink" Target="https://rxo.com/track/RXONC20OLUD31UAI26" TargetMode="External"/><Relationship Id="rId23" Type="http://schemas.openxmlformats.org/officeDocument/2006/relationships/hyperlink" Target="https://rxo.com/track/RXONC20O3NUYRHLA26" TargetMode="External"/><Relationship Id="rId119" Type="http://schemas.openxmlformats.org/officeDocument/2006/relationships/hyperlink" Target="http://www.saia.com/Tracing/AjaxProstatusByPro.aspx?nh=N&amp;Pro=121497062205" TargetMode="External"/><Relationship Id="rId326" Type="http://schemas.openxmlformats.org/officeDocument/2006/relationships/hyperlink" Target="https://www.oakh.com/quicktrace&amp;PRO=87549762" TargetMode="External"/><Relationship Id="rId533" Type="http://schemas.openxmlformats.org/officeDocument/2006/relationships/hyperlink" Target="https://rxo.com/track/RXONC20ORUN5SN1G26" TargetMode="External"/><Relationship Id="rId978" Type="http://schemas.openxmlformats.org/officeDocument/2006/relationships/hyperlink" Target="https://ext-web.ltl-xpo.com/public-app/shipments?referenceNumber=557748041&amp;_gl=1*jrbivf*_gcl_au*ODY0MTMyMDc0LjE3ODQyMTg3NzkuNTQ3Njc2MDk3LjE3OTAzNjUyMjYuMTc5MDM2NTI3Ny4yMzk5ODczOTEuMTc5MDM0NTkyMi4xNzkwMzY1Mjc3" TargetMode="External"/><Relationship Id="rId740" Type="http://schemas.openxmlformats.org/officeDocument/2006/relationships/hyperlink" Target="https://www.oakh.com/quicktrace&amp;PRO=87549893" TargetMode="External"/><Relationship Id="rId838" Type="http://schemas.openxmlformats.org/officeDocument/2006/relationships/hyperlink" Target="https://pittohio.com/myPittOhio/Shipping/LTL/tracerequest?pro=5057003281" TargetMode="External"/><Relationship Id="rId1023" Type="http://schemas.openxmlformats.org/officeDocument/2006/relationships/hyperlink" Target="https://ext-web.ltl-xpo.com/public-app/shipments?referenceNumber=557769483&amp;_gl=1*1lm8cjd*_gcl_au*ODY0MTMyMDc0LjE3ODQyMTg3NzkuMjM0OTk1MjA4LjE3OTE0ODI4NDMuMTc5MTQ4MzExMi4zNDIzNjQ4MS4xNzkxNDc2OTAxLjE3OTE0ODMxMTI." TargetMode="External"/><Relationship Id="rId172" Type="http://schemas.openxmlformats.org/officeDocument/2006/relationships/hyperlink" Target="http://www.saia.com/Tracing/AjaxProstatusByPro.aspx?nh=N&amp;Pro=121498121904" TargetMode="External"/><Relationship Id="rId477" Type="http://schemas.openxmlformats.org/officeDocument/2006/relationships/hyperlink" Target="http://www.daytonfreight.com/Tracking/TrackingDetail.aspx?proNum=00034912676" TargetMode="External"/><Relationship Id="rId600" Type="http://schemas.openxmlformats.org/officeDocument/2006/relationships/hyperlink" Target="https://ext-web.ltl-xpo.com/public-app/shipments?referenceNumber=216815012&amp;_gl=1*fieal6*_gcl_au*MTQ5ODM0NzM5Ni4xNzc4Njg2NzM2LjE3ODQ5NzA1OTQuMTc4NDU1Njc3Ny4xNzg0NTU3MTk5LjU1NDczMTE2OC4xNzg0NTU0MDMzLjE3ODQ1NTcxOTk." TargetMode="External"/><Relationship Id="rId684" Type="http://schemas.openxmlformats.org/officeDocument/2006/relationships/hyperlink" Target="https://rxo.com/track/RXONC20ORHNNVJSG26" TargetMode="External"/><Relationship Id="rId337" Type="http://schemas.openxmlformats.org/officeDocument/2006/relationships/hyperlink" Target="http://www.daytonfreight.com/Tracking/TrackingDetail.aspx?proNum=00034912050" TargetMode="External"/><Relationship Id="rId891" Type="http://schemas.openxmlformats.org/officeDocument/2006/relationships/hyperlink" Target="http://www.odfl.com/trace/Trace.jsp?Type=P&amp;pronum=59739013379" TargetMode="External"/><Relationship Id="rId905" Type="http://schemas.openxmlformats.org/officeDocument/2006/relationships/hyperlink" Target="https://pittohio.com/myPittOhio/Shipping/LTL/tracerequest?pro=5057002785" TargetMode="External"/><Relationship Id="rId989" Type="http://schemas.openxmlformats.org/officeDocument/2006/relationships/hyperlink" Target="https://ext-web.ltl-xpo.com/public-app/shipments?referenceNumber=606855211&amp;_gl=1*mm4c6l*_gcl_au*ODgwMzAyNjQ3LjE3ODY0NTQxMDguLS4tLjE3OTA3MDMxNjEuMTMxNTQ1NDE1LjE3OTA3NzQzNjYuMTc5MDc3NTUwOA.." TargetMode="External"/><Relationship Id="rId34" Type="http://schemas.openxmlformats.org/officeDocument/2006/relationships/hyperlink" Target="https://ext-web.ltl-xpo.com/public-app/shipments?referenceNumber=317980832&amp;_gl=1*7j0q1h*_gcl_au*NzE3Njc0MDQ0LjE3Njc3MjI5MDAuOTAzNzY0NDA4LjE3Njk4MTgzNDAuMTc2OTgxODM3OA.." TargetMode="External"/><Relationship Id="rId544" Type="http://schemas.openxmlformats.org/officeDocument/2006/relationships/hyperlink" Target="https://tools.daytonfreight.com/tracking/detail/00034912953" TargetMode="External"/><Relationship Id="rId751" Type="http://schemas.openxmlformats.org/officeDocument/2006/relationships/hyperlink" Target="https://ext-web.ltl-xpo.com/public-app/shipments?referenceNumber=381558310&amp;_gl=1*1dy4fup*_gcl_au*ODY0MTMyMDc0LjE3ODQyMTg3NzkuLS4tLjE3ODY2NTM1NjguNTEzMDIwNzMwLjE3ODY2MzM5ODMuMTc4NjcxOTg3MA.." TargetMode="External"/><Relationship Id="rId849" Type="http://schemas.openxmlformats.org/officeDocument/2006/relationships/hyperlink" Target="https://rxo.com/track/RXONC20OIOYS2A1I26" TargetMode="External"/><Relationship Id="rId183" Type="http://schemas.openxmlformats.org/officeDocument/2006/relationships/hyperlink" Target="https://rxo.com/track/RXONC20OSZNZWZUC26" TargetMode="External"/><Relationship Id="rId390" Type="http://schemas.openxmlformats.org/officeDocument/2006/relationships/hyperlink" Target="https://www.saia.com/tracing/ajaxprostatusbypro.aspx?nh=N&amp;Pro=121501444905" TargetMode="External"/><Relationship Id="rId404" Type="http://schemas.openxmlformats.org/officeDocument/2006/relationships/hyperlink" Target="https://www.polaristransport.com/en/" TargetMode="External"/><Relationship Id="rId611" Type="http://schemas.openxmlformats.org/officeDocument/2006/relationships/hyperlink" Target="https://ext-web.ltl-xpo.com/public-app/shipments?referenceNumber=216818335&amp;_gl=1*15wm1ak*_gcl_au*MTQ5ODM0NzM5Ni4xNzc4Njg2NzM2LjE0OTkzNTE4MDkuMTc4NDY1MTIzNi4xNzg0NjU1MTk1LjIyOTM3MzMwMy4xNzg0NjQzNDA1LjE3ODQ2NTUxOTU." TargetMode="External"/><Relationship Id="rId1034" Type="http://schemas.openxmlformats.org/officeDocument/2006/relationships/hyperlink" Target="https://ext-web.ltl-xpo.com/public-app/shipments?referenceNumber=557780344&amp;_gl=1*1vtnyub*_gcl_au*MTc3MDAxODIxMS4xNzkxOTk1NzM0Li0uLS4xNzkxOTk5ODE4LjkwMjE2NjE3Ny4xNzkxOTk1NzM1LjE3OTIwNzIwNTk." TargetMode="External"/><Relationship Id="rId250" Type="http://schemas.openxmlformats.org/officeDocument/2006/relationships/hyperlink" Target="https://www.saia.com/tracing/ajaxprostatusbypro.aspx?nh=N&amp;Pro=121499266505" TargetMode="External"/><Relationship Id="rId488" Type="http://schemas.openxmlformats.org/officeDocument/2006/relationships/hyperlink" Target="https://rxo.com/track/RXONC20OWJO4MENF26" TargetMode="External"/><Relationship Id="rId695" Type="http://schemas.openxmlformats.org/officeDocument/2006/relationships/hyperlink" Target="https://pittohio.com/myPittOhio/Shipping/LTL/tracerequest?pro=5057002280" TargetMode="External"/><Relationship Id="rId709" Type="http://schemas.openxmlformats.org/officeDocument/2006/relationships/hyperlink" Target="https://rxo.com/track/RXONC20ODR4BLPTG26" TargetMode="External"/><Relationship Id="rId916" Type="http://schemas.openxmlformats.org/officeDocument/2006/relationships/hyperlink" Target="https://ext-web.ltl-xpo.com/public-app/shipments?referenceNumber=557737526&amp;_gl=1*1mu9mvz*_gcl_au*ODgwMzAyNjQ3LjE3ODY0NTQxMDguMTgzNTI5NDkwNS4xNzkwMTAwNjE0LjE3OTAxMDI0MzkuNDY4MjMwMDMzLjE3OTAwODUwOTQuMTc5MDEwMjQzOQ.." TargetMode="External"/><Relationship Id="rId45" Type="http://schemas.openxmlformats.org/officeDocument/2006/relationships/hyperlink" Target="https://rxo.com/track/RXONC20OORT1QD5B26" TargetMode="External"/><Relationship Id="rId110" Type="http://schemas.openxmlformats.org/officeDocument/2006/relationships/hyperlink" Target="http://www.saia.com/Tracing/AjaxProstatusByPro.aspx?nh=N&amp;Pro=121496897806" TargetMode="External"/><Relationship Id="rId348" Type="http://schemas.openxmlformats.org/officeDocument/2006/relationships/hyperlink" Target="https://pittohio.com/myPittOhio/Shipping/LTL/tracerequest?pro=5056001273" TargetMode="External"/><Relationship Id="rId555" Type="http://schemas.openxmlformats.org/officeDocument/2006/relationships/hyperlink" Target="https://rxo.com/track/RXONC20O5M2O1F9G26" TargetMode="External"/><Relationship Id="rId762" Type="http://schemas.openxmlformats.org/officeDocument/2006/relationships/hyperlink" Target="00034913544" TargetMode="External"/><Relationship Id="rId194" Type="http://schemas.openxmlformats.org/officeDocument/2006/relationships/hyperlink" Target="https://www.saia.com/tracing/ajaxprostatusbypro.aspx?nh=N&amp;Pro=121498480506" TargetMode="External"/><Relationship Id="rId208" Type="http://schemas.openxmlformats.org/officeDocument/2006/relationships/hyperlink" Target="https://www.saia.com/tracing/ajaxprostatusbypro.aspx?nh=N&amp;Pro=121498559000" TargetMode="External"/><Relationship Id="rId415" Type="http://schemas.openxmlformats.org/officeDocument/2006/relationships/hyperlink" Target="https://ext-web.ltl-xpo.com/public-app/shipments?referenceNumber=429-650001&amp;_gl=1*1ve2tnl*_gcl_au*MTQ0NDI3MDM3My4xNzc2NDQyMDAzLjk3Mjc3NjIyMy4xNzgxMDE3MDgwLjE3ODEwMTcyMDU." TargetMode="External"/><Relationship Id="rId622" Type="http://schemas.openxmlformats.org/officeDocument/2006/relationships/hyperlink" Target="https://ext-web.ltl-xpo.com/public-app/shipments?referenceNumber=216821706&amp;_gl=1*1ceqdfi*_gcl_au*MTQ5ODM0NzM5Ni4xNzc4Njg2NzM2LjgzMDMyNTg4OC4xNzg0NzQyMjA3LjE3ODQ3NDQ5NjUuMjMyNjk0NzEzLjE3ODQ3MzA3MTAuMTc4NDc0NDk2NQ.." TargetMode="External"/><Relationship Id="rId261" Type="http://schemas.openxmlformats.org/officeDocument/2006/relationships/hyperlink" Target="http://www.daytonfreight.com/Tracking/TrackingDetail.aspx?proNum=826912497" TargetMode="External"/><Relationship Id="rId499" Type="http://schemas.openxmlformats.org/officeDocument/2006/relationships/hyperlink" Target="https://facts.dohrn.com/scripts/cgiip.exe/protraceext.htm?wpro=80642650" TargetMode="External"/><Relationship Id="rId927" Type="http://schemas.openxmlformats.org/officeDocument/2006/relationships/hyperlink" Target="https://ext-web.ltl-xpo.com/public-app/shipments?referenceNumber=557740610&amp;_gl=1*1b88pdz*_gcl_au*ODY0MTMyMDc0LjE3ODQyMTg3NzkuNzQ2NDU5OTgwLjE3OTAxODY5NjguMTc5MDE4NzIwNi40OTM4NTE1NTMuMTc5MDE2OTYxNS4xNzkwMTg3MjA2" TargetMode="External"/><Relationship Id="rId56" Type="http://schemas.openxmlformats.org/officeDocument/2006/relationships/hyperlink" Target="https://ext-web.ltl-xpo.com/public-app/shipments?referenceNumber=789783680&amp;_gl=1*9knmkd*_gcl_au*NzE3Njc0MDQ0LjE3Njc3MjI5MDAuODQyOTQ4OTMwLjE3NzEzNDM5MzIuMTc3MTM1NTI2OQ.." TargetMode="External"/><Relationship Id="rId359" Type="http://schemas.openxmlformats.org/officeDocument/2006/relationships/hyperlink" Target="https://ext-web.ltl-xpo.com/public-app/shipments?referenceNumber=451225353&amp;_gl=1*rnbsh2*_gcl_au*MTQ0NDI3MDM3My4xNzc2NDQyMDAzLjE0MDMzNzg1NzQuMTc3ODg3OTc0NC4xNzc4ODgwNzk3" TargetMode="External"/><Relationship Id="rId566" Type="http://schemas.openxmlformats.org/officeDocument/2006/relationships/hyperlink" Target="https://ext-web.ltl-xpo.com/public-app/shipments?referenceNumber=216802913&amp;_gl=1*13sdzon*_gcl_au*MTQ5ODM0NzM5Ni4xNzc4Njg2NzM2LjQ5MDM4NzE5Ny4xNzgzOTUwMzk5LjE3ODM5NTA4MTg." TargetMode="External"/><Relationship Id="rId773" Type="http://schemas.openxmlformats.org/officeDocument/2006/relationships/hyperlink" Target="https://tools.daytonfreight.com/tracking/detail/00034913561" TargetMode="External"/><Relationship Id="rId121" Type="http://schemas.openxmlformats.org/officeDocument/2006/relationships/hyperlink" Target="https://www.fedex.com/fedextrack/?trknbr=6188141945" TargetMode="External"/><Relationship Id="rId219" Type="http://schemas.openxmlformats.org/officeDocument/2006/relationships/hyperlink" Target="https://www.saia.com/tracing/ajaxprostatusbypro.aspx?nh=N&amp;Pro=121498726603" TargetMode="External"/><Relationship Id="rId426" Type="http://schemas.openxmlformats.org/officeDocument/2006/relationships/hyperlink" Target="https://ext-web.ltl-xpo.com/public-app/shipments?referenceNumber=163442123&amp;_gl=1*1pygt02*_gcl_au*MTQ5ODM0NzM5Ni4xNzc4Njg2NzM2LjE2MDQ2OTA4OTUuMTc4MTAyMjAyMi4xNzgxMDIyODQ0" TargetMode="External"/><Relationship Id="rId633" Type="http://schemas.openxmlformats.org/officeDocument/2006/relationships/hyperlink" Target="https://ext-web.ltl-xpo.com/public-app/shipments?referenceNumber=216824230&amp;_gl=1*12n2ta0*_gcl_au*ODY0MTMyMDc0LjE3ODQyMTg3NzkuMTg2ODA2MzQ1Ny4xNzg0ODI1Njk5LjE3ODQ4Mjk1ODguMTM0NjMxMTMzNC4xNzg0ODI5NDMzLjE3ODQ4Mjk1ODg." TargetMode="External"/><Relationship Id="rId980" Type="http://schemas.openxmlformats.org/officeDocument/2006/relationships/hyperlink" Target="https://rxo.com/track/RXONC20OALMSGCSI26" TargetMode="External"/><Relationship Id="rId840" Type="http://schemas.openxmlformats.org/officeDocument/2006/relationships/hyperlink" Target="https://1.110.45.123/" TargetMode="External"/><Relationship Id="rId938" Type="http://schemas.openxmlformats.org/officeDocument/2006/relationships/hyperlink" Target="https://ext-web.ltl-xpo.com/public-app/shipments?referenceNumber=557740724&amp;_gl=1*19j8fpa*_gcl_au*ODY0MTMyMDc0LjE3ODQyMTg3NzkuMTM3NzAwMDAxMS4xNzkwMTkxNzY4LjE3OTAxOTQyNDMuNDkzODUxNTUzLjE3OTAxNjk2MTUuMTc5MDE5NDM0MQ.." TargetMode="External"/><Relationship Id="rId67" Type="http://schemas.openxmlformats.org/officeDocument/2006/relationships/hyperlink" Target="https://rxo.com/track/RXONC20O5QULCAIB26" TargetMode="External"/><Relationship Id="rId272" Type="http://schemas.openxmlformats.org/officeDocument/2006/relationships/hyperlink" Target="https://rxo.com/track/RXONC20O1NNYFURD26" TargetMode="External"/><Relationship Id="rId577" Type="http://schemas.openxmlformats.org/officeDocument/2006/relationships/hyperlink" Target="https://rxo.com/track/RXONC20OLXWX1PFG26" TargetMode="External"/><Relationship Id="rId700" Type="http://schemas.openxmlformats.org/officeDocument/2006/relationships/hyperlink" Target="https://ext-web.ltl-xpo.com/public-app/shipments?referenceNumber=216834553&amp;_gl=1*nhk5r8*_gcl_au*MTQ5ODM0NzM5Ni4xNzc4Njg2NzM2LjU4ODU5NDAxNC4xNzg1MzM5Mzk2LjE3ODUzNDI0NTguMjA4MDcyMDI0NS4xNzg1MzMyMTk2LjE3ODUzNDI0NTg." TargetMode="External"/><Relationship Id="rId132" Type="http://schemas.openxmlformats.org/officeDocument/2006/relationships/hyperlink" Target="http://www.saia.com/Tracing/AjaxProstatusByPro.aspx?nh=N&amp;Pro=121497290102" TargetMode="External"/><Relationship Id="rId784" Type="http://schemas.openxmlformats.org/officeDocument/2006/relationships/hyperlink" Target="https://ext-web.ltl-xpo.com/public-app/shipments?referenceNumber=216866904&amp;_gl=1*1rubgcp*_gcl_au*ODgwMzAyNjQ3LjE3ODY0NTQxMDguOTg1MDc4NTUwLjE3ODcwNjIxMjguMTc4NzA2NTY1Mi4xOTQ1Nzg1MDE1LjE3ODcwNTgyNjAuMTc4NzA2NTY1Mg.." TargetMode="External"/><Relationship Id="rId991" Type="http://schemas.openxmlformats.org/officeDocument/2006/relationships/hyperlink" Target="https://pittohio.com/myPittOhio/Shipping/LTL/tracerequest?pro=5057002937" TargetMode="External"/><Relationship Id="rId437" Type="http://schemas.openxmlformats.org/officeDocument/2006/relationships/hyperlink" Target="https://ext-web.ltl-xpo.com/public-app/shipments?referenceNumber=163445866&amp;_gl=1*1ws16vf*_gcl_au*MTQ5ODM0NzM5Ni4xNzc4Njg2NzM2LjY4ODk0OTQyOS4xNzgxMTIxNjE5LjE3ODExMjIyMjk." TargetMode="External"/><Relationship Id="rId644" Type="http://schemas.openxmlformats.org/officeDocument/2006/relationships/hyperlink" Target="https://ext-web.ltl-xpo.com/public-app/shipments?referenceNumber=216824926&amp;_gl=1*1g86qto*_gcl_au*ODY0MTMyMDc0LjE3ODQyMTg3NzkuNTc3NjI3Mjk1LjE3ODQ4Mzc3MDkuMTc4NDgzODczNS4xMzQ2MzExMzM0LjE3ODQ4Mjk0MzMuMTc4NDgzODczNQ.." TargetMode="External"/><Relationship Id="rId851" Type="http://schemas.openxmlformats.org/officeDocument/2006/relationships/hyperlink" Target="https://ext-web.ltl-xpo.com/public-app/shipments?referenceNumber=557699811&amp;_gl=1*16ubec9*_gcl_au*ODY0MTMyMDc0LjE3ODQyMTg3NzkuLS4tLjE3ODgyOTI1MzIuMzY5NjMyMTYzLjE3ODgzNjIxMDAuMTc4ODQzMzQ0Nw.." TargetMode="External"/><Relationship Id="rId283" Type="http://schemas.openxmlformats.org/officeDocument/2006/relationships/hyperlink" Target="https://rxo.com/track/RXONC20ORYIMD5TD26" TargetMode="External"/><Relationship Id="rId490" Type="http://schemas.openxmlformats.org/officeDocument/2006/relationships/hyperlink" Target="https://rxo.com/track/RXONC20OCJAV55OF26" TargetMode="External"/><Relationship Id="rId504" Type="http://schemas.openxmlformats.org/officeDocument/2006/relationships/hyperlink" Target="https://rxo.com/track/RXONC20OO3BYXBPF26" TargetMode="External"/><Relationship Id="rId711" Type="http://schemas.openxmlformats.org/officeDocument/2006/relationships/hyperlink" Target="https://rxo.com/track/RXONC20OXGUECXTG26" TargetMode="External"/><Relationship Id="rId949" Type="http://schemas.openxmlformats.org/officeDocument/2006/relationships/hyperlink" Target="https://ext-web.ltl-xpo.com/public-app/shipments?referenceNumber=557742964&amp;_gl=1*1qfvf6b*_gcl_au*MTU4MjMwMTQ3MS4xNzg2NDYyODMwLi0uLS4xNzkwMjU5NzMwLjI1NzY5MDkyMS4xNzkwMjU3MTIyLjE3OTAyNjIyOTE." TargetMode="External"/><Relationship Id="rId78" Type="http://schemas.openxmlformats.org/officeDocument/2006/relationships/hyperlink" Target="https://rxo.com/track/RXONC20OPDIP3ENB26" TargetMode="External"/><Relationship Id="rId143" Type="http://schemas.openxmlformats.org/officeDocument/2006/relationships/hyperlink" Target="https://ext-web.ltl-xpo.com/public-app/shipments?referenceNumber=527637854&amp;_gl=1*vf1ljp*_gcl_au*NDI3NjEyOTY3LjE3NzA5OTIyMjguMzE4NTM2MTY3LjE3NzM4NjI4MzMuMTc3Mzg2MzY5Mg.." TargetMode="External"/><Relationship Id="rId350" Type="http://schemas.openxmlformats.org/officeDocument/2006/relationships/hyperlink" Target="https://ext-web.ltl-xpo.com/public-app/shipments?referenceNumber=451216706&amp;_gl=1*1jhrra9*_gcl_au*NDI3NjEyOTY3LjE3NzA5OTIyMjguNzAzNzI0MDcuMTc3ODY4NTc5NS4xNzc4Njg1ODk1" TargetMode="External"/><Relationship Id="rId588" Type="http://schemas.openxmlformats.org/officeDocument/2006/relationships/hyperlink" Target="https://ext-web.ltl-xpo.com/public-app/shipments?referenceNumber=216810580&amp;_gl=1*17tca9q*_gcl_au*MTQ5ODM0NzM5Ni4xNzc4Njg2NzM2LjE2MzUwNjEwNjAuMTc4NDIwODg3OS4xNzg0MjEwOTAw" TargetMode="External"/><Relationship Id="rId795" Type="http://schemas.openxmlformats.org/officeDocument/2006/relationships/hyperlink" Target="https://tools.averitt.com/servlet/rsoLTLtrack?Type=PN&amp;Number=0867079320" TargetMode="External"/><Relationship Id="rId809" Type="http://schemas.openxmlformats.org/officeDocument/2006/relationships/hyperlink" Target="https://ext-web.ltl-xpo.com/public-app/shipments?referenceNumber=216864992&amp;_gl=1*14hnsqz*_gcl_au*ODgwMzAyNjQ3LjE3ODY0NTQxMDguLS4tLjE3ODcyNTMzMzIuMjA3ODM1OTE4MC4xNzg3MzIyMDk0LjE3ODczMzY5NDA." TargetMode="External"/><Relationship Id="rId9" Type="http://schemas.openxmlformats.org/officeDocument/2006/relationships/hyperlink" Target="https://ext-web.ltl-xpo.com/public-app/shipments?referenceNumber=138886554&amp;_gl=1*1s2vqyp*_gcl_au*NzE3Njc0MDQ0LjE3Njc3MjI5MDAuNTg3MjA0NjkwLjE3Njc5ODI3NzYuMTc2Nzk4Mzc5MA.." TargetMode="External"/><Relationship Id="rId210" Type="http://schemas.openxmlformats.org/officeDocument/2006/relationships/hyperlink" Target="https://pittohio.com/myPittOhio/Shipping/LTL/tracerequest?pro=5056000662" TargetMode="External"/><Relationship Id="rId448" Type="http://schemas.openxmlformats.org/officeDocument/2006/relationships/hyperlink" Target="https://ext-web.ltl-xpo.com/public-app/shipments?referenceNumber=163455541&amp;_gl=1*1eyw0zy*_gcl_au*MTQ5ODM0NzM5Ni4xNzc4Njg2NzM2LjExNTE5NzI2MDkuMTc4MTYyMTQ1OC4xNzgxNjIzMjQy" TargetMode="External"/><Relationship Id="rId655" Type="http://schemas.openxmlformats.org/officeDocument/2006/relationships/hyperlink" Target="https://ext-web.ltl-xpo.com/public-app/shipments?referenceNumber=216825114&amp;_gl=1*1am6otz*_gcl_au*ODY0MTMyMDc0LjE3ODQyMTg3NzkuMTgzMTMyNjkyLjE3ODUxNTk4NDguMTc4NTE2NDg0MC4xNTkzNjMzODAyLjE3ODUxNTM4NjcuMTc4NTE2NDg0MA.." TargetMode="External"/><Relationship Id="rId862" Type="http://schemas.openxmlformats.org/officeDocument/2006/relationships/hyperlink" Target="https://ext-web.ltl-xpo.com/public-app/shipments?referenceNumber=557710683&amp;_gl=1*nrkmrk*_gcl_au*ODgwMzAyNjQ3LjE3ODY0NTQxMDguMTA3OTcwMzgyNS4xNzg4ODkyMzU0LjE3ODg4OTMzODMuOTkwMzM0LjE3ODg4NzMzODEuMTc4ODg5Mzc1Mg.." TargetMode="External"/><Relationship Id="rId294" Type="http://schemas.openxmlformats.org/officeDocument/2006/relationships/hyperlink" Target="https://ext-web.ltl-xpo.com/public-app/shipments?referenceNumber=321388001&amp;_gl=1*104j8o8*_gcl_au*MTc1OTAzNzIyOS4xNzc1NDk5NDI2LjkzOTE0ODAyMi4xNzc3NTAyNzAxLjE3Nzc1MDM0NzI." TargetMode="External"/><Relationship Id="rId308" Type="http://schemas.openxmlformats.org/officeDocument/2006/relationships/hyperlink" Target="https://ext-web.ltl-xpo.com/public-app/shipments?referenceNumber=321400424&amp;_gl=1*1v0yx8r*_gcl_au*NDI3NjEyOTY3LjE3NzA5OTIyMjguMTUyMjUwMTY2OS4xNzc4MDk3MjkwLjE3NzgwOTc5OTM." TargetMode="External"/><Relationship Id="rId515" Type="http://schemas.openxmlformats.org/officeDocument/2006/relationships/hyperlink" Target="https://rxo.com/track/RXONC20OBYP34XTF26" TargetMode="External"/><Relationship Id="rId722" Type="http://schemas.openxmlformats.org/officeDocument/2006/relationships/hyperlink" Target="https://ext-web.ltl-xpo.com/public-app/shipments?referenceNumber=216834516&amp;_gl=1*mymhti*_gcl_au*ODkzMjM1NTc0LjE3ODU0MzUyMDcuMTQwMjYyMDQyNS4xNzg1Nzg1NDIzLjE3ODU3ODYzODQuODc5NzkzODEwLjE3ODU3NjkxMzQuMTc4NTc4NjM4NA.." TargetMode="External"/><Relationship Id="rId89" Type="http://schemas.openxmlformats.org/officeDocument/2006/relationships/hyperlink" Target="http://www.daytonfreight.com/Tracking/TrackingDetail.aspx?proNum=00034199127" TargetMode="External"/><Relationship Id="rId154" Type="http://schemas.openxmlformats.org/officeDocument/2006/relationships/hyperlink" Target="https://www.fedex.com/fedextrack/?trknbr=4749680784" TargetMode="External"/><Relationship Id="rId361" Type="http://schemas.openxmlformats.org/officeDocument/2006/relationships/hyperlink" Target="https://ext-web.ltl-xpo.com/public-app/shipments?referenceNumber=451238981&amp;_gl=1*1vpamhc*_gcl_au*MTQ5ODM0NzM5Ni4xNzc4Njg2NzM2LjIwODk0ODUyNDkuMTc3OTExNzE0Mi4xNzc5MTE3MzE2" TargetMode="External"/><Relationship Id="rId599" Type="http://schemas.openxmlformats.org/officeDocument/2006/relationships/hyperlink" Target="https://ext-web.ltl-xpo.com/public-app/shipments?referenceNumber=216813914&amp;_gl=1*1w2jvmb*_gcl_au*MTQ5ODM0NzM5Ni4xNzc4Njg2NzM2LjE0ODk3NzI1ODYuMTc4NDMxNTMwNi4xNzg0MzE3MDc4LjM5NjIzOTk2MC4xNzg0MzE2MzMxLjE3ODQzMTcwNzg." TargetMode="External"/><Relationship Id="rId1005" Type="http://schemas.openxmlformats.org/officeDocument/2006/relationships/hyperlink" Target="https://ext-web.ltl-xpo.com/public-app/shipments?referenceNumber=557745370&amp;_gl=1*1v6rdo4*_gcl_au*MTU4MjMwMTQ3MS4xNzg2NDYyODMwLjc2NzU4NzE0Ni4xNzkwMzUwNTMxLjE3OTAzNTIyNzIuNTg3NTM2MzUxLjE3OTAzNDM4ODcuMTc5MDM1MjQ5Mg.." TargetMode="External"/><Relationship Id="rId459" Type="http://schemas.openxmlformats.org/officeDocument/2006/relationships/hyperlink" Target="https://ext-web.ltl-xpo.com/public-app/shipments?referenceNumber=163456694&amp;_gl=1*kml6r8*_gcl_au*MTQ5ODM0NzM5Ni4xNzc4Njg2NzM2LjMxNzI2Njc4MS4xNzgxNjM2ODE3LjE3ODE2Mzc2NTI." TargetMode="External"/><Relationship Id="rId666" Type="http://schemas.openxmlformats.org/officeDocument/2006/relationships/hyperlink" Target="https://ext-web.ltl-xpo.com/public-app/shipments?referenceNumber=216829045&amp;_gl=1*1h0l5ys*_gcl_au*MTQ5ODM0NzM5Ni4xNzc4Njg2NzM2LjExOTcyODg3OTIuMTc4NTE3MTA2OC4xNzg1MTcxMzUwLjc5NjM3MTM2NS4xNzg1MTU0NjEyLjE3ODUxNzEzNTA." TargetMode="External"/><Relationship Id="rId873" Type="http://schemas.openxmlformats.org/officeDocument/2006/relationships/hyperlink" Target="https://pittohio.com/myPittOhio/Shipping/LTL/tracerequest?pro=5057002551" TargetMode="External"/><Relationship Id="rId16" Type="http://schemas.openxmlformats.org/officeDocument/2006/relationships/hyperlink" Target="https://ext-web.ltl-xpo.com/public-app/shipments?referenceNumber=138896811&amp;_gl=1*tmjraq*_gcl_au*NzE3Njc0MDQ0LjE3Njc3MjI5MDAuMTQxNDM5MzkxLjE3Njg5MjE2MTEuMTc2ODkyMTYxMA.." TargetMode="External"/><Relationship Id="rId221" Type="http://schemas.openxmlformats.org/officeDocument/2006/relationships/hyperlink" Target="https://rxo.com/track/RXONC20OKHHWFE8D26" TargetMode="External"/><Relationship Id="rId319" Type="http://schemas.openxmlformats.org/officeDocument/2006/relationships/hyperlink" Target="https://ext-web.ltl-xpo.com/public-app/shipments?referenceNumber=321401986&amp;_gl=1*1cf04hm*_gcl_au*NDI3NjEyOTY3LjE3NzA5OTIyMjguNDcyMTY3MzIzLjE3NzgxNzcxMzYuMTc3ODE3ODM0OA.." TargetMode="External"/><Relationship Id="rId526" Type="http://schemas.openxmlformats.org/officeDocument/2006/relationships/hyperlink" Target="https://pittohio.com/myPittOhio/Shipping/LTL/tracerequest?pro=5057002762" TargetMode="External"/><Relationship Id="rId733" Type="http://schemas.openxmlformats.org/officeDocument/2006/relationships/hyperlink" Target="https://ext-web.ltl-xpo.com/public-app/shipments?referenceNumber=216853744&amp;_gl=1*1kz2y3s*_gcl_au*ODY0MTMyMDc0LjE3ODQyMTg3NzkuLS4tLjE3ODY1NzAxMjYuMTI4MjY4OTI2LjE3ODY1NDM1NzUuMTc4NjYyNjY2NQ.." TargetMode="External"/><Relationship Id="rId940" Type="http://schemas.openxmlformats.org/officeDocument/2006/relationships/hyperlink" Target="https://ext-web.ltl-xpo.com/public-app/shipments?referenceNumber=557741984&amp;_gl=1*10jpxub*_gcl_au*ODY0MTMyMDc0LjE3ODQyMTg3NzkuMjEyODc1NzU2MS4xNzkwMjU3MDc2LjE3OTAyNTc2MzQuMjA2ODY1NzUyOC4xNzkwMjU3MDc2LjE3OTAyNTc2MzQ." TargetMode="External"/><Relationship Id="rId1016" Type="http://schemas.openxmlformats.org/officeDocument/2006/relationships/hyperlink" Target="http://facts.dohrn.com/scripts/cgiip.exe/protraceext.htm?wpro=82262035" TargetMode="External"/><Relationship Id="rId165" Type="http://schemas.openxmlformats.org/officeDocument/2006/relationships/hyperlink" Target="https://ext-web.ltl-xpo.com/public-app/shipments?referenceNumber=527650266&amp;_gl=1*qrzob0*_gcl_au*NDI3NjEyOTY3LjE3NzA5OTIyMjguMTc5OTY4NzMxOC4xNzc0NTMwODI2LjE3NzQ1MzQ1Mjg." TargetMode="External"/><Relationship Id="rId372" Type="http://schemas.openxmlformats.org/officeDocument/2006/relationships/hyperlink" Target="https://pittohio.com/myPittOhio/Shipping/LTL/tracerequest?pro=5056001205" TargetMode="External"/><Relationship Id="rId677" Type="http://schemas.openxmlformats.org/officeDocument/2006/relationships/hyperlink" Target="https://ext-web.ltl-xpo.com/public-app/shipments?referenceNumber=216831845&amp;_gl=1*lgok6d*_gcl_au*ODY0MTMyMDc0LjE3ODQyMTg3NzkuMTIwOTQzMjUzLjE3ODUyNjMwNzcuMTc4NTI2MzI2MC41MzIyMzYwNjkuMTc4NTI0Mzg5Ny4xNzg1MjYzMzcz" TargetMode="External"/><Relationship Id="rId800" Type="http://schemas.openxmlformats.org/officeDocument/2006/relationships/hyperlink" Target="https://ext-web.ltl-xpo.com/public-app/shipments?referenceNumber=216870684&amp;_gl=1*9a1df6*_gcl_au*ODY0MTMyMDc0LjE3ODQyMTg3NzkuMTYzNDIyMjY0Ny4xNzg3MTY4Mjg0LjE3ODcxNjk3ODAuMTE5ODU1MjY3My4xNzg3MTU3NTM5LjE3ODcxNjk3ODA." TargetMode="External"/><Relationship Id="rId232" Type="http://schemas.openxmlformats.org/officeDocument/2006/relationships/hyperlink" Target="https://rxo.com/track/RXONC20OBS0IGTGD26" TargetMode="External"/><Relationship Id="rId884" Type="http://schemas.openxmlformats.org/officeDocument/2006/relationships/hyperlink" Target="https://ext-web.ltl-xpo.com/public-app/shipments?referenceNumber=557723272&amp;_gl=1*15mfdam*_gcl_au*MTU4MjMwMTQ3MS4xNzg2NDYyODMwLjEzOTcwNTYyMDcuMTc4OTQxNTA1MS4xNzg5NDE1MzQ0Ljc4Mjk0MDAwNS4xNzg5MzkyMTU1LjE3ODk0MTUzNDQ." TargetMode="External"/><Relationship Id="rId27" Type="http://schemas.openxmlformats.org/officeDocument/2006/relationships/hyperlink" Target="http://www.daytonfreight.com/Tracking/TrackingDetail.aspx?proNum=34198815" TargetMode="External"/><Relationship Id="rId537" Type="http://schemas.openxmlformats.org/officeDocument/2006/relationships/hyperlink" Target="https://ext-web.ltl-xpo.com/public-app/shipments?referenceNumber=163482266&amp;_gl=1*16mns2o*_gcl_au*MjIzMzg1NzI3LjE3ODIxMzk4ODYuODE3MDU5MTIyLjE3ODI5MzEyMjMuMTc4MjkzMzE3OQ.." TargetMode="External"/><Relationship Id="rId744" Type="http://schemas.openxmlformats.org/officeDocument/2006/relationships/hyperlink" Target="https://rxo.com/track/RXONC20OTIA1VTAH26" TargetMode="External"/><Relationship Id="rId951" Type="http://schemas.openxmlformats.org/officeDocument/2006/relationships/hyperlink" Target="http://facts.dohrn.com/scripts/cgiip.exe/protraceext.htm?wpro=82262004" TargetMode="External"/><Relationship Id="rId80" Type="http://schemas.openxmlformats.org/officeDocument/2006/relationships/hyperlink" Target="https://ext-web.ltl-xpo.com/public-app/shipments?referenceNumber=789791936&amp;_gl=1*7klsb*_gcl_au*NzE3Njc0MDQ0LjE3Njc3MjI5MDAuMjY1MjgxMDY3LjE3NzE5NDgxNTguMTc3MTk0ODY0NA.." TargetMode="External"/><Relationship Id="rId176" Type="http://schemas.openxmlformats.org/officeDocument/2006/relationships/hyperlink" Target="https://ext-web.ltl-xpo.com/public-app/shipments?referenceNumber=527653232&amp;_gl=1*12pdnaa*_gcl_au*MTA5OTE3NzIyNi4xNzcyNjMzNDg1LjQ2NzUyODEzNC4xNzc0NjI3NDc3LjE3NzQ2Mjc1NTE." TargetMode="External"/><Relationship Id="rId383" Type="http://schemas.openxmlformats.org/officeDocument/2006/relationships/hyperlink" Target="https://ext-web.ltl-xpo.com/public-app/shipments?referenceNumber=451239913&amp;_gl=1*ow9hry*_gcl_au*MTQ5ODM0NzM5Ni4xNzc4Njg2NzM2LjE1NDY0NDQwNi4xNzc5OTAxMDk0LjE3Nzk5MDE0OTQ." TargetMode="External"/><Relationship Id="rId590" Type="http://schemas.openxmlformats.org/officeDocument/2006/relationships/hyperlink" Target="http://facts.dohrn.com/scripts/cgiip.exe/protraceext.htm?wpro=80642764" TargetMode="External"/><Relationship Id="rId604" Type="http://schemas.openxmlformats.org/officeDocument/2006/relationships/hyperlink" Target="https://ext-web.ltl-xpo.com/public-app/shipments?referenceNumber=216816176&amp;_gl=1*6i8hed*_gcl_au*ODY0MTMyMDc0LjE3ODQyMTg3NzkuNTk2MzY3MzU1LjE3ODQ1NjkxNzIuMTc4NDU3MTA1OS4yMDUxNDg5MDMzLjE3ODQ1NTEzODcuMTc4NDU3MTA1OQ.." TargetMode="External"/><Relationship Id="rId811" Type="http://schemas.openxmlformats.org/officeDocument/2006/relationships/hyperlink" Target="https://ext-web.ltl-xpo.com/public-app/shipments?referenceNumber=216876505&amp;_gl=1*1wrjno2*_gcl_au*MTU4MjMwMTQ3MS4xNzg2NDYyODMwLjk0ODkyODQ3LjE3ODc1OTAzNjkuMTc4NzU5MDUxOS4yMDE1MTE3NTYwLjE3ODc1NzcyMzIuMTc4NzU5MDUxOQ.." TargetMode="External"/><Relationship Id="rId1027" Type="http://schemas.openxmlformats.org/officeDocument/2006/relationships/hyperlink" Target="https://pittohio.com/myPittOhio/Shipping/LTL/tracerequest?pro=5057003047" TargetMode="External"/><Relationship Id="rId243" Type="http://schemas.openxmlformats.org/officeDocument/2006/relationships/hyperlink" Target="https://ext-web.ltl-xpo.com/public-app/shipments?referenceNumber=321366942&amp;_gl=1*bpp65s*_gcl_au*NDI3NjEyOTY3LjE3NzA5OTIyMjguMTE4MjIyODQ2LjE3NzY0NTIwNzkuMTc3NjQ1NDI3OA.." TargetMode="External"/><Relationship Id="rId450" Type="http://schemas.openxmlformats.org/officeDocument/2006/relationships/hyperlink" Target="https://pittohio.com/myPittOhio/Shipping/LTL/tracerequest?pro=5057002099" TargetMode="External"/><Relationship Id="rId688" Type="http://schemas.openxmlformats.org/officeDocument/2006/relationships/hyperlink" Target="https://ext-web.ltl-xpo.com/public-app/shipments?referenceNumber=216838624&amp;_gl=1*1b753ux*_gcl_au*ODY0MTMyMDc0LjE3ODQyMTg3NzkuMTIyNTk2OTQzNS4xNzg1MjY4MDQ4LjE3ODUyNzA0MDIuNTMyMjM2MDY5LjE3ODUyNDM4OTcuMTc4NTI3MDQwMg.." TargetMode="External"/><Relationship Id="rId895" Type="http://schemas.openxmlformats.org/officeDocument/2006/relationships/hyperlink" Target="http://www.polaristransport.com/en/" TargetMode="External"/><Relationship Id="rId909" Type="http://schemas.openxmlformats.org/officeDocument/2006/relationships/hyperlink" Target="https://ext-web.ltl-xpo.com/public-app/shipments?referenceNumber=557735006&amp;_gl=1*1ua94ft*_gcl_au*ODY0MTMyMDc0LjE3ODQyMTg3NzkuMTU1ODIyMTg3Ni4xNzkwMDg2NDM1LjE3OTAwODY2OTkuMjg0NDQxNTQxLjE3OTAwODI3MTMuMTc5MDA4NjY5OQ.." TargetMode="External"/><Relationship Id="rId38" Type="http://schemas.openxmlformats.org/officeDocument/2006/relationships/hyperlink" Target="https://ext-web.ltl-xpo.com/public-app/shipments?referenceNumber=138916013&amp;_gl=1*i2krp2*_gcl_au*NzE3Njc0MDQ0LjE3Njc3MjI5MDAuOTAzNzY0NDA4LjE3Njk4MTgzNDAuMTc2OTgxODM3OA.." TargetMode="External"/><Relationship Id="rId103" Type="http://schemas.openxmlformats.org/officeDocument/2006/relationships/hyperlink" Target="https://ext-web.ltl-xpo.com/public-app/shipments?referenceNumber=789800653&amp;_gl=1*37e39q*_gcl_au*NzE3Njc0MDQ0LjE3Njc3MjI5MDAuMTU2Nzg3ODQ0Ni4xNzcyNDc2NzQ4LjE3NzI0NzgwMDQ." TargetMode="External"/><Relationship Id="rId310" Type="http://schemas.openxmlformats.org/officeDocument/2006/relationships/hyperlink" Target="https://ext-web.ltl-xpo.com/public-app/shipments?referenceNumber=321399481&amp;_gl=1*nqod19*_gcl_au*NDI3NjEyOTY3LjE3NzA5OTIyMjguMTUyMjUwMTY2OS4xNzc4MDk3MjkwLjE3NzgxMDA3NTM." TargetMode="External"/><Relationship Id="rId548" Type="http://schemas.openxmlformats.org/officeDocument/2006/relationships/hyperlink" Target="https://ext-web.ltl-xpo.com/public-app/shipments?referenceNumber=216797210&amp;_gl=1*1638zpu*_gcl_au*MTQ5ODM0NzM5Ni4xNzc4Njg2NzM2LjUzNDk1OTM1Ny4xNzgzNTM1MDI3LjE3ODM1MzYwNTE." TargetMode="External"/><Relationship Id="rId755" Type="http://schemas.openxmlformats.org/officeDocument/2006/relationships/hyperlink" Target="https://ext-web.ltl-xpo.com/public-app/shipments?referenceNumber=934366112" TargetMode="External"/><Relationship Id="rId962" Type="http://schemas.openxmlformats.org/officeDocument/2006/relationships/hyperlink" Target="https://ext-web.ltl-xpo.com/public-app/shipments?referenceNumber=557744821&amp;_gl=1*ho78al*_gcl_au*MTU4MjMwMTQ3MS4xNzg2NDYyODMwLjE5MjYwNjU2NjguMTc5MDM0MzQ5NC4xNzkwMzQ0MjI4LjU4NzUzNjM1MS4xNzkwMzQzODg3LjE3OTAzNDQyMjg." TargetMode="External"/><Relationship Id="rId91" Type="http://schemas.openxmlformats.org/officeDocument/2006/relationships/hyperlink" Target="https://ext-web.ltl-xpo.com/public-app/shipments?referenceNumber=789794025&amp;_gl=1*1ljaoli*_gcl_au*NzE3Njc0MDQ0LjE3Njc3MjI5MDAuODg0ODE2Nzc3LjE3NzIwMjcyMTAuMTc3MjAyNzM1MQ.." TargetMode="External"/><Relationship Id="rId187" Type="http://schemas.openxmlformats.org/officeDocument/2006/relationships/hyperlink" Target="https://www.oakh.com/quicktrace&amp;PRO=87549482" TargetMode="External"/><Relationship Id="rId394" Type="http://schemas.openxmlformats.org/officeDocument/2006/relationships/hyperlink" Target="https://ext-web.ltl-xpo.com/public-app/shipments?referenceNumber=451243251&amp;_gl=1*1dc4etw*_gcl_au*MTQ5ODM0NzM5Ni4xNzc4Njg2NzM2LjIwNzY5NjEzOTYuMTc3OTk5MTExMS4xNzc5OTkxODk1" TargetMode="External"/><Relationship Id="rId408" Type="http://schemas.openxmlformats.org/officeDocument/2006/relationships/hyperlink" Target="https://tools.daytonfreight.com/tracking/detail/00034912392" TargetMode="External"/><Relationship Id="rId615" Type="http://schemas.openxmlformats.org/officeDocument/2006/relationships/hyperlink" Target="https://ext-web.ltl-xpo.com/public-app/shipments?referenceNumber=216818453&amp;_gl=1*q1yh8f*_gcl_au*ODY0MTMyMDc0LjE3ODQyMTg3NzkuNjgyOTI5MjEyLjE3ODQ2NTQwODAuMTc4NDY1NjQxNy44OTY2MDE3OTkuMTc4NDY0MDkwMi4xNzg0NjU2NDE3" TargetMode="External"/><Relationship Id="rId822" Type="http://schemas.openxmlformats.org/officeDocument/2006/relationships/hyperlink" Target="https://ext-web.ltl-xpo.com/public-app/shipments?referenceNumber=557691061&amp;_gl=1*1xi72m*_gcl_au*MTU4MjMwMTQ3MS4xNzg2NDYyODMwLjExODE5OTg4NDcuMTc4Nzc1Mzc2OS4xNzg3NzU0MTMwLjE0MDM4ODcyNDYuMTc4Nzc1MDY5OS4xNzg3NzU0MTMw" TargetMode="External"/><Relationship Id="rId1038" Type="http://schemas.openxmlformats.org/officeDocument/2006/relationships/comments" Target="../comments1.xml"/><Relationship Id="rId254" Type="http://schemas.openxmlformats.org/officeDocument/2006/relationships/hyperlink" Target="http://www.saia.com/Tracing/AjaxProstatusByPro.aspx?nh=N&amp;Pro=12149955020" TargetMode="External"/><Relationship Id="rId699" Type="http://schemas.openxmlformats.org/officeDocument/2006/relationships/hyperlink" Target="https://ext-web.ltl-xpo.com/public-app/shipments?referenceNumber=216841623&amp;_gl=1*bx4fbe*_gcl_au*MTQ5ODM0NzM5Ni4xNzc4Njg2NzM2LjE0MzU4NzQ4OTMuMTc4NTM0ODQzNy4xNzg1MzQ5MTQzLjIwODA3MjAyNDUuMTc4NTMzMjE5Ni4xNzg1MzQ5MTQz" TargetMode="External"/><Relationship Id="rId49" Type="http://schemas.openxmlformats.org/officeDocument/2006/relationships/hyperlink" Target="https://rxo.com/track/RXONC20OANA1RECB26" TargetMode="External"/><Relationship Id="rId114" Type="http://schemas.openxmlformats.org/officeDocument/2006/relationships/hyperlink" Target="https://ext-web.ltl-xpo.com/public-app/shipments?referenceNumber=606941134&amp;_gl=1*1fm9sfy*_gcl_au*NzE3Njc0MDQ0LjE3Njc3MjI5MDAuMTg2MzEzMDYyOS4xNzczMDgyMDg2LjE3NzMwODIxNjM." TargetMode="External"/><Relationship Id="rId461" Type="http://schemas.openxmlformats.org/officeDocument/2006/relationships/hyperlink" Target="https://pittohio.com/myPittOhio/Shipping/LTL/tracerequest?pro=5057002053" TargetMode="External"/><Relationship Id="rId559" Type="http://schemas.openxmlformats.org/officeDocument/2006/relationships/hyperlink" Target="https://rxo.com/track/RXONC20OMEYEKX9G26" TargetMode="External"/><Relationship Id="rId766" Type="http://schemas.openxmlformats.org/officeDocument/2006/relationships/hyperlink" Target="https://rxo.com/track/RXONC20OYS25OEDH26" TargetMode="External"/><Relationship Id="rId198" Type="http://schemas.openxmlformats.org/officeDocument/2006/relationships/hyperlink" Target="http://www.polaristransport.com/en/" TargetMode="External"/><Relationship Id="rId321" Type="http://schemas.openxmlformats.org/officeDocument/2006/relationships/hyperlink" Target="https://tools.daytonfreight.com/tracking/detail/00034911957" TargetMode="External"/><Relationship Id="rId419" Type="http://schemas.openxmlformats.org/officeDocument/2006/relationships/hyperlink" Target="https://ext-web.ltl-xpo.com/public-app/shipments?referenceNumber=606904944&amp;_gl=1*18t1snk*_gcl_au*MTQ0NDI3MDM3My4xNzc2NDQyMDAzLjgzMDEyMDgwNC4xNzgxMTIyNDIyLjE3ODExMjU0Mjc." TargetMode="External"/><Relationship Id="rId626" Type="http://schemas.openxmlformats.org/officeDocument/2006/relationships/hyperlink" Target="https://ext-web.ltl-xpo.com/public-app/shipments?referenceNumber=216822023&amp;_gl=1*tcea5y*_gcl_au*MTQ5ODM0NzM5Ni4xNzc4Njg2NzM2LjIxNDYwOTk5NjUuMTc4NDc0ODE4My4xNzg0NzQ4NzY0LjIzMjY5NDcxMy4xNzg0NzMwNzEwLjE3ODQ3NDg3NjQ." TargetMode="External"/><Relationship Id="rId973" Type="http://schemas.openxmlformats.org/officeDocument/2006/relationships/hyperlink" Target="https://ext-web.ltl-xpo.com/public-app/shipments?referenceNumber=557745171&amp;_gl=1*1b1iuu3*_gcl_au*ODgwMzAyNjQ3LjE3ODY0NTQxMDguMTk3Nzc4NTI1OC4xNzkwMzUwNzAwLjE3OTAzNTA5MzEuNTYzMTMyNjU4LjE3OTAzNDIyNjEuMTc5MDM1MDkzMQ.." TargetMode="External"/><Relationship Id="rId833" Type="http://schemas.openxmlformats.org/officeDocument/2006/relationships/hyperlink" Target="http://www.daytonfreight.com/Tracking/TrackingDetail.aspx?proNum=00034913788" TargetMode="External"/><Relationship Id="rId265" Type="http://schemas.openxmlformats.org/officeDocument/2006/relationships/hyperlink" Target="https://rxo.com/track/RXONC20OT4KQBVOD26" TargetMode="External"/><Relationship Id="rId472" Type="http://schemas.openxmlformats.org/officeDocument/2006/relationships/hyperlink" Target="https://ext-web.ltl-xpo.com/public-app/shipments?referenceNumber=163457453&amp;_gl=1*f5xtgg*_gcl_au*MTQ0NDI3MDM3My4xNzc2NDQyMDAzLjE4OTk0MjYxOTEuMTc4MTcwMTg0MS4xNzgxNzAxOTM2" TargetMode="External"/><Relationship Id="rId900" Type="http://schemas.openxmlformats.org/officeDocument/2006/relationships/hyperlink" Target="https://ext-web.ltl-xpo.com/public-app/shipments?referenceNumber=557732523&amp;_gl=1*188wxv6*_gcl_au*ODgwMzAyNjQ3LjE3ODY0NTQxMDguMTc2MjQxNzI5MC4xNzg5NzQzMzY4LjE3ODk3NDM2NTUuMTIxMDc2MzQwNS4xNzg5NzM4ODQ0LjE3ODk3NDM2NTU." TargetMode="External"/><Relationship Id="rId125" Type="http://schemas.openxmlformats.org/officeDocument/2006/relationships/hyperlink" Target="https://ext-web.ltl-xpo.com/public-app/shipments?referenceNumber=637614036&amp;_gl=1*1m52fgh*_gcl_au*NzE3Njc0MDQ0LjE3Njc3MjI5MDAuNzIwNzgzMDIzLjE3NzMzMjE4NDcuMTc3MzMyMjc2OA.." TargetMode="External"/><Relationship Id="rId332" Type="http://schemas.openxmlformats.org/officeDocument/2006/relationships/hyperlink" Target="https://ext-web.ltl-xpo.com/public-app/shipments?referenceNumber=771-190022&amp;_gl=1*b6iyhv*_gcl_au*MTQ0NDI3MDM3My4xNzc2NDQyMDAzLjg2NTI5NjI0My4xNzc4NTM0NzEzLjE3Nzg1MzQ3MTM." TargetMode="External"/><Relationship Id="rId777" Type="http://schemas.openxmlformats.org/officeDocument/2006/relationships/hyperlink" Target="https://ext-web.ltl-xpo.com/public-app/shipments?referenceNumber=216864233&amp;_gl=1*6sh5wi*_gcl_au*MTU4MjMwMTQ3MS4xNzg2NDYyODMwLjE0OTAyNjc2ODYuMTc4Njk3NTUxMS4xNzg2OTc4MDcwLjIxMDAzMTk2MjQuMTc4Njk3Mjg2NC4xNzg2OTc4MDcw" TargetMode="External"/><Relationship Id="rId984" Type="http://schemas.openxmlformats.org/officeDocument/2006/relationships/hyperlink" Target="https://ext-web.ltl-xpo.com/public-app/shipments?referenceNumber=557748391&amp;_gl=1*eh43up*_gcl_au*MTU4MjMwMTQ3MS4xNzg2NDYyODMwLjg0NzQyNDEzNC4xNzkwNjExOTMzLjE3OTA2MTMyMzcuMTIxMDkyMjk4My4xNzkwNjAxMzgxLjE3OTA2MTMyMzc." TargetMode="External"/><Relationship Id="rId637" Type="http://schemas.openxmlformats.org/officeDocument/2006/relationships/hyperlink" Target="https://ext-web.ltl-xpo.com/public-app/shipments?referenceNumber=216824381&amp;_gl=1*dw6g4q*_gcl_au*MTQ5ODM0NzM5Ni4xNzc4Njg2NzM2LjIxMzA0NjU0NTcuMTc4NDgyODc1NC4xNzg0ODMxNzk5LjU0OTI4NTQ2LjE3ODQ4MTgwNzUuMTc4NDgzMTc5OQ.." TargetMode="External"/><Relationship Id="rId844" Type="http://schemas.openxmlformats.org/officeDocument/2006/relationships/hyperlink" Target="https://tools.daytonfreight.com/tracking/detail/00034913881" TargetMode="External"/><Relationship Id="rId276" Type="http://schemas.openxmlformats.org/officeDocument/2006/relationships/hyperlink" Target="https://rxo.com/track/RXONC20OCGMMA0SD26" TargetMode="External"/><Relationship Id="rId483" Type="http://schemas.openxmlformats.org/officeDocument/2006/relationships/hyperlink" Target="https://rxo.com/track/RXONC20OVNTHXGJF26" TargetMode="External"/><Relationship Id="rId690" Type="http://schemas.openxmlformats.org/officeDocument/2006/relationships/hyperlink" Target="https://ext-web.ltl-xpo.com/public-app/shipments?referenceNumber=216840050&amp;_gl=1*whbead*_gcl_au*ODY0MTMyMDc0LjE3ODQyMTg3NzkuMTIyNTk2OTQzNS4xNzg1MjY4MDQ4LjE3ODUyNzE3ODcuNTMyMjM2MDY5LjE3ODUyNDM4OTcuMTc4NTI3MTc4Nw.." TargetMode="External"/><Relationship Id="rId704" Type="http://schemas.openxmlformats.org/officeDocument/2006/relationships/hyperlink" Target="https://ext-web.ltl-xpo.com/public-app/shipments?referenceNumber=216831020&amp;_gl=1*id561p*_gcl_au*MTQ5ODM0NzM5Ni4xNzc4Njg2NzM2LjE4MzQyNTU1Mi4xNzg1MzU4NDU0LjE3ODUzNTk0MzEuMjA4MDcyMDI0NS4xNzg1MzMyMTk2LjE3ODUzNTk0MzE." TargetMode="External"/><Relationship Id="rId911" Type="http://schemas.openxmlformats.org/officeDocument/2006/relationships/hyperlink" Target="https://ext-web.ltl-xpo.com/public-app/shipments?referenceNumber=557735920&amp;_gl=1*dqxmr3*_gcl_au*ODY0MTMyMDc0LjE3ODQyMTg3NzkuMTU1ODIyMTg3Ni4xNzkwMDg2NDM1LjE3OTAwODcyNzMuMjg0NDQxNTQxLjE3OTAwODI3MTMuMTc5MDA4NzI3Mw.." TargetMode="External"/><Relationship Id="rId40" Type="http://schemas.openxmlformats.org/officeDocument/2006/relationships/hyperlink" Target="https://rxo.com/track/RXONC20OFM52E02B26" TargetMode="External"/><Relationship Id="rId136" Type="http://schemas.openxmlformats.org/officeDocument/2006/relationships/hyperlink" Target="https://ext-web.ltl-xpo.com/public-app/shipments?referenceNumber=527628441&amp;_gl=1*io9vd5*_gcl_au*NTY5Mzg4NDU0LjE3NjU5OTg3MDkuNjQxMTcwOTcxLjE3NzMzMzczNDAuMTc3MzMzNzM0MA.." TargetMode="External"/><Relationship Id="rId343" Type="http://schemas.openxmlformats.org/officeDocument/2006/relationships/hyperlink" Target="https://ext-web.ltl-xpo.com/public-app/shipments?referenceNumber=451220416&amp;_gl=1*hkpv62*_gcl_au*MTQ0NDI3MDM3My4xNzc2NDQyMDAzLjMyNDA1ODQ2Mi4xNzc4NjA2NzczLjE3Nzg2MDY3NzI." TargetMode="External"/><Relationship Id="rId550" Type="http://schemas.openxmlformats.org/officeDocument/2006/relationships/hyperlink" Target="https://ext-web.ltl-xpo.com/public-app/shipments?referenceNumber=216798654&amp;_gl=1*1iz1xxu*_gcl_au*MTQ0NDI3MDM3My4xNzc2NDQyMDAzLjYyOTk0MjQyLjE3ODM2MDcxOTIuMTc4MzYwNzQxMg.." TargetMode="External"/><Relationship Id="rId788" Type="http://schemas.openxmlformats.org/officeDocument/2006/relationships/hyperlink" Target="https://ext-web.ltl-xpo.com/public-app/shipments?referenceNumber=216867910&amp;_gl=1*1otptkg*_gcl_au*MTU4MjMwMTQ3MS4xNzg2NDYyODMwLjIxMTc4NDg3OTAuMTc4NzA4MDAzMS4xNzg3MDgwMzA4LjE4ODQzNDI4ODkuMTc4NzA1OTM3MC4xNzg3MDgwMzA4" TargetMode="External"/><Relationship Id="rId995" Type="http://schemas.openxmlformats.org/officeDocument/2006/relationships/hyperlink" Target="https://rxo.com/track/RXONC20OEUDZZZUI26" TargetMode="External"/><Relationship Id="rId203" Type="http://schemas.openxmlformats.org/officeDocument/2006/relationships/hyperlink" Target="https://ext-web.ltl-xpo.com/public-app/shipments?referenceNumber=527669063&amp;_gl=1*gfkfwk*_gcl_au*NDI3NjEyOTY3LjE3NzA5OTIyMjguMjE0MDM5NTU4LjE3NzU1ODIwNjAuMTc3NTU4MjE3OQ.." TargetMode="External"/><Relationship Id="rId648" Type="http://schemas.openxmlformats.org/officeDocument/2006/relationships/hyperlink" Target="https://rxo.com/track/RXONC20O5HE5GPOG26" TargetMode="External"/><Relationship Id="rId855" Type="http://schemas.openxmlformats.org/officeDocument/2006/relationships/hyperlink" Target="https://ext-web.ltl-xpo.com/public-app/shipments?referenceNumber=557708281&amp;_gl=1*v1k4rd*_gcl_au*MTU4MjMwMTQ3MS4xNzg2NDYyODMwLjEyMzUxNTI4NDMuMTc4ODUyOTY4My4xNzg4NTMyMDA0LjQ1MTE3NjcwMC4xNzg4NTI5MjQ2LjE3ODg1MzIwMDQ." TargetMode="External"/><Relationship Id="rId287" Type="http://schemas.openxmlformats.org/officeDocument/2006/relationships/hyperlink" Target="https://ext-web.ltl-xpo.com/public-app/shipments?referenceNumber=321387581&amp;_gl=1*13jzsi1*_gcl_au*MTc1OTAzNzIyOS4xNzc1NDk5NDI2LjEzNjg0Njc5NzguMTc3NzQ4NjczMS4xNzc3NDk1OTk3" TargetMode="External"/><Relationship Id="rId410" Type="http://schemas.openxmlformats.org/officeDocument/2006/relationships/hyperlink" Target="http://www.saia.com/Tracing/AjaxProstatusByPro.aspx?nh=N&amp;Pro=121501795100" TargetMode="External"/><Relationship Id="rId494" Type="http://schemas.openxmlformats.org/officeDocument/2006/relationships/hyperlink" Target="https://ext-web.ltl-xpo.com/public-app/shipments?referenceNumber=163470764&amp;_gl=1*1j860wh*_gcl_au*MTQ0NDI3MDM3My4xNzc2NDQyMDAzLjkwNzc3NzY5MS4xNzgyMzIwMjA3LjE3ODIzMjE0Mjk." TargetMode="External"/><Relationship Id="rId508" Type="http://schemas.openxmlformats.org/officeDocument/2006/relationships/hyperlink" Target="https://rxo.com/track/RXONC20OT3QMT4TF26" TargetMode="External"/><Relationship Id="rId715" Type="http://schemas.openxmlformats.org/officeDocument/2006/relationships/hyperlink" Target="https://ext-web.ltl-xpo.com/public-app/shipments?referenceNumber=216838926&amp;_gl=1*1i7qqg5*_gcl_au*ODY0MTMyMDc0LjE3ODQyMTg3NzkuMTU0MTQ5OTQ4NC4xNzg1NTA1MjM5LjE3ODU1MDU2MjMuNDQ5MDU4Nzk2LjE3ODU0MjI2NjIuMTc4NTUwNTYyMw.." TargetMode="External"/><Relationship Id="rId922" Type="http://schemas.openxmlformats.org/officeDocument/2006/relationships/hyperlink" Target="https://rxo.com/track/RXONC20OO4WAITMI26" TargetMode="External"/><Relationship Id="rId147" Type="http://schemas.openxmlformats.org/officeDocument/2006/relationships/hyperlink" Target="https://rxo.com/track/RXONC20OAJ0MEZJC26" TargetMode="External"/><Relationship Id="rId354" Type="http://schemas.openxmlformats.org/officeDocument/2006/relationships/hyperlink" Target="https://ext-web.ltl-xpo.com/public-app/shipments?referenceNumber=451224922&amp;_gl=1*1y51vj4*_gcl_au*MTQ5ODM0NzM5Ni4xNzc4Njg2NzM2LjE0NTQ4Mjk5MzAuMTc3ODc3OTI5Ni4xNzc4Nzc5NjU1" TargetMode="External"/><Relationship Id="rId799" Type="http://schemas.openxmlformats.org/officeDocument/2006/relationships/hyperlink" Target="https://pittohio.com/myPittOhio/Shipping/LTL/tracerequest?pro=5057002649" TargetMode="External"/><Relationship Id="rId51" Type="http://schemas.openxmlformats.org/officeDocument/2006/relationships/hyperlink" Target="https://pittohio.com/myPittOhio/Shipping/LTL/tracerequest?pro=5055151950" TargetMode="External"/><Relationship Id="rId561" Type="http://schemas.openxmlformats.org/officeDocument/2006/relationships/hyperlink" Target="https://rxo.com/track/RXONC20OB4AV4T9G26" TargetMode="External"/><Relationship Id="rId659" Type="http://schemas.openxmlformats.org/officeDocument/2006/relationships/hyperlink" Target="https://rxo.com/track/RXONC20OLC4QT5OG26" TargetMode="External"/><Relationship Id="rId866" Type="http://schemas.openxmlformats.org/officeDocument/2006/relationships/hyperlink" Target="http://www.daytonfreight.com/Tracking/TrackingDetail.aspx?proNum=00034913986" TargetMode="External"/><Relationship Id="rId214" Type="http://schemas.openxmlformats.org/officeDocument/2006/relationships/hyperlink" Target="https://ext-web.ltl-xpo.com/public-app/shipments?referenceNumber=360044720&amp;_gl=1*rmqs9v*_gcl_au*MTQ0NDI3MDM3My4xNzc2NDQyMDAzLjEyMTE2OTE4OTcuMTc3ODYxMDYyNC4xNzc4NjE0ODE2" TargetMode="External"/><Relationship Id="rId298" Type="http://schemas.openxmlformats.org/officeDocument/2006/relationships/hyperlink" Target="https://rxo.com/track/RXONC20O2LF2D11E26" TargetMode="External"/><Relationship Id="rId421" Type="http://schemas.openxmlformats.org/officeDocument/2006/relationships/hyperlink" Target="https://www.saia.com/tracing/ajaxprostatusbypro.aspx?nh=N&amp;Pro=121502041406" TargetMode="External"/><Relationship Id="rId519" Type="http://schemas.openxmlformats.org/officeDocument/2006/relationships/hyperlink" Target="https://rxo.com/track/RXONC20OJY1BJGTF26" TargetMode="External"/><Relationship Id="rId158" Type="http://schemas.openxmlformats.org/officeDocument/2006/relationships/hyperlink" Target="https://rxo.com/track/RXONC20O3BSK2PKC26" TargetMode="External"/><Relationship Id="rId726" Type="http://schemas.openxmlformats.org/officeDocument/2006/relationships/hyperlink" Target="https://ext-web.ltl-xpo.com/public-app/shipments?referenceNumber=216847050&amp;_gl=1*kyaxx2*_gcl_au*ODY0MTMyMDc0LjE3ODQyMTg3NzkuMTI0MzI1NDU0Ni4xNzg1OTM3ODU0LjE3ODU5Mzc5MzkuMjAyMzEwNjM3Mi4xNzg1ODUyMjY3LjE3ODU5Mzc5Mzk." TargetMode="External"/><Relationship Id="rId933" Type="http://schemas.openxmlformats.org/officeDocument/2006/relationships/hyperlink" Target="https://ext-web.ltl-xpo.com/public-app/shipments?referenceNumber=557741192&amp;_gl=1*1lnuefd*_gcl_au*MTU4MjMwMTQ3MS4xNzg2NDYyODMwLjE5NTE0NDk2NTIuMTc5MDE4NzQ3NS4xNzkwMTkxMDU1LjE1ODE0MTU0MjEuMTc5MDE3MDU3OC4xNzkwMTkxMDU1" TargetMode="External"/><Relationship Id="rId1009" Type="http://schemas.openxmlformats.org/officeDocument/2006/relationships/hyperlink" Target="https://ext-web.ltl-xpo.com/public-app/shipments?referenceNumber=557745241&amp;_gl=1*1hqo03o*_gcl_au*ODgwMzAyNjQ3LjE3ODY0NTQxMDguNDYyMDcyNjg5LjE3OTAzNDE0OTUuMTc5MDM0Mjk4OC41NjMxMzI2NTguMTc5MDM0MjI2MS4xNzkwMzQyOTg4" TargetMode="External"/><Relationship Id="rId62" Type="http://schemas.openxmlformats.org/officeDocument/2006/relationships/hyperlink" Target="https://ext-web.ltl-xpo.com/public-app/shipments?referenceNumber=789783820&amp;_gl=1*dnm3fp*_gcl_au*NzE3Njc0MDQ0LjE3Njc3MjI5MDAuODQyOTQ4OTMwLjE3NzEzNDM5MzIuMTc3MTM1NTI2OQ.." TargetMode="External"/><Relationship Id="rId365" Type="http://schemas.openxmlformats.org/officeDocument/2006/relationships/hyperlink" Target="https://ext-web.ltl-xpo.com/public-app/shipments?referenceNumber=451228573&amp;_gl=1*i413qp*_gcl_au*MTQ5ODM0NzM5Ni4xNzc4Njg2NzM2LjE4OTMxOTc5NzYuMTc3OTMwMTkxOC4xNzc5MzAyMDMy" TargetMode="External"/><Relationship Id="rId572" Type="http://schemas.openxmlformats.org/officeDocument/2006/relationships/hyperlink" Target="http://www.odfl.com/trace/Trace.jsp?Type=P&amp;pronum=59739010243" TargetMode="External"/><Relationship Id="rId225" Type="http://schemas.openxmlformats.org/officeDocument/2006/relationships/hyperlink" Target="https://ext-web.ltl-xpo.com/public-app/shipments?referenceNumber=527675982&amp;_gl=1*147f9zv*_gcl_au*NDI3NjEyOTY3LjE3NzA5OTIyMjguMTc5MzcxMTMzMS4xNzc1ODM5NDc0LjE3NzU4NDAzMTQ." TargetMode="External"/><Relationship Id="rId432" Type="http://schemas.openxmlformats.org/officeDocument/2006/relationships/hyperlink" Target="https://ext-web.ltl-xpo.com/public-app/shipments?referenceNumber=163445726&amp;_gl=1*ui5xvq*_gcl_au*MTQ5ODM0NzM5Ni4xNzc4Njg2NzM2Ljg5ODY5NjgzNy4xNzgxMTE3NTQ3LjE3ODExMTkwNjc." TargetMode="External"/><Relationship Id="rId877" Type="http://schemas.openxmlformats.org/officeDocument/2006/relationships/hyperlink" Target="https://rxo.com/track/RXONC20OQNLTWA4I26" TargetMode="External"/><Relationship Id="rId737" Type="http://schemas.openxmlformats.org/officeDocument/2006/relationships/hyperlink" Target="https://www.tforcefreight.com/ltl/apps/Tracking" TargetMode="External"/><Relationship Id="rId944" Type="http://schemas.openxmlformats.org/officeDocument/2006/relationships/hyperlink" Target="https://ext-web.ltl-xpo.com/public-app/shipments?referenceNumber=557741962&amp;_gl=1*c0vkpd*_gcl_au*ODgwMzAyNjQ3LjE3ODY0NTQxMDguMjA2MjU1MDg1NC4xNzkwMjU3MjYxLjE3OTAyNTkyNTYuMTA5MDUyNjQ1MC4xNzkwMjU1NDUzLjE3OTAyNTkyNTY." TargetMode="External"/><Relationship Id="rId73" Type="http://schemas.openxmlformats.org/officeDocument/2006/relationships/hyperlink" Target="http://www.saia.com/Tracing/AjaxProstatusByPro.aspx?nh=N&amp;Pro=121496522303" TargetMode="External"/><Relationship Id="rId169" Type="http://schemas.openxmlformats.org/officeDocument/2006/relationships/hyperlink" Target="http://www.saia.com/Tracing/AjaxProstatusByPro.aspx?nh=N&amp;Pro=121498048303" TargetMode="External"/><Relationship Id="rId376" Type="http://schemas.openxmlformats.org/officeDocument/2006/relationships/hyperlink" Target="https://ext-web.ltl-xpo.com/public-app/shipments?referenceNumber=451233672&amp;_gl=1*jq5fao*_gcl_au*MTQ0NDI3MDM3My4xNzc2NDQyMDAzLjQ0MzA1OTQ4LjE3Nzk0NjU4MTcuMTc3OTQ2NTg5Mw.." TargetMode="External"/><Relationship Id="rId583" Type="http://schemas.openxmlformats.org/officeDocument/2006/relationships/hyperlink" Target="https://ext-web.ltl-xpo.com/public-app/shipments?referenceNumber=216808572&amp;_gl=1*1y0459x*_gcl_au*MTQ5ODM0NzM5Ni4xNzc4Njg2NzM2Ljk0OTU4MzkyMi4xNzg0MTI4Nzk1LjE3ODQxMjk0OTI." TargetMode="External"/><Relationship Id="rId790" Type="http://schemas.openxmlformats.org/officeDocument/2006/relationships/hyperlink" Target="https://rxo.com/track/RXONC20O0XOZK0IH26" TargetMode="External"/><Relationship Id="rId804" Type="http://schemas.openxmlformats.org/officeDocument/2006/relationships/hyperlink" Target="https://rxo.com/track/RXONC20OKJB3MJKH26" TargetMode="External"/><Relationship Id="rId4" Type="http://schemas.openxmlformats.org/officeDocument/2006/relationships/hyperlink" Target="https://rxo.com/track/RXONC20O05XEV56A26" TargetMode="External"/><Relationship Id="rId236" Type="http://schemas.openxmlformats.org/officeDocument/2006/relationships/hyperlink" Target="https://www.fedex.com/fedextrack/?trknbr=4749685032" TargetMode="External"/><Relationship Id="rId443" Type="http://schemas.openxmlformats.org/officeDocument/2006/relationships/hyperlink" Target="https://rxo.com/track/RXONC20OD3SGVFCF26" TargetMode="External"/><Relationship Id="rId650" Type="http://schemas.openxmlformats.org/officeDocument/2006/relationships/hyperlink" Target="https://ext-web.ltl-xpo.com/public-app/shipments?referenceNumber=216847400&amp;_gl=1*1ewsm3e*_gcl_au*ODY0MTMyMDc0LjE3ODQyMTg3NzkuMTgzMTMyNjkyLjE3ODUxNTk4NDguMTc4NTE2MDEwMC4xNTkzNjMzODAyLjE3ODUxNTM4NjcuMTc4NTE2MDEwMA.." TargetMode="External"/><Relationship Id="rId888" Type="http://schemas.openxmlformats.org/officeDocument/2006/relationships/hyperlink" Target="https://ext-web.ltl-xpo.com/public-app/shipments?referenceNumber=557726024&amp;_gl=1*ef0lj2*_gcl_au*ODY0MTMyMDc0LjE3ODQyMTg3NzkuNjIyMTk1MTYyLjE3ODk1NzA2MjIuMTc4OTU3MDg4NS4xNzUzOTA2NTQ0LjE3ODk0OTEwNjYuMTc4OTU3MDg4NQ.." TargetMode="External"/><Relationship Id="rId303" Type="http://schemas.openxmlformats.org/officeDocument/2006/relationships/hyperlink" Target="https://ext-web.ltl-xpo.com/public-app/shipments?referenceNumber=321398475&amp;_gl=1*1saxlhv*_gcl_au*NDI3NjEyOTY3LjE3NzA5OTIyMjguMTE5Njk5MjM3Ny4xNzc4MDgyODI0LjE3NzgwODQwMzQ." TargetMode="External"/><Relationship Id="rId748" Type="http://schemas.openxmlformats.org/officeDocument/2006/relationships/hyperlink" Target="http://www.daytonfreight.com/Tracking/TrackingDetail.aspx?proNum=828719213" TargetMode="External"/><Relationship Id="rId955" Type="http://schemas.openxmlformats.org/officeDocument/2006/relationships/hyperlink" Target="https://ext-web.ltl-xpo.com/public-app/shipments?referenceNumber=557742533&amp;_gl=1*hln0i7*_gcl_au*ODgwMzAyNjQ3LjE3ODY0NTQxMDguMTkxMTM5MTU0Mi4xNzkwMjczMDU5LjE3OTAyNzU2ODMuMTA5MDUyNjQ1MC4xNzkwMjU1NDUzLjE3OTAyNzU2ODM." TargetMode="External"/><Relationship Id="rId84" Type="http://schemas.openxmlformats.org/officeDocument/2006/relationships/hyperlink" Target="http://www.saia.com/Tracing/AjaxProstatusByPro.aspx?nh=N&amp;Pro=121496541001" TargetMode="External"/><Relationship Id="rId387" Type="http://schemas.openxmlformats.org/officeDocument/2006/relationships/hyperlink" Target="https://rxo.com/track/RXONC20OMW34EWRE26" TargetMode="External"/><Relationship Id="rId510" Type="http://schemas.openxmlformats.org/officeDocument/2006/relationships/hyperlink" Target="https://ext-web.ltl-xpo.com/public-app/shipments?referenceNumber=163479503&amp;_gl=1*vepi9*_gcl_au*MTQ5ODM0NzM5Ni4xNzc4Njg2NzM2LjM3Njg2MTAwMS4xNzgyNzQ5MTMxLjE3ODI3NDk5MTA." TargetMode="External"/><Relationship Id="rId594" Type="http://schemas.openxmlformats.org/officeDocument/2006/relationships/hyperlink" Target="https://ext-web.ltl-xpo.com/public-app/shipments?referenceNumber=216811556&amp;_gl=1*u4d1pk*_gcl_au*ODY0MTMyMDc0LjE3ODQyMTg3NzkuODQ4ODExMjIyLjE3ODQyMjMyNTIuMTc4NDIyMzQ5Nw.." TargetMode="External"/><Relationship Id="rId608" Type="http://schemas.openxmlformats.org/officeDocument/2006/relationships/hyperlink" Target="https://rxo.com/track/RXONC20OCQRKIDLG26" TargetMode="External"/><Relationship Id="rId815" Type="http://schemas.openxmlformats.org/officeDocument/2006/relationships/hyperlink" Target="https://rxo.com/track/RXONC20O2NAC0LPH26" TargetMode="External"/><Relationship Id="rId247" Type="http://schemas.openxmlformats.org/officeDocument/2006/relationships/hyperlink" Target="https://ext-web.ltl-xpo.com/public-app/shipments?referenceNumber=321369090&amp;_gl=1*vzbw6t*_gcl_au*NDI3NjEyOTY3LjE3NzA5OTIyMjguMTE2NjczNjg2LjE3NzY3MDg2NzIuMTc3NjcwOTE5NA.." TargetMode="External"/><Relationship Id="rId899" Type="http://schemas.openxmlformats.org/officeDocument/2006/relationships/hyperlink" Target="http://www.polaristransport.com/en/" TargetMode="External"/><Relationship Id="rId1000" Type="http://schemas.openxmlformats.org/officeDocument/2006/relationships/hyperlink" Target="https://ext-web.ltl-xpo.com/public-app/shipments?referenceNumber=557748085&amp;_gl=1*1uvwprf*_gcl_au*ODY0MTMyMDc0LjE3ODQyMTg3NzkuMjA4NTE5MTkzNy4xNzkwNzA1MjkzLjE3OTA3MDU3NjYuMjA5NDYyOTMyNi4xNzkwNjg3NDYyLjE3OTA3MDU3NjY." TargetMode="External"/><Relationship Id="rId107" Type="http://schemas.openxmlformats.org/officeDocument/2006/relationships/hyperlink" Target="http://www.saia.com/Tracing/AjaxProstatusByPro.aspx?nh=N&amp;Pro=121496838501" TargetMode="External"/><Relationship Id="rId454" Type="http://schemas.openxmlformats.org/officeDocument/2006/relationships/hyperlink" Target="https://ext-web.ltl-xpo.com/public-app/shipments?referenceNumber=163456230&amp;_gl=1*7ovsl0*_gcl_au*MTQ5ODM0NzM5Ni4xNzc4Njg2NzM2LjExNDQwMzExOTcuMTc4MTYyODYzMC4xNzgxNjI4NjI5" TargetMode="External"/><Relationship Id="rId661" Type="http://schemas.openxmlformats.org/officeDocument/2006/relationships/hyperlink" Target="https://ext-web.ltl-xpo.com/public-app/shipments?referenceNumber=216846361&amp;_gl=1*vw7bfu*_gcl_au*MTQ5ODM0NzM5Ni4xNzc4Njg2NzM2LjY1Mzc5NDkwMS4xNzg1MTU2NDcyLjE3ODUxNjA5OTcuNzk2MzcxMzY1LjE3ODUxNTQ2MTIuMTc4NTE2MDk5Nw.." TargetMode="External"/><Relationship Id="rId759" Type="http://schemas.openxmlformats.org/officeDocument/2006/relationships/hyperlink" Target="https://ext-web.ltl-xpo.com/public-app/shipments?referenceNumber=216860173&amp;_gl=1*tebtps*_gcl_au*ODY0MTMyMDc0LjE3ODQyMTg3NzkuMjQ5NDAxODkyLjE3ODY2MzkwMjUuMTc4NjY0MTExNy41MTMwMjA3MzAuMTc4NjYzMzk4My4xNzg2NjQxMTc1" TargetMode="External"/><Relationship Id="rId966" Type="http://schemas.openxmlformats.org/officeDocument/2006/relationships/hyperlink" Target="http://www.odfl.com/trace/Trace.jsp?Type=P&amp;pronum=59739015762" TargetMode="External"/><Relationship Id="rId11" Type="http://schemas.openxmlformats.org/officeDocument/2006/relationships/hyperlink" Target="https://www.estes-express.com/myestes/shipment-tracking/?type=PRO&amp;query=2938031892%20&amp;submit=Submit" TargetMode="External"/><Relationship Id="rId314" Type="http://schemas.openxmlformats.org/officeDocument/2006/relationships/hyperlink" Target="https://pittohio.com/myPittOhio/Shipping/LTL/tracerequest?pro=5056001046" TargetMode="External"/><Relationship Id="rId398" Type="http://schemas.openxmlformats.org/officeDocument/2006/relationships/hyperlink" Target="http://www.daytonfreight.com/Tracking/TrackingDetail.aspx?proNum=811284299" TargetMode="External"/><Relationship Id="rId521" Type="http://schemas.openxmlformats.org/officeDocument/2006/relationships/hyperlink" Target="https://rxo.com/track/RXONC20OT5CCLKTF26" TargetMode="External"/><Relationship Id="rId619" Type="http://schemas.openxmlformats.org/officeDocument/2006/relationships/hyperlink" Target="https://ext-web.ltl-xpo.com/public-app/shipments?referenceNumber=216821474&amp;_gl=1*1wlz4me*_gcl_au*MTQ5ODM0NzM5Ni4xNzc4Njg2NzM2LjgzMDMyNTg4OC4xNzg0NzQyMjA3LjE3ODQ3NDI2NjIuMjMyNjk0NzEzLjE3ODQ3MzA3MTAuMTc4NDc0MjY2Mg.." TargetMode="External"/><Relationship Id="rId95" Type="http://schemas.openxmlformats.org/officeDocument/2006/relationships/hyperlink" Target="https://rxo.com/track/RXONC20OMW53CBQB26" TargetMode="External"/><Relationship Id="rId160" Type="http://schemas.openxmlformats.org/officeDocument/2006/relationships/hyperlink" Target="https://rxo.com/track/RXONC20O40S1FDNC26" TargetMode="External"/><Relationship Id="rId826" Type="http://schemas.openxmlformats.org/officeDocument/2006/relationships/hyperlink" Target="https://ext-web.ltl-xpo.com/public-app/shipments?referenceNumber=557691186&amp;_gl=1*1ywxreb*_gcl_au*ODY0MTMyMDc0LjE3ODQyMTg3NzkuMTc1OTI3MzE4My4xNzg3NzUzNDA5LjE3ODc3NTY0NzAuMTIxNzMxNzAuMTc4Nzc1MDgxOS4xNzg3NzU2NDcw" TargetMode="External"/><Relationship Id="rId1011" Type="http://schemas.openxmlformats.org/officeDocument/2006/relationships/hyperlink" Target="https://pittohio.com/myPittOhio/Shipping/LTL/tracerequest?pro=5057002918" TargetMode="External"/><Relationship Id="rId258" Type="http://schemas.openxmlformats.org/officeDocument/2006/relationships/hyperlink" Target="https://www.saia.com/tracing/ajaxprostatusbypro.aspx?nh=N&amp;Pro=121499580206" TargetMode="External"/><Relationship Id="rId465" Type="http://schemas.openxmlformats.org/officeDocument/2006/relationships/hyperlink" Target="https://ext-web.ltl-xpo.com/public-app/shipments?referenceNumber=163456915&amp;_gl=1*hdf3ge*_gcl_au*MTQ0NDI3MDM3My4xNzc2NDQyMDAzLjQwMDQ2NjMwNi4xNzgxNjM4OTE4LjE3ODE2NDAwNTY." TargetMode="External"/><Relationship Id="rId672" Type="http://schemas.openxmlformats.org/officeDocument/2006/relationships/hyperlink" Target="https://ext-web.ltl-xpo.com/public-app/shipments?referenceNumber=216826492&amp;_gl=1*vdetlq*_gcl_au*MTQ5ODM0NzM5Ni4xNzc4Njg2NzM2LjEyMzIwODc5MS4xNzg1MTc5NzMzLjE3ODUxODE0MjkuNzk2MzcxMzY1LjE3ODUxNTQ2MTIuMTc4NTE4MTQyOQ.." TargetMode="External"/><Relationship Id="rId22" Type="http://schemas.openxmlformats.org/officeDocument/2006/relationships/hyperlink" Target="https://www.estes-express.com/myestes/shipment-tracking/?type=PRO&amp;query=2358063475%20&amp;submit=Submit" TargetMode="External"/><Relationship Id="rId118" Type="http://schemas.openxmlformats.org/officeDocument/2006/relationships/hyperlink" Target="https://rxo.com/track/RXONC20OR2QBYG5C26" TargetMode="External"/><Relationship Id="rId325" Type="http://schemas.openxmlformats.org/officeDocument/2006/relationships/hyperlink" Target="https://ext-web.ltl-xpo.com/public-app/shipments?referenceNumber=321402185&amp;_gl=1*nk11yx*_gcl_au*MTQ0NDI3MDM3My4xNzc2NDQyMDAzLjgxNzI3OTQyLjE3NzgxODA2MjYuMTc3ODE4NTA3NA.." TargetMode="External"/><Relationship Id="rId532" Type="http://schemas.openxmlformats.org/officeDocument/2006/relationships/hyperlink" Target="https://ext-web.ltl-xpo.com/public-app/shipments?referenceNumber=163483246&amp;_gl=1*b5m75t*_gcl_au*MTQ0NDI3MDM3My4xNzc2NDQyMDAzLjE5MDgxNzkxMTQuMTc4MjkxNzMxMC4xNzgyOTE3NzIz" TargetMode="External"/><Relationship Id="rId977" Type="http://schemas.openxmlformats.org/officeDocument/2006/relationships/hyperlink" Target="https://ext-web.ltl-xpo.com/public-app/shipments?referenceNumber=557743281&amp;_gl=1*zq8k7i*_gcl_au*ODgwMzAyNjQ3LjE3ODY0NTQxMDguMTk3Nzc4NTI1OC4xNzkwMzUwNzAwLjE3OTAzNTI1NjkuNTYzMTMyNjU4LjE3OTAzNDIyNjEuMTc5MDM1MjU2OQ.." TargetMode="External"/><Relationship Id="rId171" Type="http://schemas.openxmlformats.org/officeDocument/2006/relationships/hyperlink" Target="https://ext-web.ltl-xpo.com/public-app/shipments?referenceNumber=527651014&amp;_gl=1*1frxso7*_gcl_au*MTA5OTE3NzIyNi4xNzcyNjMzNDg1LjE5Mzg1NDY4MzUuMTc3NTEzNTgyNy4xNzc1MTM1OTEz" TargetMode="External"/><Relationship Id="rId837" Type="http://schemas.openxmlformats.org/officeDocument/2006/relationships/hyperlink" Target="https://tools.daytonfreight.com/tracking/detail/00034913806" TargetMode="External"/><Relationship Id="rId1022" Type="http://schemas.openxmlformats.org/officeDocument/2006/relationships/hyperlink" Target="https://ext-web.ltl-xpo.com/public-app/shipments?referenceNumber=557770124&amp;_gl=1*jd3vvs*_gcl_au*MTU4MjMwMTQ3MS4xNzg2NDYyODMwLjE1MzA4OTE0NzEuMTc5MTQ3NzAyOS4xNzkxNDc3MTg3LjU4NTU3NTU3OS4xNzkxNDY5OTgyLjE3OTE0NzcxODc." TargetMode="External"/><Relationship Id="rId269" Type="http://schemas.openxmlformats.org/officeDocument/2006/relationships/hyperlink" Target="https://ext-web.ltl-xpo.com/public-app/shipments?referenceNumber=321378960&amp;_gl=1*dic9gy*_gcl_au*MTQ0NDI3MDM3My4xNzc2NDQyMDAzLjg5Nzc5MDM1MS4xNzc3MDQ5NjQ1LjE3NzcwNTEwOTk." TargetMode="External"/><Relationship Id="rId476" Type="http://schemas.openxmlformats.org/officeDocument/2006/relationships/hyperlink" Target="https://ext-web.ltl-xpo.com/public-app/shipments?referenceNumber=163460135&amp;_gl=1*i3ejmo*_gcl_au*MTQ5ODM0NzM5Ni4xNzc4Njg2NzM2LjE1NTY0MjY2MDIuMTc4MTc5MDk1OS4xNzgxNzkxNjc3" TargetMode="External"/><Relationship Id="rId683" Type="http://schemas.openxmlformats.org/officeDocument/2006/relationships/hyperlink" Target="https://www.tforcefreight.com/ltl/apps/Tracking?proNumbers=432369184" TargetMode="External"/><Relationship Id="rId890" Type="http://schemas.openxmlformats.org/officeDocument/2006/relationships/hyperlink" Target="https://rxo.com/track/RXONC20O4SAL5DFI26" TargetMode="External"/><Relationship Id="rId904" Type="http://schemas.openxmlformats.org/officeDocument/2006/relationships/hyperlink" Target="https://ext-web.ltl-xpo.com/public-app/shipments?referenceNumber=557734752&amp;_gl=1*xewet0*_gcl_au*MTU4MjMwMTQ3MS4xNzg2NDYyODMwLjEzNDc2MzAwNjguMTc4OTk5NzE1Ni4xNzg5OTk4NDgxLjk3MzY2NjIxOS4xNzg5OTk2NzU1LjE3ODk5OTg0ODE." TargetMode="External"/><Relationship Id="rId33" Type="http://schemas.openxmlformats.org/officeDocument/2006/relationships/hyperlink" Target="https://ext-web.ltl-xpo.com/public-app/shipments?referenceNumber=317980843&amp;_gl=1*1mc4qkw*_gcl_au*NzE3Njc0MDQ0LjE3Njc3MjI5MDAuOTAzNzY0NDA4LjE3Njk4MTgzNDAuMTc2OTgxODM3OA.." TargetMode="External"/><Relationship Id="rId129" Type="http://schemas.openxmlformats.org/officeDocument/2006/relationships/hyperlink" Target="http://www.saia.com/Tracing/AjaxProstatusByPro.aspx?nh=N&amp;Pro=121497289200" TargetMode="External"/><Relationship Id="rId336" Type="http://schemas.openxmlformats.org/officeDocument/2006/relationships/hyperlink" Target="https://pittohio.com/myPittOhio/Shipping/LTL/tracerequest?pro=5056001169" TargetMode="External"/><Relationship Id="rId543" Type="http://schemas.openxmlformats.org/officeDocument/2006/relationships/hyperlink" Target="https://ext-web.ltl-xpo.com/public-app/shipments?referenceNumber=216794583&amp;_gl=1*1y6ia4f*_gcl_au*MTQ0NDI3MDM3My4xNzc2NDQyMDAzLjE2NzIzNzU5NTguMTc4MzQ0NjgwOS4xNzgzNDQ3MTU4" TargetMode="External"/><Relationship Id="rId988" Type="http://schemas.openxmlformats.org/officeDocument/2006/relationships/hyperlink" Target="https://rxo.com/track/RXONC20ODBI4JOTI26" TargetMode="External"/><Relationship Id="rId182" Type="http://schemas.openxmlformats.org/officeDocument/2006/relationships/hyperlink" Target="https://www.oakh.com/quicktrace&amp;PRO=87549489" TargetMode="External"/><Relationship Id="rId403" Type="http://schemas.openxmlformats.org/officeDocument/2006/relationships/hyperlink" Target="http://www.saia.com/Tracing/AjaxProstatusByPro.aspx?nh=N&amp;Pro=121501618902" TargetMode="External"/><Relationship Id="rId750" Type="http://schemas.openxmlformats.org/officeDocument/2006/relationships/hyperlink" Target="https://ext-web.ltl-xpo.com/public-app/shipments?referenceNumber=216856231&amp;_gl=1*9xgd5c*_gcl_au*MTU4MjMwMTQ3MS4xNzg2NDYyODMwLi0uLS4xNzg2NDcyNDQyLjU5NTI1NTU0NC4xNzg2NDYyODMwLjE3ODY0NzY1OTY." TargetMode="External"/><Relationship Id="rId848" Type="http://schemas.openxmlformats.org/officeDocument/2006/relationships/hyperlink" Target="https://ext-web.ltl-xpo.com/public-app/shipments?referenceNumber=557699973&amp;_gl=1*6ijq78*_gcl_au*MTU4MjMwMTQ3MS4xNzg2NDYyODMwLi0uLS4xNzg4Mjc4NzMzLjE4MzM2ODcxNjIuMTc4ODI2OTEyOC4xNzg4Mjg3ODk3" TargetMode="External"/><Relationship Id="rId1033" Type="http://schemas.openxmlformats.org/officeDocument/2006/relationships/hyperlink" Target="https://rxo.com/track/RXONC20OMDFJYSEJ26" TargetMode="External"/><Relationship Id="rId487" Type="http://schemas.openxmlformats.org/officeDocument/2006/relationships/hyperlink" Target="https://www.tforcefreight.com/ltl/apps/Tracking?proNumbers=357971316" TargetMode="External"/><Relationship Id="rId610" Type="http://schemas.openxmlformats.org/officeDocument/2006/relationships/hyperlink" Target="https://rxo.com/track/RXONC20OC5ZP1GLG26" TargetMode="External"/><Relationship Id="rId694" Type="http://schemas.openxmlformats.org/officeDocument/2006/relationships/hyperlink" Target="https://ext-web.ltl-xpo.com/public-app/shipments?referenceNumber=216847632&amp;_gl=1*1g86vqz*_gcl_au*MTQ5ODM0NzM5Ni4xNzc4Njg2NzM2LjE5MzI5NTA2NTAuMTc4NTMyNTkyMS4xNzg1MzI2OTQ3LjUxODYxMDc1LjE3ODUyNDUzNzYuMTc4NTMyNjk0Nw.." TargetMode="External"/><Relationship Id="rId708" Type="http://schemas.openxmlformats.org/officeDocument/2006/relationships/hyperlink" Target="https://rxo.com/track/RXONC20OB4XPE4SG26" TargetMode="External"/><Relationship Id="rId915" Type="http://schemas.openxmlformats.org/officeDocument/2006/relationships/hyperlink" Target="https://rxo.com/track/RXONC20OJBPGDLMI26" TargetMode="External"/><Relationship Id="rId347" Type="http://schemas.openxmlformats.org/officeDocument/2006/relationships/hyperlink" Target="https://ext-web.ltl-xpo.com/public-app/shipments?referenceNumber=451218154&amp;_gl=1*2i88v2*_gcl_au*NDI3NjEyOTY3LjE3NzA5OTIyMjguMjE5MjYxNzUwLjE3Nzg2MTEzNjYuMTc3ODYxMjU1Ng.." TargetMode="External"/><Relationship Id="rId999" Type="http://schemas.openxmlformats.org/officeDocument/2006/relationships/hyperlink" Target="https://pittohio.com/myPittOhio/Shipping/LTL/tracerequest?pro=5057002984" TargetMode="External"/><Relationship Id="rId44" Type="http://schemas.openxmlformats.org/officeDocument/2006/relationships/hyperlink" Target="https://ext-web.ltl-xpo.com/public-app/shipments?referenceNumber=138921381&amp;_gl=1*1ikqzm5*_gcl_au*NzE3Njc0MDQ0LjE3Njc3MjI5MDAuMTE1ODgyMTcxNS4xNzcwMjI3MzM1LjE3NzAyMjgyNTg." TargetMode="External"/><Relationship Id="rId554" Type="http://schemas.openxmlformats.org/officeDocument/2006/relationships/hyperlink" Target="https://rxo.com/track/RXONC20OHEV4MB9G26" TargetMode="External"/><Relationship Id="rId761" Type="http://schemas.openxmlformats.org/officeDocument/2006/relationships/hyperlink" Target="https://12.237.6.120/" TargetMode="External"/><Relationship Id="rId859" Type="http://schemas.openxmlformats.org/officeDocument/2006/relationships/hyperlink" Target="http://www.daytonfreight.com/Tracking/TrackingDetail.aspx?proNum=00034913980" TargetMode="External"/><Relationship Id="rId193" Type="http://schemas.openxmlformats.org/officeDocument/2006/relationships/hyperlink" Target="https://pittohio.com/myPittOhio/Shipping/LTL/tracerequest?pro=5056000582" TargetMode="External"/><Relationship Id="rId207" Type="http://schemas.openxmlformats.org/officeDocument/2006/relationships/hyperlink" Target="https://www.saia.com/tracing/ajaxprostatusbypro.aspx?nh=N&amp;Pro=121498521604" TargetMode="External"/><Relationship Id="rId414" Type="http://schemas.openxmlformats.org/officeDocument/2006/relationships/hyperlink" Target="https://www.saia.com/tracing/ajaxprostatusbypro.aspx?nh=N&amp;Pro=121501834603" TargetMode="External"/><Relationship Id="rId498" Type="http://schemas.openxmlformats.org/officeDocument/2006/relationships/hyperlink" Target="https://pittohio.com/myPittOhio/Shipping/LTL/tracerequest?pro=5057002509" TargetMode="External"/><Relationship Id="rId621" Type="http://schemas.openxmlformats.org/officeDocument/2006/relationships/hyperlink" Target="https://ext-web.ltl-xpo.com/public-app/shipments?referenceNumber=216821732&amp;_gl=1*1uu007d*_gcl_au*ODY0MTMyMDc0LjE3ODQyMTg3NzkuMTc3NTEzNDgxLjE3ODQ3NDQ3NDcuMTc4NDc0NTA4NC4yNDAwMTE1Ny4xNzg0NzQyNjY5LjE3ODQ3NDUwODQ." TargetMode="External"/><Relationship Id="rId260" Type="http://schemas.openxmlformats.org/officeDocument/2006/relationships/hyperlink" Target="https://pittohio.com/myPittOhio/Shipping/LTL/tracerequest?pro=5056000854" TargetMode="External"/><Relationship Id="rId719" Type="http://schemas.openxmlformats.org/officeDocument/2006/relationships/hyperlink" Target="https://ext-web.ltl-xpo.com/public-app/shipments?referenceNumber=216844821&amp;_gl=1*h0jxnx*_gcl_au*MTQ5ODM0NzM5Ni4xNzc4Njg2NzM2LjMxNTk4NzA5My4xNzg1NTA1ODcwLjE3ODU1MDg0OTEuMTg2NTY1MTUwNS4xNzg1NTA2MjUxLjE3ODU1MDg0OTE." TargetMode="External"/><Relationship Id="rId926" Type="http://schemas.openxmlformats.org/officeDocument/2006/relationships/hyperlink" Target="https://ext-web.ltl-xpo.com/public-app/shipments?referenceNumber=557735942&amp;_gl=1*1ke6i44*_gcl_au*MTU4MjMwMTQ3MS4xNzg2NDYyODMwLi0uLS4xNzkwMTcyMTUxLjE1ODE0MTU0MjEuMTc5MDE3MDU3OC4xNzkwMTc5OTY4" TargetMode="External"/><Relationship Id="rId55" Type="http://schemas.openxmlformats.org/officeDocument/2006/relationships/hyperlink" Target="https://pittohio.com/myPittOhio/Shipping/LTL/tracerequest?pro=5055151985" TargetMode="External"/><Relationship Id="rId120" Type="http://schemas.openxmlformats.org/officeDocument/2006/relationships/hyperlink" Target="https://rxo.com/track/RXONC20OTG4JT56C26" TargetMode="External"/><Relationship Id="rId358" Type="http://schemas.openxmlformats.org/officeDocument/2006/relationships/hyperlink" Target="https://rxo.com/track/RXONC20O1GSN0HFE26" TargetMode="External"/><Relationship Id="rId565" Type="http://schemas.openxmlformats.org/officeDocument/2006/relationships/hyperlink" Target="https://ext-web.ltl-xpo.com/public-app/shipments?referenceNumber=537998705&amp;_gl=1*1fgl795*_gcl_au*MTQ0NDI3MDM3My4xNzc2NDQyMDAzLjk0Mzk0NjE2Ni4xNzg0MDM2NDc2LjE3ODQwMzY0NzY." TargetMode="External"/><Relationship Id="rId772" Type="http://schemas.openxmlformats.org/officeDocument/2006/relationships/hyperlink" Target="https://pittohio.com/myPittOhio/Shipping/LTL/tracerequest?pro=5057003402" TargetMode="External"/><Relationship Id="rId218" Type="http://schemas.openxmlformats.org/officeDocument/2006/relationships/hyperlink" Target="https://www.saia.com/tracing/ajaxprostatusbypro.aspx?nh=N&amp;Pro=121498659100" TargetMode="External"/><Relationship Id="rId425" Type="http://schemas.openxmlformats.org/officeDocument/2006/relationships/hyperlink" Target="https://ext-web.ltl-xpo.com/public-app/shipments?referenceNumber=163441515&amp;_gl=1*1ghm0es*_gcl_au*MTQ0NDI3MDM3My4xNzc2NDQyMDAzLjk3Mjc3NjIyMy4xNzgxMDE3MDgwLjE3ODEwMTcyMDU." TargetMode="External"/><Relationship Id="rId632" Type="http://schemas.openxmlformats.org/officeDocument/2006/relationships/hyperlink" Target="https://ext-web.ltl-xpo.com/public-app/shipments?referenceNumber=216824226&amp;_gl=1*wwsbcy*_gcl_au*MTQ5ODM0NzM5Ni4xNzc4Njg2NzM2LjIxMzA0NjU0NTcuMTc4NDgyODc1NC4xNzg0ODI5NTY4LjU0OTI4NTQ2LjE3ODQ4MTgwNzUuMTc4NDgyOTU2OA.." TargetMode="External"/><Relationship Id="rId271" Type="http://schemas.openxmlformats.org/officeDocument/2006/relationships/hyperlink" Target="https://ext-web.ltl-xpo.com/public-app/shipments?referenceNumber=321379380&amp;_gl=1*4cyhuy*_gcl_au*NDI3NjEyOTY3LjE3NzA5OTIyMjguNDUyNjE3ODI4LjE3NzcwNTc1OTcuMTc3NzA1ODIxOA.." TargetMode="External"/><Relationship Id="rId937" Type="http://schemas.openxmlformats.org/officeDocument/2006/relationships/hyperlink" Target="https://ext-web.ltl-xpo.com/public-app/shipments?referenceNumber=557740061&amp;_gl=1*1xn8sep*_gcl_au*ODY0MTMyMDc0LjE3ODQyMTg3NzkuMTY4OTA4MjU4My4xNzkwMTkxNzY4LjE3OTAxOTMzODMuNDkzODUxNTUzLjE3OTAxNjk2MTUuMTc5MDE5MzM4Mw.." TargetMode="External"/><Relationship Id="rId66" Type="http://schemas.openxmlformats.org/officeDocument/2006/relationships/hyperlink" Target="https://rxo.com/track/RXONC20OR0PDRMIB26" TargetMode="External"/><Relationship Id="rId131" Type="http://schemas.openxmlformats.org/officeDocument/2006/relationships/hyperlink" Target="https://ext-web.ltl-xpo.com/public-app/shipments?referenceNumber=637614051&amp;_gl=1*ikkajb*_gcl_au*NzE3Njc0MDQ0LjE3Njc3MjI5MDAuNzIwNzgzMDIzLjE3NzMzMjE4NDcuMTc3MzMyMjc2OA.." TargetMode="External"/><Relationship Id="rId369" Type="http://schemas.openxmlformats.org/officeDocument/2006/relationships/hyperlink" Target="http://www.saia.com/Tracing/AjaxProstatusByPro.aspx?nh=N&amp;Pro=121501098701" TargetMode="External"/><Relationship Id="rId576" Type="http://schemas.openxmlformats.org/officeDocument/2006/relationships/hyperlink" Target="https://pittohio.com/myPittOhio/Shipping/LTL/tracerequest?pro=5057002395" TargetMode="External"/><Relationship Id="rId783" Type="http://schemas.openxmlformats.org/officeDocument/2006/relationships/hyperlink" Target="https://ext-web.ltl-xpo.com/public-app/shipments?referenceNumber=216866554&amp;_gl=1*1d2i5q0*_gcl_au*MTU4MjMwMTQ3MS4xNzg2NDYyODMwLjE2NTQxOTcyNS4xNzg3MDU5MzcwLjE3ODcwNjIyNzMuMTg4NDM0Mjg4OS4xNzg3MDU5MzcwLjE3ODcwNjIzNTk." TargetMode="External"/><Relationship Id="rId990" Type="http://schemas.openxmlformats.org/officeDocument/2006/relationships/hyperlink" Target="https://rxo.com/track/RXONC20OBNA2ZLSI26" TargetMode="External"/><Relationship Id="rId229" Type="http://schemas.openxmlformats.org/officeDocument/2006/relationships/hyperlink" Target="https://rxo.com/track/RXONC20OSEEUN0ED26" TargetMode="External"/><Relationship Id="rId436" Type="http://schemas.openxmlformats.org/officeDocument/2006/relationships/hyperlink" Target="https://www.tforcefreight.com/ltl/apps/Tracking?proNumbers=357967595" TargetMode="External"/><Relationship Id="rId643" Type="http://schemas.openxmlformats.org/officeDocument/2006/relationships/hyperlink" Target="https://ext-web.ltl-xpo.com/public-app/shipments?referenceNumber=216826245&amp;_gl=1*67zfi1*_gcl_au*MTQ5ODM0NzM5Ni4xNzc4Njg2NzM2Ljc0ODYyMzQ1NS4xNzg0ODM5MjgxLjE3ODQ4Mzk2NjAuNTQ5Mjg1NDYuMTc4NDgxODA3NS4xNzg0ODM5NjYw" TargetMode="External"/><Relationship Id="rId850" Type="http://schemas.openxmlformats.org/officeDocument/2006/relationships/hyperlink" Target="https://ext-web.ltl-xpo.com/public-app/shipments?referenceNumber=557705083&amp;_gl=1*qgxre4*_gcl_au*ODgwMzAyNjQ3LjE3ODY0NTQxMDguNzI2NDY2OTI2LjE3ODgzODExNDIuMTc4ODM4MTY4MS4xODM0NzkyMjA4LjE3ODgzNTQ5MTguMTc4ODM4MTY4MQ.." TargetMode="External"/><Relationship Id="rId948" Type="http://schemas.openxmlformats.org/officeDocument/2006/relationships/hyperlink" Target="https://rxo.com/track/RXONC20OKD5VC2NI26" TargetMode="External"/><Relationship Id="rId77" Type="http://schemas.openxmlformats.org/officeDocument/2006/relationships/hyperlink" Target="https://rxo.com/track/RXONC20OWDER3WNB26" TargetMode="External"/><Relationship Id="rId282" Type="http://schemas.openxmlformats.org/officeDocument/2006/relationships/hyperlink" Target="http://www.saia.com/Tracing/AjaxProstatusByPro.aspx?nh=N&amp;Pro=121499835201" TargetMode="External"/><Relationship Id="rId503" Type="http://schemas.openxmlformats.org/officeDocument/2006/relationships/hyperlink" Target="https://ext-web.ltl-xpo.com/public-app/shipments?referenceNumber=163470753&amp;_gl=1*1ipjoog*_gcl_au*MTQ0NDI3MDM3My4xNzc2NDQyMDAzLjQwMjgwODMwMy4xNzgyMzM1ODk5LjE3ODIzMzY2MDg." TargetMode="External"/><Relationship Id="rId587" Type="http://schemas.openxmlformats.org/officeDocument/2006/relationships/hyperlink" Target="https://ext-web.ltl-xpo.com/public-app/shipments?referenceNumber=216810554&amp;_gl=1*1b3avny*_gcl_au*MTQ0NDI3MDM3My4xNzc2NDQyMDAzLjYxMDkxODY2Mi4xNzg0MjA5NTkxLjE3ODQyMTAyOTA." TargetMode="External"/><Relationship Id="rId710" Type="http://schemas.openxmlformats.org/officeDocument/2006/relationships/hyperlink" Target="https://rxo.com/track/RXONC20OIH413YTG26" TargetMode="External"/><Relationship Id="rId808" Type="http://schemas.openxmlformats.org/officeDocument/2006/relationships/hyperlink" Target="https://ext-web.ltl-xpo.com/public-app/shipments?referenceNumber=216873753&amp;_gl=1*1ir98k5*_gcl_au*ODY0MTMyMDc0LjE3ODQyMTg3NzkuMjA5MjQ0NDAyMC4xNzg3MzIyNzc3LjE3ODczMjMxNjMuMTczMjQyNjQ1My4xNzg3MjQ4MzkxLjE3ODczMjMxODg." TargetMode="External"/><Relationship Id="rId8" Type="http://schemas.openxmlformats.org/officeDocument/2006/relationships/hyperlink" Target="https://ext-web.ltl-xpo.com/public-app/shipments?referenceNumber=138884045&amp;_gl=1*1mhdl3f*_gcl_au*NzE3Njc0MDQ0LjE3Njc3MjI5MDAuMjIzMDY0NjcuMTc2Nzg5OTAxMC4xNzY3OTAwMjA0" TargetMode="External"/><Relationship Id="rId142" Type="http://schemas.openxmlformats.org/officeDocument/2006/relationships/hyperlink" Target="http://www.saia.com/Tracing/AjaxProstatusByPro.aspx?nh=N&amp;Pro=121497601003" TargetMode="External"/><Relationship Id="rId447" Type="http://schemas.openxmlformats.org/officeDocument/2006/relationships/hyperlink" Target="https://ext-web.ltl-xpo.com/public-app/shipments?referenceNumber=163455316&amp;_gl=1*17ao72m*_gcl_au*MTQ5ODM0NzM5Ni4xNzc4Njg2NzM2LjExNTE5NzI2MDkuMTc4MTYyMTQ1OC4xNzgxNjIxOTEx" TargetMode="External"/><Relationship Id="rId794" Type="http://schemas.openxmlformats.org/officeDocument/2006/relationships/hyperlink" Target="https://www.oakh.com/quicktrace&amp;PRO=87549915" TargetMode="External"/><Relationship Id="rId654" Type="http://schemas.openxmlformats.org/officeDocument/2006/relationships/hyperlink" Target="https://ext-web.ltl-xpo.com/public-app/shipments?referenceNumber=216850734&amp;_gl=1*79xn7b*_gcl_au*ODY0MTMyMDc0LjE3ODQyMTg3NzkuMTgzMTMyNjkyLjE3ODUxNTk4NDguMTc4NTE2NDMwNi4xNTkzNjMzODAyLjE3ODUxNTM4NjcuMTc4NTE2NDMwNg.." TargetMode="External"/><Relationship Id="rId861" Type="http://schemas.openxmlformats.org/officeDocument/2006/relationships/hyperlink" Target="http://www.daytonfreight.com/Tracking/TrackingDetail.aspx?proNum=00034913982" TargetMode="External"/><Relationship Id="rId959" Type="http://schemas.openxmlformats.org/officeDocument/2006/relationships/hyperlink" Target="https://ext-web.ltl-xpo.com/public-app/shipments?referenceNumber=557744493&amp;_gl=1*1dfm1l3*_gcl_au*ODgwMzAyNjQ3LjE3ODY0NTQxMDguNDYyMDcyNjg5LjE3OTAzNDE0OTUuMTc5MDM0MjMzOC41NjMxMzI2NTguMTc5MDM0MjI2MS4xNzkwMzQyMzM4" TargetMode="External"/><Relationship Id="rId293" Type="http://schemas.openxmlformats.org/officeDocument/2006/relationships/hyperlink" Target="https://ext-web.ltl-xpo.com/public-app/shipments?referenceNumber=321388104&amp;_gl=1*ztghkk*_gcl_au*MTc1OTAzNzIyOS4xNzc1NDk5NDI2LjEzNjg0Njc5NzguMTc3NzQ4NjczMS4xNzc3NTAwMDM0" TargetMode="External"/><Relationship Id="rId307" Type="http://schemas.openxmlformats.org/officeDocument/2006/relationships/hyperlink" Target="https://ext-web.ltl-xpo.com/public-app/shipments?referenceNumber=321400030&amp;_gl=1*67cpqw*_gcl_au*MTQ0NDI3MDM3My4xNzc2NDQyMDAzLjEwODgyNTYxMzEuMTc3ODA5OTUwNy4xNzc4MDk5NTA3" TargetMode="External"/><Relationship Id="rId514" Type="http://schemas.openxmlformats.org/officeDocument/2006/relationships/hyperlink" Target="https://customer.rxoconnect.rxo.com/orders/149046648/details" TargetMode="External"/><Relationship Id="rId721" Type="http://schemas.openxmlformats.org/officeDocument/2006/relationships/hyperlink" Target="https://ext-web.ltl-xpo.com/public-app/shipments?referenceNumber=216838532&amp;_gl=1*lk6j68*_gcl_au*ODY0MTMyMDc0LjE3ODQyMTg3NzkuNTMyMDkxMDUwLjE3ODU5NDUxMDIuMTc4NTk0NTU1MC4xMjQ4NzgyNzA4LjE3ODU5NDUxMDIuMTc4NTk0NTU1MA.." TargetMode="External"/><Relationship Id="rId88" Type="http://schemas.openxmlformats.org/officeDocument/2006/relationships/hyperlink" Target="http://www.saia.com/Tracing/AjaxProstatusByPro.aspx?nh=N&amp;Pro=121496547200" TargetMode="External"/><Relationship Id="rId153" Type="http://schemas.openxmlformats.org/officeDocument/2006/relationships/hyperlink" Target="https://ext-web.ltl-xpo.com/public-app/shipments?referenceNumber=527640584&amp;_gl=1*fqpjz3*_gcl_au*MTA5OTE3NzIyNi4xNzcyNjMzNDg1LjM5NzcwODQ2Ni4xNzc0MDE2MDQ2LjE3NzQwMTc3NDA." TargetMode="External"/><Relationship Id="rId360" Type="http://schemas.openxmlformats.org/officeDocument/2006/relationships/hyperlink" Target="https://rxo.com/track/RXONC20O2LS0Z5IE26" TargetMode="External"/><Relationship Id="rId598" Type="http://schemas.openxmlformats.org/officeDocument/2006/relationships/hyperlink" Target="https://ext-web.ltl-xpo.com/public-app/shipments?referenceNumber=216-817941&amp;_gl=1*1ccoj0q*_gcl_au*ODY0MTMyMDc0LjE3ODQyMTg3NzkuLS4tLjE3ODQ3NTEzOTAuMjQwMDExNTcuMTc4NDc0MjY2OS4xNzg0ODA1NzEz" TargetMode="External"/><Relationship Id="rId819" Type="http://schemas.openxmlformats.org/officeDocument/2006/relationships/hyperlink" Target="https://rxo.com/track/RXONC20OM42B0TPH26" TargetMode="External"/><Relationship Id="rId1004" Type="http://schemas.openxmlformats.org/officeDocument/2006/relationships/hyperlink" Target="https://ext-web.ltl-xpo.com/public-app/shipments?referenceNumber=557744213&amp;_gl=1*1fr95rw*_gcl_au*ODY0MTMyMDc0LjE3ODQyMTg3NzkuNTA0NzY5NTI1LjE3OTAzNTAyOTUuMTc5MDM1Mjg5Mi4yMzk5ODczOTEuMTc5MDM0NTkyMi4xNzkwMzUyODky" TargetMode="External"/><Relationship Id="rId220" Type="http://schemas.openxmlformats.org/officeDocument/2006/relationships/hyperlink" Target="https://ext-web.ltl-xpo.com/public-app/shipments?referenceNumber=527671760&amp;_gl=1*4svutx*_gcl_au*NDI3NjEyOTY3LjE3NzA5OTIyMjguOTkwMzQwMjkyLjE3NzU2ODE1NTcuMTc3NTY4MjczNg.." TargetMode="External"/><Relationship Id="rId458" Type="http://schemas.openxmlformats.org/officeDocument/2006/relationships/hyperlink" Target="https://pittohio.com/myPittOhio/Shipping/LTL/tracerequest?pro=5057002094" TargetMode="External"/><Relationship Id="rId665" Type="http://schemas.openxmlformats.org/officeDocument/2006/relationships/hyperlink" Target="https://ext-web.ltl-xpo.com/public-app/shipments?referenceNumber=216852123&amp;_gl=1*1wgtcms*_gcl_au*MTQ5ODM0NzM5Ni4xNzc4Njg2NzM2LjEwMTQ1Mjc2NTkuMTc4NTE2NDA0Ny4xNzg1MTY0MTM1Ljc5NjM3MTM2NS4xNzg1MTU0NjEyLjE3ODUxNjQxMzU." TargetMode="External"/><Relationship Id="rId872" Type="http://schemas.openxmlformats.org/officeDocument/2006/relationships/hyperlink" Target="http://www.daytonfreight.com/Tracking/TrackingDetail.aspx?proNum=00034914009" TargetMode="External"/><Relationship Id="rId15" Type="http://schemas.openxmlformats.org/officeDocument/2006/relationships/hyperlink" Target="https://ext-web.ltl-xpo.com/public-app/shipments?referenceNumber=138896726&amp;_gl=1*oqqx79*_gcl_au*MTM5NDc1NDQzMy4xNzY4NTk1Njk4Ljg5NzA0MzE3OC4xNzY4NTk1OTQwLjE3Njg2MDA0Nzk." TargetMode="External"/><Relationship Id="rId318" Type="http://schemas.openxmlformats.org/officeDocument/2006/relationships/hyperlink" Target="http://www.saia.com/Tracing/AjaxProstatusByPro.aspx?nh=N&amp;Pro=121500338104" TargetMode="External"/><Relationship Id="rId525" Type="http://schemas.openxmlformats.org/officeDocument/2006/relationships/hyperlink" Target="https://pittohio.com/myPittOhio/Shipping/LTL/tracerequest?pro=5057002792" TargetMode="External"/><Relationship Id="rId732" Type="http://schemas.openxmlformats.org/officeDocument/2006/relationships/hyperlink" Target="https://ext-web.ltl-xpo.com/public-app/shipments?referenceNumber=216839571&amp;_gl=1*rr5pa*_gcl_au*ODY0MTMyMDc0LjE3ODQyMTg3NzkuNjM0NzcxODMwLjE3ODYwNDgwNTEuMTc4NjA0ODMxMi43MDIzMTk5NTkuMTc4NjAzMTU4MS4xNzg2MDQ4MzEy" TargetMode="External"/><Relationship Id="rId99" Type="http://schemas.openxmlformats.org/officeDocument/2006/relationships/hyperlink" Target="http://www.saia.com/Tracing/AjaxProstatusByPro.aspx?nh=N&amp;Pro=121496749803" TargetMode="External"/><Relationship Id="rId164" Type="http://schemas.openxmlformats.org/officeDocument/2006/relationships/hyperlink" Target="https://pittohio.com/myPittOhio/Shipping/LTL/tracerequest?pro=5056000412" TargetMode="External"/><Relationship Id="rId371" Type="http://schemas.openxmlformats.org/officeDocument/2006/relationships/hyperlink" Target="https://ext-web.ltl-xpo.com/public-app/shipments?referenceNumber=451230566&amp;_gl=1*7plaoq*_gcl_au*MTQ0NDI3MDM3My4xNzc2NDQyMDAzLjEyNTU2NzQ5MDQuMTc3OTM3NDM4OS4xNzc5Mzc2OTY0" TargetMode="External"/><Relationship Id="rId1015" Type="http://schemas.openxmlformats.org/officeDocument/2006/relationships/hyperlink" Target="https://ext-web.ltl-xpo.com/public-app/shipments?referenceNumber=557762155&amp;_gl=1*kdvnck*_gcl_au*ODY0MTMyMDc0LjE3ODQyMTg3NzkuMTEyMTc3NTA0Ni4xNzkxMjkyNjU4LjE3OTEyOTI3OTcuNjY3NzQ3NTM5LjE3OTEyOTI0OTYuMTc5MTI5Mjc5Nw.." TargetMode="External"/><Relationship Id="rId469" Type="http://schemas.openxmlformats.org/officeDocument/2006/relationships/hyperlink" Target="http://facts.dohrn.com/scripts/cgiip.exe/protraceext.htm?wpro=80642611" TargetMode="External"/><Relationship Id="rId676" Type="http://schemas.openxmlformats.org/officeDocument/2006/relationships/hyperlink" Target="https://pittohio.com/myPittOhio/Shipping/LTL/tracerequest?pro=5057002278" TargetMode="External"/><Relationship Id="rId883" Type="http://schemas.openxmlformats.org/officeDocument/2006/relationships/hyperlink" Target="https://ext-web.ltl-xpo.com/public-app/shipments?referenceNumber=557722756&amp;_gl=1*8yhn8a*_gcl_au*ODY0MTMyMDc0LjE3ODQyMTg3NzkuMTg5OTk5NzA3OC4xNzg5NDE0MzkyLjE3ODk0MTQ3NTIuMzEzMDczMzQ2LjE3ODkzOTE5OTAuMTc4OTQxNDc1Mg.." TargetMode="External"/><Relationship Id="rId26" Type="http://schemas.openxmlformats.org/officeDocument/2006/relationships/hyperlink" Target="https://www.estes-express.com/myestes/shipment-tracking/?type=PRO&amp;query=0248881909%20&amp;submit=Submit" TargetMode="External"/><Relationship Id="rId231" Type="http://schemas.openxmlformats.org/officeDocument/2006/relationships/hyperlink" Target="https://ext-web.ltl-xpo.com/public-app/shipments?referenceNumber=321362672&amp;_gl=1*2apecr*_gcl_au*MTA5OTE3NzIyNi4xNzcyNjMzNDg1LjE4NDc5OTI0ODcuMTc3NjM0NTczMi4xNzc2MzQ2NDU1" TargetMode="External"/><Relationship Id="rId329" Type="http://schemas.openxmlformats.org/officeDocument/2006/relationships/hyperlink" Target="https://ext-web.ltl-xpo.com/public-app/shipments?referenceNumber=637457192&amp;_gl=1*1efq27t*_gcl_au*MTQ0NDI3MDM3My4xNzc2NDQyMDAzLjE2NzI2ODI0LjE3NzgyNTY1NzkuMTc3ODI1OTQ1OQ.." TargetMode="External"/><Relationship Id="rId536" Type="http://schemas.openxmlformats.org/officeDocument/2006/relationships/hyperlink" Target="https://ext-web.ltl-xpo.com/public-app/shipments?referenceNumber=163483191&amp;_gl=1*9exbrf*_gcl_au*MjIzMzg1NzI3LjE3ODIxMzk4ODYuODE3MDU5MTIyLjE3ODI5MzEyMjMuMTc4MjkzMTc0NA.." TargetMode="External"/><Relationship Id="rId175" Type="http://schemas.openxmlformats.org/officeDocument/2006/relationships/hyperlink" Target="https://ext-web.ltl-xpo.com/public-app/shipments?referenceNumber=527652532&amp;_gl=1*x8nyaa*_gcl_au*NDI3NjEyOTY3LjE3NzA5OTIyMjguMTA2MjE5MzcwMy4xNzc0NjE2NTU0LjE3NzQ2MTcyMzA." TargetMode="External"/><Relationship Id="rId743" Type="http://schemas.openxmlformats.org/officeDocument/2006/relationships/hyperlink" Target="https://tools.averitt.com/servlet/rsoLTLtrack?Type=PN&amp;Number=0867079367" TargetMode="External"/><Relationship Id="rId950" Type="http://schemas.openxmlformats.org/officeDocument/2006/relationships/hyperlink" Target="https://rxo.com/track/RXONC20OTA0YVDLI26" TargetMode="External"/><Relationship Id="rId1026" Type="http://schemas.openxmlformats.org/officeDocument/2006/relationships/hyperlink" Target="https://rxo.com/track/RXONC20O1ZOCRN8J26" TargetMode="External"/><Relationship Id="rId382" Type="http://schemas.openxmlformats.org/officeDocument/2006/relationships/hyperlink" Target="http://facts.dohrn.com/scripts/cgiip.exe/protraceext.htm?wpro=80642501" TargetMode="External"/><Relationship Id="rId603" Type="http://schemas.openxmlformats.org/officeDocument/2006/relationships/hyperlink" Target="https://ext-web.ltl-xpo.com/public-app/shipments?referenceNumber=216820004&amp;_gl=1*1rdi6wh*_gcl_au*ODY0MTMyMDc0LjE3ODQyMTg3NzkuLS4tLjE3ODQ3NTEzOTAuMjQwMDExNTcuMTc4NDc0MjY2OS4xNzg0ODA1NzEz" TargetMode="External"/><Relationship Id="rId687" Type="http://schemas.openxmlformats.org/officeDocument/2006/relationships/hyperlink" Target="https://www.tforcefreight.com/ltl/apps/Tracking?proNumbers=376354344" TargetMode="External"/><Relationship Id="rId810" Type="http://schemas.openxmlformats.org/officeDocument/2006/relationships/hyperlink" Target="https://ext-web.ltl-xpo.com/public-app/shipments?referenceNumber=748923405&amp;_gl=1*pgvkh0*_gcl_au*ODY0MTMyMDc0LjE3ODQyMTg3NzkuLS4tLjE3ODczMjQ0NzQuMTQzNzQ2OTMwNC4xNzg3NTc2NjE0LjE3ODc1NzY2MzE." TargetMode="External"/><Relationship Id="rId908" Type="http://schemas.openxmlformats.org/officeDocument/2006/relationships/hyperlink" Target="https://ext-web.ltl-xpo.com/public-app/shipments?referenceNumber=557737342&amp;_gl=1*18fvcfb*_gcl_au*ODgwMzAyNjQ3LjE3ODY0NTQxMDguMTc3MjI5Njk0MC4xNzkwMDg2Mjg5LjE3OTAwODY0MTYuNDY4MjMwMDMzLjE3OTAwODUwOTQuMTc5MDA4NjQxNg.." TargetMode="External"/><Relationship Id="rId242" Type="http://schemas.openxmlformats.org/officeDocument/2006/relationships/hyperlink" Target="https://www.saia.com/tracing/ajaxprostatusbypro.aspx?nh=N&amp;Pro=121499282504" TargetMode="External"/><Relationship Id="rId894" Type="http://schemas.openxmlformats.org/officeDocument/2006/relationships/hyperlink" Target="https://facts.dohrn.com/scripts/cgiip.exe/protraceext.htm?wpro=82261989" TargetMode="External"/><Relationship Id="rId37" Type="http://schemas.openxmlformats.org/officeDocument/2006/relationships/hyperlink" Target="https://ext-web.ltl-xpo.com/public-app/shipments?referenceNumber=178932191&amp;_gl=1*1htg8eg*_gcl_au*NzE3Njc0MDQ0LjE3Njc3MjI5MDAuOTAzNzY0NDA4LjE3Njk4MTgzNDAuMTc2OTgxODM3OA.." TargetMode="External"/><Relationship Id="rId102" Type="http://schemas.openxmlformats.org/officeDocument/2006/relationships/hyperlink" Target="https://ext-web.ltl-xpo.com/public-app/shipments?referenceNumber=789798844&amp;_gl=1*37e39q*_gcl_au*NzE3Njc0MDQ0LjE3Njc3MjI5MDAuMTU2Nzg3ODQ0Ni4xNzcyNDc2NzQ4LjE3NzI0NzgwMDQ." TargetMode="External"/><Relationship Id="rId547" Type="http://schemas.openxmlformats.org/officeDocument/2006/relationships/hyperlink" Target="https://ext-web.ltl-xpo.com/public-app/shipments?referenceNumber=216795246&amp;_gl=1*k6m949*_gcl_au*MTQ0NDI3MDM3My4xNzc2NDQyMDAzLjE0NDgyNDAxNDUuMTc4MzQ1NTgzMy4xNzgzNDU4NzU3" TargetMode="External"/><Relationship Id="rId754" Type="http://schemas.openxmlformats.org/officeDocument/2006/relationships/hyperlink" Target="https://www.odfl.com/us/en/tools/trace-track-ltl-freight.html?proNumbers=59739007967" TargetMode="External"/><Relationship Id="rId961" Type="http://schemas.openxmlformats.org/officeDocument/2006/relationships/hyperlink" Target="https://ext-web.ltl-xpo.com/public-app/shipments?referenceNumber=557744832&amp;_gl=1*vcboju*_gcl_au*ODgwMzAyNjQ3LjE3ODY0NTQxMDguNDYyMDcyNjg5LjE3OTAzNDE0OTUuMTc5MDM0NDM2NC41NjMxMzI2NTguMTc5MDM0MjI2MS4xNzkwMzQ0MzY0" TargetMode="External"/><Relationship Id="rId90" Type="http://schemas.openxmlformats.org/officeDocument/2006/relationships/hyperlink" Target="https://pittohio.com/myPittOhio/Shipping/LTL/tracerequest?pro=5055151419" TargetMode="External"/><Relationship Id="rId186" Type="http://schemas.openxmlformats.org/officeDocument/2006/relationships/hyperlink" Target="http://www.saia.com/Tracing/AjaxProstatusByPro.aspx?nh=N&amp;Pro=121498325900" TargetMode="External"/><Relationship Id="rId393" Type="http://schemas.openxmlformats.org/officeDocument/2006/relationships/hyperlink" Target="https://ext-web.ltl-xpo.com/public-app/shipments?referenceNumber=451243170&amp;_gl=1*145s3wa*_gcl_au*MTQ0NDI3MDM3My4xNzc2NDQyMDAzLjgxMTQ5NDU2NC4xNzc5OTk0MzQ5LjE3Nzk5OTQ4NjU." TargetMode="External"/><Relationship Id="rId407" Type="http://schemas.openxmlformats.org/officeDocument/2006/relationships/hyperlink" Target="https://ext-web.ltl-xpo.com/public-app/shipments?referenceNumber=451251511&amp;_gl=1*12ecn03*_gcl_au*MTQ0NDI3MDM3My4xNzc2NDQyMDAzLjE4MzI0ODE3NzMuMTc4MDQzMTY2Ny4xNzgwNDMyMTIw" TargetMode="External"/><Relationship Id="rId614" Type="http://schemas.openxmlformats.org/officeDocument/2006/relationships/hyperlink" Target="http://www.daytonfreight.com/Tracking/TrackingDetail.aspx?proNum=832568573" TargetMode="External"/><Relationship Id="rId821" Type="http://schemas.openxmlformats.org/officeDocument/2006/relationships/hyperlink" Target="http://www.daytonfreight.com/Tracking/TrackingDetail.aspx?proNum=00034913734" TargetMode="External"/><Relationship Id="rId1037" Type="http://schemas.openxmlformats.org/officeDocument/2006/relationships/vmlDrawing" Target="../drawings/vmlDrawing1.vml"/><Relationship Id="rId253" Type="http://schemas.openxmlformats.org/officeDocument/2006/relationships/hyperlink" Target="https://ext-web.ltl-xpo.com/public-app/shipments?referenceNumber=637450752&amp;_gl=1*7rzj6u*_gcl_au*MTQ0NDI3MDM3My4xNzc2NDQyMDAzLjg5Nzc5MDM1MS4xNzc3MDQ5NjQ1LjE3NzcwNTEwOTk." TargetMode="External"/><Relationship Id="rId460" Type="http://schemas.openxmlformats.org/officeDocument/2006/relationships/hyperlink" Target="https://ext-web.ltl-xpo.com/public-app/shipments?referenceNumber=163456753&amp;_gl=1*bwqsxn*_gcl_au*MTQ5ODM0NzM5Ni4xNzc4Njg2NzM2LjMxNzI2Njc4MS4xNzgxNjM2ODE3LjE3ODE2MzgzMzA." TargetMode="External"/><Relationship Id="rId698" Type="http://schemas.openxmlformats.org/officeDocument/2006/relationships/hyperlink" Target="https://pittohio.com/myPittOhio/Shipping/LTL/tracerequest?pro=5057002257" TargetMode="External"/><Relationship Id="rId919" Type="http://schemas.openxmlformats.org/officeDocument/2006/relationships/hyperlink" Target="https://ext-web.ltl-xpo.com/public-app/shipments?referenceNumber=557739081&amp;_gl=1*1nldhkr*_gcl_au*MTU4MjMwMTQ3MS4xNzg2NDYyODMwLjY1ODQ4MDc1OS4xNzkwMTAyMjQ4LjE3OTAxMDQzMDUuODUxOTU3MzgwLjE3OTAwODM2MzUuMTc5MDEwNDMwNQ.." TargetMode="External"/><Relationship Id="rId48" Type="http://schemas.openxmlformats.org/officeDocument/2006/relationships/hyperlink" Target="https://ext-web.ltl-xpo.com/public-app/shipments?referenceNumber=789776363&amp;_gl=1*1yo70xk*_gcl_au*NzE3Njc0MDQ0LjE3Njc3MjI5MDAuNjMyNTU0NTQ0LjE3NzA4NDQ5NzkuMTc3MDg0NDk3OQ.." TargetMode="External"/><Relationship Id="rId113" Type="http://schemas.openxmlformats.org/officeDocument/2006/relationships/hyperlink" Target="https://ext-web.ltl-xpo.com/public-app/shipments?referenceNumber=789807815&amp;_gl=1*18lu50s*_gcl_au*https://ext-web.ltl-xpo.com/public-app/shipments?referenceNumber=606941123&amp;_gl=1*gbv6wg*_gcl_au*NzE3Njc0MDQ0LjE3Njc3MjI5MDAuMTg2MzEzMDYyOS4xNzczMDgyMDg2LjE3NzMwODIxNjM.." TargetMode="External"/><Relationship Id="rId320" Type="http://schemas.openxmlformats.org/officeDocument/2006/relationships/hyperlink" Target="https://ext-web.ltl-xpo.com/public-app/shipments?referenceNumber=321401791&amp;_gl=1*kq6zoi*_gcl_au*NDI3NjEyOTY3LjE3NzA5OTIyMjguODM4ODAxNDg3LjE3NzgxODExMTguMTc3ODE4MTIwOA.." TargetMode="External"/><Relationship Id="rId558" Type="http://schemas.openxmlformats.org/officeDocument/2006/relationships/hyperlink" Target="https://rxo.com/track/RXONC20ODAGPYP9G26" TargetMode="External"/><Relationship Id="rId765" Type="http://schemas.openxmlformats.org/officeDocument/2006/relationships/hyperlink" Target="http://www.daytonfreight.com/Tracking/TrackingDetail.aspx?proNum=00034913551" TargetMode="External"/><Relationship Id="rId972" Type="http://schemas.openxmlformats.org/officeDocument/2006/relationships/hyperlink" Target="https://ext-web.ltl-xpo.com/public-app/shipments?referenceNumber=557744946&amp;_gl=1*f4je4j*_gcl_au*MTU4MjMwMTQ3MS4xNzg2NDYyODMwLjc2NzU4NzE0Ni4xNzkwMzUwNTMxLjE3OTAzNTA3MjcuNTg3NTM2MzUxLjE3OTAzNDM4ODcuMTc5MDM1MDcyNw.." TargetMode="External"/><Relationship Id="rId197" Type="http://schemas.openxmlformats.org/officeDocument/2006/relationships/hyperlink" Target="https://www.saia.com/tracing/ajaxprostatusbypro.aspx?nh=N&amp;Pro=121498618702" TargetMode="External"/><Relationship Id="rId418" Type="http://schemas.openxmlformats.org/officeDocument/2006/relationships/hyperlink" Target="https://ext-web.ltl-xpo.com/public-app/shipments?referenceNumber=451259723&amp;_gl=1*3xtk2f*_gcl_au*MTQ5ODM0NzM5Ni4xNzc4Njg2NzM2LjU0ODUwMjQ4Ny4xNzgwOTI4OTM2LjE3ODA5MjkzNjE." TargetMode="External"/><Relationship Id="rId625" Type="http://schemas.openxmlformats.org/officeDocument/2006/relationships/hyperlink" Target="https://ext-web.ltl-xpo.com/public-app/shipments?referenceNumber=216822196&amp;_gl=1*1ui2ovt*_gcl_au*ODY0MTMyMDc0LjE3ODQyMTg3NzkuNjMzNzQ4Mzk0LjE3ODQ3NTExNzIuMTc4NDc1MTMyOS4yNDAwMTE1Ny4xNzg0NzQyNjY5LjE3ODQ3NTEzMjk." TargetMode="External"/><Relationship Id="rId832" Type="http://schemas.openxmlformats.org/officeDocument/2006/relationships/hyperlink" Target="https://ext-web.ltl-xpo.com/public-app/shipments?referenceNumber=557691540&amp;_gl=1*3vj33z*_gcl_au*ODY0MTMyMDc0LjE3ODQyMTg3NzkuMTc1OTI3MzE4My4xNzg3NzUzNDA5LjE3ODc3NTkxODUuMTIxNzMxNzAuMTc4Nzc1MDgxOS4xNzg3NzU5MTg1" TargetMode="External"/><Relationship Id="rId264" Type="http://schemas.openxmlformats.org/officeDocument/2006/relationships/hyperlink" Target="https://ext-web.ltl-xpo.com/public-app/shipments?referenceNumber=321376985&amp;_gl=1*sdo37h*_gcl_au*MTQ0NDI3MDM3My4xNzc2NDQyMDAzLjMzNTY3MzMzNS4xNzc2OTY4NzMwLjE3NzY5Njk4NzY." TargetMode="External"/><Relationship Id="rId471" Type="http://schemas.openxmlformats.org/officeDocument/2006/relationships/hyperlink" Target="https://pittohio.com/myPittOhio/Shipping/LTL/tracerequest?pro=5057002101" TargetMode="External"/><Relationship Id="rId59" Type="http://schemas.openxmlformats.org/officeDocument/2006/relationships/hyperlink" Target="https://ext-web.ltl-xpo.com/public-app/shipments?referenceNumber=789783772&amp;_gl=1*1tg4bso*_gcl_au*NzE3Njc0MDQ0LjE3Njc3MjI5MDAuODQyOTQ4OTMwLjE3NzEzNDM5MzIuMTc3MTM1NTI2OQ.." TargetMode="External"/><Relationship Id="rId124" Type="http://schemas.openxmlformats.org/officeDocument/2006/relationships/hyperlink" Target="http://www.saia.com/Tracing/AjaxProstatusByPro.aspx?nh=N&amp;Pro=121497285202" TargetMode="External"/><Relationship Id="rId569" Type="http://schemas.openxmlformats.org/officeDocument/2006/relationships/hyperlink" Target="https://pittohio.com/myPittOhio/Shipping/LTL/tracerequest?pro=5057002238" TargetMode="External"/><Relationship Id="rId776" Type="http://schemas.openxmlformats.org/officeDocument/2006/relationships/hyperlink" Target="http://www.daytonfreight.com/Tracking/TrackingDetail.aspx?proNum=00034913573" TargetMode="External"/><Relationship Id="rId983" Type="http://schemas.openxmlformats.org/officeDocument/2006/relationships/hyperlink" Target="https://rxo.com/track/RXONC20OCLGIZKOI26" TargetMode="External"/><Relationship Id="rId331" Type="http://schemas.openxmlformats.org/officeDocument/2006/relationships/hyperlink" Target="https://pittohio.com/myPittOhio/Shipping/LTL/tracerequest?pro=5056001071" TargetMode="External"/><Relationship Id="rId429" Type="http://schemas.openxmlformats.org/officeDocument/2006/relationships/hyperlink" Target="http://www.saia.com/Tracing/AjaxProstatusByPro.aspx?nh=N&amp;Pro=121502213202" TargetMode="External"/><Relationship Id="rId636" Type="http://schemas.openxmlformats.org/officeDocument/2006/relationships/hyperlink" Target="https://ext-web.ltl-xpo.com/public-app/shipments?referenceNumber=216824392&amp;_gl=1*1ev6apc*_gcl_au*ODY0MTMyMDc0LjE3ODQyMTg3NzkuMTg2ODA2MzQ1Ny4xNzg0ODI1Njk5LjE3ODQ4MzE4NzEuMTM0NjMxMTMzNC4xNzg0ODI5NDMzLjE3ODQ4MzE4NzE." TargetMode="External"/><Relationship Id="rId843" Type="http://schemas.openxmlformats.org/officeDocument/2006/relationships/hyperlink" Target="https://ext-web.ltl-xpo.com/public-app/shipments?referenceNumber=557700150&amp;_gl=1*x1zn1i*_gcl_au*ODgwMzAyNjQ3LjE3ODY0NTQxMDguMTc2MTAwNzU1Mi4xNzg4MTk4NzY5LjE3ODgyMDI4NjYuMTI5MDA0NTQzNS4xNzg4MTgxMjkwLjE3ODgyMDMwODg." TargetMode="External"/><Relationship Id="rId275" Type="http://schemas.openxmlformats.org/officeDocument/2006/relationships/hyperlink" Target="https://rxo.com/track/RXONC20O1G2BCCSD26" TargetMode="External"/><Relationship Id="rId482" Type="http://schemas.openxmlformats.org/officeDocument/2006/relationships/hyperlink" Target="https://rxo.com/track/?trackingNumber=RXONC20O4SDX1LIF26" TargetMode="External"/><Relationship Id="rId703" Type="http://schemas.openxmlformats.org/officeDocument/2006/relationships/hyperlink" Target="https://ext-web.ltl-xpo.com/public-app/shipments?referenceNumber=216842264&amp;_gl=1*1bkkk88*_gcl_au*ODY0MTMyMDc0LjE3ODQyMTg3NzkuMTg0MTIwMDM4OS4xNzg1MzQ5NjI2LjE3ODUzNDk3MzAuNjYyMjg4ODE3LjE3ODUzMzI0MjQuMTc4NTM0OTczMA.." TargetMode="External"/><Relationship Id="rId910" Type="http://schemas.openxmlformats.org/officeDocument/2006/relationships/hyperlink" Target="https://pittohio.com/myPittOhio/Shipping/LTL/tracerequest?pro=5057002799" TargetMode="External"/><Relationship Id="rId135" Type="http://schemas.openxmlformats.org/officeDocument/2006/relationships/hyperlink" Target="https://rxo.com/track/RXONC20ON5KVB0CC26" TargetMode="External"/><Relationship Id="rId342" Type="http://schemas.openxmlformats.org/officeDocument/2006/relationships/hyperlink" Target="https://www.tforcefreight.com/ltl/apps/Tracking?proNumbers=331845780" TargetMode="External"/><Relationship Id="rId787" Type="http://schemas.openxmlformats.org/officeDocument/2006/relationships/hyperlink" Target="http://www.daytonfreight.com/Tracking/TrackingDetail.aspx?proNum=00034913606" TargetMode="External"/><Relationship Id="rId994" Type="http://schemas.openxmlformats.org/officeDocument/2006/relationships/hyperlink" Target="https://rxo.com/track/RXONC20OXMLB44UI26" TargetMode="External"/><Relationship Id="rId202" Type="http://schemas.openxmlformats.org/officeDocument/2006/relationships/hyperlink" Target="https://ext-web.ltl-xpo.com/public-app/shipments?referenceNumber=527665460&amp;_gl=1*1d4yuwg*_gcl_au*MTA5OTE3NzIyNi4xNzcyNjMzNDg1LjEyOTI5ODAyNjMuMTc3NTQ5MTM1OC4xNzc1NDkxOTgy" TargetMode="External"/><Relationship Id="rId647" Type="http://schemas.openxmlformats.org/officeDocument/2006/relationships/hyperlink" Target="https://ext-web.ltl-xpo.com/public-app/shipments?referenceNumber=216827796&amp;_gl=1*mm184v*_gcl_au*MTQ5ODM0NzM5Ni4xNzc4Njg2NzM2LjEwMTQ1Mjc2NTkuMTc4NTE2NDA0Ny4xNzg1MTY0MTM1Ljc5NjM3MTM2NS4xNzg1MTU0NjEyLjE3ODUxNjQxMzU." TargetMode="External"/><Relationship Id="rId854" Type="http://schemas.openxmlformats.org/officeDocument/2006/relationships/hyperlink" Target="https://ext-web.ltl-xpo.com/public-app/shipments?referenceNumber=557707183&amp;_gl=1*anfdi8*_gcl_au*ODgwMzAyNjQ3LjE3ODY0NTQxMDguMTMyNTk0MjgyMC4xNzg4NDYyMzQ5LjE3ODg0NjI4MDAuMTY2NTkyNTU2Mi4xNzg4NDQyODQ5LjE3ODg0NjI4MDA." TargetMode="External"/><Relationship Id="rId286" Type="http://schemas.openxmlformats.org/officeDocument/2006/relationships/hyperlink" Target="https://rxo.com/track/RXONC20OIPZOXYTD26" TargetMode="External"/><Relationship Id="rId493" Type="http://schemas.openxmlformats.org/officeDocument/2006/relationships/hyperlink" Target="https://ext-web.ltl-xpo.com/public-app/shipments?referenceNumber=163470532&amp;_gl=1*uyscj9*_gcl_au*MTQ5ODM0NzM5Ni4xNzc4Njg2NzM2LjIyNDM1Nzg4OS4xNzgyMzIwMzIwLjE3ODIzMjA5MTI." TargetMode="External"/><Relationship Id="rId507" Type="http://schemas.openxmlformats.org/officeDocument/2006/relationships/hyperlink" Target="https://rxo.com/track/RXONC20OIM1TAMQF26" TargetMode="External"/><Relationship Id="rId714" Type="http://schemas.openxmlformats.org/officeDocument/2006/relationships/hyperlink" Target="https://pittohio.com/myPittOhio/Shipping/LTL/tracerequest?pro=5057002360" TargetMode="External"/><Relationship Id="rId921" Type="http://schemas.openxmlformats.org/officeDocument/2006/relationships/hyperlink" Target="https://rxo.com/track/RXONC20OEOPLNXMI26" TargetMode="External"/><Relationship Id="rId50" Type="http://schemas.openxmlformats.org/officeDocument/2006/relationships/hyperlink" Target="http://www.saia.com/Tracing/AjaxProstatusByPro.aspx?nh=N&amp;Pro=121496309503" TargetMode="External"/><Relationship Id="rId146" Type="http://schemas.openxmlformats.org/officeDocument/2006/relationships/hyperlink" Target="http://www.daytonfreight.com/Tracking/TrackingDetail.aspx?proNum=34199474" TargetMode="External"/><Relationship Id="rId353" Type="http://schemas.openxmlformats.org/officeDocument/2006/relationships/hyperlink" Target="https://ext-web.ltl-xpo.com/public-app/shipments?referenceNumber=451216301&amp;_gl=1*17zj2v6*_gcl_au*MTQ5ODM0NzM5Ni4xNzc4Njg2NzM2LjE5NzU4MTQ4MDUuMTc3ODcwMzMxNS4xNzc4NzA0Nzk1" TargetMode="External"/><Relationship Id="rId560" Type="http://schemas.openxmlformats.org/officeDocument/2006/relationships/hyperlink" Target="https://rxo.com/track/RXONC20OBFXVVD9G26" TargetMode="External"/><Relationship Id="rId798" Type="http://schemas.openxmlformats.org/officeDocument/2006/relationships/hyperlink" Target="http://www.daytonfreight.com/Tracking/TrackingDetail.aspx?proNum=00034913627" TargetMode="External"/><Relationship Id="rId213" Type="http://schemas.openxmlformats.org/officeDocument/2006/relationships/hyperlink" Target="http://www.saia.com/Tracing/AjaxProstatusByPro.aspx?nh=N&amp;Pro=121498547706" TargetMode="External"/><Relationship Id="rId420" Type="http://schemas.openxmlformats.org/officeDocument/2006/relationships/hyperlink" Target="https://ext-web.ltl-xpo.com/public-app/shipments?referenceNumber=451259782&amp;_gl=1*bob78l*_gcl_au*MTQ0NDI3MDM3My4xNzc2NDQyMDAzLjQ2NjY1MzczOC4xNzgwOTI5NTc3LjE3ODA5MzAyNjk." TargetMode="External"/><Relationship Id="rId658" Type="http://schemas.openxmlformats.org/officeDocument/2006/relationships/hyperlink" Target="https://ext-web.ltl-xpo.com/public-app/shipments?referenceNumber=216845834&amp;_gl=1*8atnuf*_gcl_au*MTQ5ODM0NzM5Ni4xNzc4Njg2NzM2LjIwODU5MTM3MDcuMTc4NDkyNjIxNS4xNzg0OTI4NDIxLjczOTkwMTUuMTc4NDkwNTA4My4xNzg0OTI4NDIx" TargetMode="External"/><Relationship Id="rId865" Type="http://schemas.openxmlformats.org/officeDocument/2006/relationships/hyperlink" Target="https://ext-web.ltl-xpo.com/public-app/shipments?referenceNumber=557711011&amp;_gl=1*13qjnip*_gcl_au*ODgwMzAyNjQ3LjE3ODY0NTQxMDguMTA3OTcwMzgyNS4xNzg4ODkyMzU0LjE3ODg4OTYxNzcuOTkwMzM0LjE3ODg4NzMzODEuMTc4ODg5NjE3Nw.." TargetMode="External"/><Relationship Id="rId297" Type="http://schemas.openxmlformats.org/officeDocument/2006/relationships/hyperlink" Target="https://rxo.com/track/RXONC20OABUXSC1E26" TargetMode="External"/><Relationship Id="rId518" Type="http://schemas.openxmlformats.org/officeDocument/2006/relationships/hyperlink" Target="https://rxo.com/track/RXONC20OTV31F4TF26" TargetMode="External"/><Relationship Id="rId725" Type="http://schemas.openxmlformats.org/officeDocument/2006/relationships/hyperlink" Target="https://ext-web.ltl-xpo.com/public-app/shipments?referenceNumber=216841962&amp;_gl=1*1xrvet5*_gcl_au*MTQ5ODM0NzM5Ni4xNzc4Njg2NzM2LjUzMTI1NDE3MS4xNzg1ODY2NDcxLjE3ODU4Njc2MDYuMTg1MzQ2NjYzNC4xNzg1ODUwOTgyLjE3ODU4Njc2NjI." TargetMode="External"/><Relationship Id="rId932" Type="http://schemas.openxmlformats.org/officeDocument/2006/relationships/hyperlink" Target="https://ext-web.ltl-xpo.com/public-app/shipments?referenceNumber=557740260&amp;_gl=1*1igmfv2*_gcl_au*MTU4MjMwMTQ3MS4xNzg2NDYyODMwLjE5NTE0NDk2NTIuMTc5MDE4NzQ3NS4xNzkwMTg5MTc0LjE1ODE0MTU0MjEuMTc5MDE3MDU3OC4xNzkwMTg5MTc0" TargetMode="External"/><Relationship Id="rId157" Type="http://schemas.openxmlformats.org/officeDocument/2006/relationships/hyperlink" Target="https://ext-web.ltl-xpo.com/public-app/shipments?referenceNumber=527642706&amp;_gl=1*1nu7898*_gcl_au*MTA5OTE3NzIyNi4xNzcyNjMzNDg1LjY1MzYwNzM3Ny4xNzc0MDMzMDAwLjE3NzQwMzMwOTU." TargetMode="External"/><Relationship Id="rId364" Type="http://schemas.openxmlformats.org/officeDocument/2006/relationships/hyperlink" Target="http://www.saia.com/Tracing/AjaxProstatusByPro.aspx?nh=N&amp;Pro=121501025605" TargetMode="External"/><Relationship Id="rId1008" Type="http://schemas.openxmlformats.org/officeDocument/2006/relationships/hyperlink" Target="https://ext-web.ltl-xpo.com/public-app/shipments?referenceNumber=557745602&amp;_gl=1*nicypb*_gcl_au*ODY0MTMyMDc0LjE3ODQyMTg3NzkuMTk1NDU4NzU5OC4xNzkwMzQ1OTIyLjE3OTAzNDc2MDMuMTc1ODE4OTUzNy4xNzkwMzQ1OTIyLjE3OTAzNDc2Mzk." TargetMode="External"/><Relationship Id="rId61" Type="http://schemas.openxmlformats.org/officeDocument/2006/relationships/hyperlink" Target="http://www.daytonfreight.com/Tracking/TrackingDetail.aspx?proNum=00034198962" TargetMode="External"/><Relationship Id="rId571" Type="http://schemas.openxmlformats.org/officeDocument/2006/relationships/hyperlink" Target="https://ext-web.ltl-xpo.com/public-app/shipments?referenceNumber=216807205&amp;_gl=1*r9n6jo*_gcl_au*MTQ0NDI3MDM3My4xNzc2NDQyMDAzLjIxNDU2NTg2OTYuMTc4NDA2MDMwMS4xNzg0MDYwODg3" TargetMode="External"/><Relationship Id="rId669" Type="http://schemas.openxmlformats.org/officeDocument/2006/relationships/hyperlink" Target="https://ext-web.ltl-xpo.com/public-app/shipments?referenceNumber=216837714&amp;_gl=1*5umke7*_gcl_au*ODY0MTMyMDc0LjE3ODQyMTg3NzkuMTExOTYwNjY0NS4xNzg1MTc5NjY0LjE3ODUxNzk3ODguMTU5MzYzMzgwMi4xNzg1MTUzODY3LjE3ODUxNzk3ODg." TargetMode="External"/><Relationship Id="rId876" Type="http://schemas.openxmlformats.org/officeDocument/2006/relationships/hyperlink" Target="https://ext-web.ltl-xpo.com/public-app/shipments?referenceNumber=557717635&amp;_gl=1*1lg2d18*_gcl_au*ODY0MTMyMDc0LjE3ODQyMTg3NzkuNDYwMTc0MjE5LjE3ODkxMzMwMzcuMTc4OTEzMzI1OC4zODk4Nzg1NzUuMTc4OTEzMjEyMy4xNzg5MTMzMjU4" TargetMode="External"/><Relationship Id="rId19" Type="http://schemas.openxmlformats.org/officeDocument/2006/relationships/hyperlink" Target="https://www.estes-express.com/myestes/shipment-tracking/?type=PRO&amp;query=2930081672%20&amp;submit=Submit" TargetMode="External"/><Relationship Id="rId224" Type="http://schemas.openxmlformats.org/officeDocument/2006/relationships/hyperlink" Target="https://ext-web.ltl-xpo.com/public-app/shipments?referenceNumber=527676192&amp;_gl=1*9b0qy0*_gcl_au*MTA5OTE3NzIyNi4xNzcyNjMzNDg1LjEyOTU4NzcyMDEuMTc3NTg0MDExNC4xNzc1ODQxMTg0" TargetMode="External"/><Relationship Id="rId431" Type="http://schemas.openxmlformats.org/officeDocument/2006/relationships/hyperlink" Target="https://ext-web.ltl-xpo.com/public-app/shipments?referenceNumber=163445601&amp;_gl=1*76d0ux*_gcl_au*MTQ0NDI3MDM3My4xNzc2NDQyMDAzLjMwNDcyMDQyLjE3ODExMTc5OTMuMTc4MTExODE1Mg.." TargetMode="External"/><Relationship Id="rId529" Type="http://schemas.openxmlformats.org/officeDocument/2006/relationships/hyperlink" Target="https://ext-web.ltl-xpo.com/public-app/shipments?referenceNumber=163480133&amp;_gl=1*elurxw*_gcl_au*MTQ0NDI3MDM3My4xNzc2NDQyMDAzLjEwMzUzMjkwODIuMTc4Mjg1MDQ2OS4xNzgyODUxMTQ1" TargetMode="External"/><Relationship Id="rId736" Type="http://schemas.openxmlformats.org/officeDocument/2006/relationships/hyperlink" Target="https://ext-web.ltl-xpo.com/public-app/shipments?referenceNumber=216845123&amp;_gl=1*x7z2q6*_gcl_au*MTQ5ODM0NzM5Ni4xNzc4Njg2NzM2Ljc4MzIxMzcxMi4xNzg2MTEwMDI3LjE3ODYxMTI1MTYuMTkxMTI4NDI5My4xNzg2MTExNjQ5LjE3ODYxMTI1MTY." TargetMode="External"/><Relationship Id="rId168" Type="http://schemas.openxmlformats.org/officeDocument/2006/relationships/hyperlink" Target="https://ext-web.ltl-xpo.com/public-app/shipments?referenceNumber=527650244&amp;_gl=1*17a0l9h*_gcl_au*MTA5OTE3NzIyNi4xNzcyNjMzNDg1LjE2MDg0MjcwNjkuMTc3NDUzMDk3Ni4xNzc0NTM0MTkw" TargetMode="External"/><Relationship Id="rId943" Type="http://schemas.openxmlformats.org/officeDocument/2006/relationships/hyperlink" Target="https://ext-web.ltl-xpo.com/public-app/shipments?referenceNumber=557741870&amp;_gl=1*1p2g014*_gcl_au*MTU4MjMwMTQ3MS4xNzg2NDYyODMwLjExMTQyODk0MDkuMTc5MDI1NzEyMi4xNzkwMjU5MDUwLjI1NzY5MDkyMS4xNzkwMjU3MTIyLjE3OTAyNTkwNTA." TargetMode="External"/><Relationship Id="rId1019" Type="http://schemas.openxmlformats.org/officeDocument/2006/relationships/hyperlink" Target="https://tools.daytonfreight.com/tracking/detail/00037410852" TargetMode="External"/><Relationship Id="rId72" Type="http://schemas.openxmlformats.org/officeDocument/2006/relationships/hyperlink" Target="http://www.saia.com/Tracing/AjaxProstatusByPro.aspx?nh=N&amp;Pro=121496473303" TargetMode="External"/><Relationship Id="rId375" Type="http://schemas.openxmlformats.org/officeDocument/2006/relationships/hyperlink" Target="https://ext-web.ltl-xpo.com/public-app/shipments?referenceNumber=451233075&amp;_gl=1*1kiedlz*_gcl_au*MTQ0NDI3MDM3My4xNzc2NDQyMDAzLjQ1Nzk0MjQyMy4xNzc5NDU2MTAwLjE3Nzk0NTcwMzQ." TargetMode="External"/><Relationship Id="rId582" Type="http://schemas.openxmlformats.org/officeDocument/2006/relationships/hyperlink" Target="http://facts.dohrn.com/scripts/cgiip.exe/protraceext.htm?wpro=80642739" TargetMode="External"/><Relationship Id="rId803" Type="http://schemas.openxmlformats.org/officeDocument/2006/relationships/hyperlink" Target="https://rxo.com/track/RXONC20ORQNLXDKH26" TargetMode="External"/><Relationship Id="rId3" Type="http://schemas.openxmlformats.org/officeDocument/2006/relationships/hyperlink" Target="http://www.odfl.com/trace/Trace.jsp?Type=P&amp;pronum=59738987359" TargetMode="External"/><Relationship Id="rId235" Type="http://schemas.openxmlformats.org/officeDocument/2006/relationships/hyperlink" Target="https://ext-web.ltl-xpo.com/public-app/shipments?referenceNumber=321364186&amp;_gl=1*c843vk*_gcl_au*MTA5OTE3NzIyNi4xNzcyNjMzNDg1Ljg1OTg2MjM5My4xNzc2MzY3Mzc2LjE3NzYzNjg3MTQ." TargetMode="External"/><Relationship Id="rId442" Type="http://schemas.openxmlformats.org/officeDocument/2006/relationships/hyperlink" Target="https://www.tforcefreight.com/ltl/apps/Tracking?proNumbers=357967901" TargetMode="External"/><Relationship Id="rId887" Type="http://schemas.openxmlformats.org/officeDocument/2006/relationships/hyperlink" Target="http://www.polaristransport.com/en/" TargetMode="External"/><Relationship Id="rId302" Type="http://schemas.openxmlformats.org/officeDocument/2006/relationships/hyperlink" Target="https://www.saia.com/tracing/ajaxprostatusbypro.aspx?nh=N&amp;Pro=121500243402" TargetMode="External"/><Relationship Id="rId747" Type="http://schemas.openxmlformats.org/officeDocument/2006/relationships/hyperlink" Target="https://ext-web.ltl-xpo.com/public-app/shipments?referenceNumber=212-948245&amp;_gl=1*oseg0*_gcl_au*ODY0MTMyMDc0LjE3ODQyMTg3NzkuLS4tLjE3ODY2NTM1NjguNTEzMDIwNzMwLjE3ODY2MzM5ODMuMTc4NjcxOTg3MA.." TargetMode="External"/><Relationship Id="rId954" Type="http://schemas.openxmlformats.org/officeDocument/2006/relationships/hyperlink" Target="https://ext-web.ltl-xpo.com/public-app/shipments?referenceNumber=557741645&amp;_gl=1*1jsp6c9*_gcl_au*ODgwMzAyNjQ3LjE3ODY0NTQxMDguMTkxMTM5MTU0Mi4xNzkwMjczMDU5LjE3OTAyNzQ5OTIuMTA5MDUyNjQ1MC4xNzkwMjU1NDUzLjE3OTAyNzQ5OTI." TargetMode="External"/><Relationship Id="rId83" Type="http://schemas.openxmlformats.org/officeDocument/2006/relationships/hyperlink" Target="https://ext-web.ltl-xpo.com/public-app/shipments?referenceNumber=789792286&amp;_gl=1*p6q93s*_gcl_au*NzE3Njc0MDQ0LjE3Njc3MjI5MDAuMjY1MjgxMDY3LjE3NzE5NDgxNTguMTc3MTk0ODY0NA.." TargetMode="External"/><Relationship Id="rId179" Type="http://schemas.openxmlformats.org/officeDocument/2006/relationships/hyperlink" Target="https://www.saia.com/tracing/ajaxprostatusbypro.aspx?nh=N&amp;Pro=121498107601" TargetMode="External"/><Relationship Id="rId386" Type="http://schemas.openxmlformats.org/officeDocument/2006/relationships/hyperlink" Target="http://www.daytonfreight.com/Tracking/TrackingDetail.aspx?proNum=00034912305" TargetMode="External"/><Relationship Id="rId593" Type="http://schemas.openxmlformats.org/officeDocument/2006/relationships/hyperlink" Target="https://ext-web.ltl-xpo.com/public-app/shipments?referenceNumber=216811265&amp;_gl=1*it807p*_gcl_au*ODY0MTMyMDc0LjE3ODQyMTg3NzkuMTIzOTkyOTE2OC4xNzg0MjE4Nzc5LjE3ODQyMTkzNzk." TargetMode="External"/><Relationship Id="rId607" Type="http://schemas.openxmlformats.org/officeDocument/2006/relationships/hyperlink" Target="https://rxo.com/track/RXONC20OUKQFIBKG26" TargetMode="External"/><Relationship Id="rId814" Type="http://schemas.openxmlformats.org/officeDocument/2006/relationships/hyperlink" Target="https://rxo.com/track/RXONC20OI21NNEPH26" TargetMode="External"/><Relationship Id="rId246" Type="http://schemas.openxmlformats.org/officeDocument/2006/relationships/hyperlink" Target="https://rxo.com/track/RXONC20OIGZDPMHD26" TargetMode="External"/><Relationship Id="rId453" Type="http://schemas.openxmlformats.org/officeDocument/2006/relationships/hyperlink" Target="https://ext-web.ltl-xpo.com/public-app/shipments?referenceNumber=163455876&amp;_gl=1*e3463e*_gcl_au*MTQ0NDI3MDM3My4xNzc2NDQyMDAzLjIwNDExNzc3NTEuMTc4MTYyMTk2Mi4xNzgxNjI3MjA5" TargetMode="External"/><Relationship Id="rId660" Type="http://schemas.openxmlformats.org/officeDocument/2006/relationships/hyperlink" Target="https://ext-web.ltl-xpo.com/public-app/shipments?referenceNumber=216845484&amp;_gl=1*858dw*_gcl_au*MTQ5ODM0NzM5Ni4xNzc4Njg2NzM2LjY1Mzc5NDkwMS4xNzg1MTU2NDcyLjE3ODUxNTcyNzAuNzk2MzcxMzY1LjE3ODUxNTQ2MTIuMTc4NTE1NzI3MA.." TargetMode="External"/><Relationship Id="rId898" Type="http://schemas.openxmlformats.org/officeDocument/2006/relationships/hyperlink" Target="https://tools.daytonfreight.com/tracking/detail/00034914147" TargetMode="External"/><Relationship Id="rId106" Type="http://schemas.openxmlformats.org/officeDocument/2006/relationships/hyperlink" Target="https://pittohio.com/myPittOhio/Shipping/LTL/tracerequest?pro=5056000333" TargetMode="External"/><Relationship Id="rId313" Type="http://schemas.openxmlformats.org/officeDocument/2006/relationships/hyperlink" Target="https://ext-web.ltl-xpo.com/public-app/shipments?referenceNumber=321400461&amp;_gl=1*1hcekvh*_gcl_au*MTQ0NDI3MDM3My4xNzc2NDQyMDAzLjEwNjkwNTMzNDMuMTc3ODE2MDU0NC4xNzc4MTYxNDE5" TargetMode="External"/><Relationship Id="rId758" Type="http://schemas.openxmlformats.org/officeDocument/2006/relationships/hyperlink" Target="http://www.daytonfreight.com/Tracking/TrackingDetail.aspx?proNum=00034913537" TargetMode="External"/><Relationship Id="rId965" Type="http://schemas.openxmlformats.org/officeDocument/2006/relationships/hyperlink" Target="https://ext-web.ltl-xpo.com/public-app/shipments?referenceNumber=557744040&amp;_gl=1*1n9l1xl*_gcl_au*MTU4MjMwMTQ3MS4xNzg2NDYyODMwLjE5MjYwNjU2NjguMTc5MDM0MzQ5NC4xNzkwMzQ2MDk4LjU4NzUzNjM1MS4xNzkwMzQzODg3LjE3OTAzNDYwOTg." TargetMode="External"/><Relationship Id="rId10" Type="http://schemas.openxmlformats.org/officeDocument/2006/relationships/hyperlink" Target="https://ext-web.ltl-xpo.com/public-app/shipments?referenceNumber=138892246&amp;_gl=1*fn8btz*_gcl_au*NzE3Njc0MDQ0LjE3Njc3MjI5MDAuMzQ0MzQ3MzUwLjE3Njg0MTg0MjIuMTc2ODQxODU3Nw.." TargetMode="External"/><Relationship Id="rId94" Type="http://schemas.openxmlformats.org/officeDocument/2006/relationships/hyperlink" Target="https://ext-web.ltl-xpo.com/public-app/shipments?referenceNumber=789795786&amp;_gl=1*2aoc6l*_gcl_au*NzE3Njc0MDQ0LjE3Njc3MjI5MDAuNjU4MDE2MDYwLjE3NzIwNTkwMTUuMTc3MjA1OTA1Ng.." TargetMode="External"/><Relationship Id="rId397" Type="http://schemas.openxmlformats.org/officeDocument/2006/relationships/hyperlink" Target="https://www.dohrn.com/ship/tracking-reports/track-by-pro?prolist=80642512" TargetMode="External"/><Relationship Id="rId520" Type="http://schemas.openxmlformats.org/officeDocument/2006/relationships/hyperlink" Target="https://rxo.com/track/RXONC20OKG5MTRTF26" TargetMode="External"/><Relationship Id="rId618" Type="http://schemas.openxmlformats.org/officeDocument/2006/relationships/hyperlink" Target="https://ext-web.ltl-xpo.com/public-app/shipments?referenceNumber=216819411&amp;_gl=1*11z183x*_gcl_au*ODY0MTMyMDc0LjE3ODQyMTg3NzkuMzU5NzA1NzU2LjE3ODQ2Njg1NjMuMTc4NDY2OTI1NC44OTY2MDE3OTkuMTc4NDY0MDkwMi4xNzg0NjY5MjU0" TargetMode="External"/><Relationship Id="rId825" Type="http://schemas.openxmlformats.org/officeDocument/2006/relationships/hyperlink" Target="https://pittohio.com/myPittOhio/Shipping/LTL/tracerequest?pro=5057003281" TargetMode="External"/><Relationship Id="rId257" Type="http://schemas.openxmlformats.org/officeDocument/2006/relationships/hyperlink" Target="https://ext-web.ltl-xpo.com/public-app/shipments?referenceNumber=321374944&amp;_gl=1*1bq60ng*_gcl_au*MTQ0NDI3MDM3My4xNzc2NDQyMDAzLjU4MzkzNzQ3MC4xNzc2OTU2OTIzLjE3NzY5NjAwOTQ." TargetMode="External"/><Relationship Id="rId464" Type="http://schemas.openxmlformats.org/officeDocument/2006/relationships/hyperlink" Target="https://ext-web.ltl-xpo.com/public-app/shipments?referenceNumber=163456893&amp;_gl=1*i4c8k4*_gcl_au*MTQ5ODM0NzM5Ni4xNzc4Njg2NzM2LjMxNzI2Njc4MS4xNzgxNjM2ODE3LjE3ODE2Mzk5OTM." TargetMode="External"/><Relationship Id="rId1010" Type="http://schemas.openxmlformats.org/officeDocument/2006/relationships/hyperlink" Target="https://ext-web.ltl-xpo.com/public-app/shipments?referenceNumber=557759241&amp;_gl=1*1yi1u8w*_gcl_au*MTU4MjMwMTQ3MS4xNzg2NDYyODMwLjg1Mzg2MDg5My4xNzkxMjEyNTE1LjE3OTEyMTMyNzUuOTcxNDc1NTM1LjE3OTEyMDY5OTIuMTc5MTIxMzI3NQ.." TargetMode="External"/><Relationship Id="rId117" Type="http://schemas.openxmlformats.org/officeDocument/2006/relationships/hyperlink" Target="http://www.saia.com/Tracing/AjaxProstatusByPro.aspx?nh=N&amp;Pro=121497026404" TargetMode="External"/><Relationship Id="rId671" Type="http://schemas.openxmlformats.org/officeDocument/2006/relationships/hyperlink" Target="https://ext-web.ltl-xpo.com/public-app/shipments?referenceNumber=216826411&amp;_gl=1*vm0h29*_gcl_au*ODY0MTMyMDc0LjE3ODQyMTg3NzkuMTExOTYwNjY0NS4xNzg1MTc5NjY0LjE3ODUxODA5ODYuMTU5MzYzMzgwMi4xNzg1MTUzODY3LjE3ODUxODA5ODY." TargetMode="External"/><Relationship Id="rId769" Type="http://schemas.openxmlformats.org/officeDocument/2006/relationships/hyperlink" Target="https://pittohio.com/myPittOhio/Shipping/LTL/tracerequest?pro=5057003350" TargetMode="External"/><Relationship Id="rId976" Type="http://schemas.openxmlformats.org/officeDocument/2006/relationships/hyperlink" Target="https://ext-web.ltl-xpo.com/public-app/shipments?referenceNumber=557744972&amp;_gl=1*bygejg*_gcl_au*ODY0MTMyMDc0LjE3ODQyMTg3NzkuNTA0NzY5NTI1LjE3OTAzNTAyOTUuMTc5MDM1MjAxNy4yMzk5ODczOTEuMTc5MDM0NTkyMi4xNzkwMzUyMDE3" TargetMode="External"/><Relationship Id="rId324" Type="http://schemas.openxmlformats.org/officeDocument/2006/relationships/hyperlink" Target="https://ext-web.ltl-xpo.com/public-app/shipments?referenceNumber=321402012&amp;_gl=1*1j8qoa0*_gcl_au*MTQ0NDI3MDM3My4xNzc2NDQyMDAzLjgxNzI3OTQyLjE3NzgxODA2MjYuMTc3ODE4NDU1NQ.." TargetMode="External"/><Relationship Id="rId531" Type="http://schemas.openxmlformats.org/officeDocument/2006/relationships/hyperlink" Target="https://www.oakh.com/quicktrace&amp;PRO=87549605" TargetMode="External"/><Relationship Id="rId629" Type="http://schemas.openxmlformats.org/officeDocument/2006/relationships/hyperlink" Target="https://rxo.com/track/RXONC20OBC5ZW4NG26" TargetMode="External"/><Relationship Id="rId836" Type="http://schemas.openxmlformats.org/officeDocument/2006/relationships/hyperlink" Target="https://ext-web.ltl-xpo.com/public-app/shipments?referenceNumber=557694211&amp;_gl=1*1odbg0l*_gcl_au*ODgwMzAyNjQ3LjE3ODY0NTQxMDguMTU2NDM1NTE0My4xNzg3ODQxODU1LjE3ODc4NDIzNDYuMzAxMDMxNzAwLjE3ODc4MzU5NTYuMTc4Nzg0MjM0Ng.." TargetMode="External"/><Relationship Id="rId1021" Type="http://schemas.openxmlformats.org/officeDocument/2006/relationships/hyperlink" Target="http://facts.dohrn.com/scripts/cgiip.exe/protraceext.htm?wpro=82262048" TargetMode="External"/><Relationship Id="rId903" Type="http://schemas.openxmlformats.org/officeDocument/2006/relationships/hyperlink" Target="https://tools.daytonfreight.com/tracking/detail/0003491417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40"/>
  <sheetViews>
    <sheetView workbookViewId="0">
      <selection activeCell="A5" sqref="A5:C5"/>
    </sheetView>
  </sheetViews>
  <sheetFormatPr defaultRowHeight="15" customHeight="1"/>
  <cols>
    <col min="3" max="3" width="19.85546875" bestFit="1" customWidth="1"/>
    <col min="6" max="6" width="12" customWidth="1"/>
    <col min="7" max="7" width="19.85546875" customWidth="1"/>
    <col min="8" max="8" width="8.85546875" customWidth="1"/>
    <col min="9" max="9" width="14" customWidth="1"/>
    <col min="10" max="10" width="12.140625" customWidth="1"/>
    <col min="11" max="11" width="14.5703125" customWidth="1"/>
    <col min="12" max="12" width="12.28515625" customWidth="1"/>
    <col min="13" max="13" width="11.85546875" customWidth="1"/>
    <col min="14" max="14" width="11.42578125" customWidth="1"/>
    <col min="15" max="15" width="26.5703125" customWidth="1"/>
    <col min="19" max="19" width="19.7109375" customWidth="1"/>
  </cols>
  <sheetData>
    <row r="1" spans="1:19" ht="17.45" customHeight="1">
      <c r="A1" s="359" t="s">
        <v>0</v>
      </c>
      <c r="B1" s="376"/>
      <c r="C1" s="377"/>
    </row>
    <row r="2" spans="1:19" ht="17.45" customHeight="1">
      <c r="A2" s="363">
        <v>309967.51597499999</v>
      </c>
      <c r="B2" s="378"/>
      <c r="C2" s="379"/>
      <c r="E2" s="362" t="s">
        <v>1</v>
      </c>
      <c r="F2" s="380"/>
      <c r="G2" s="380"/>
      <c r="H2" s="380"/>
      <c r="I2" s="133" t="e">
        <v>#REF!</v>
      </c>
    </row>
    <row r="3" spans="1:19" ht="14.45"/>
    <row r="4" spans="1:19" ht="25.9" customHeight="1">
      <c r="A4" s="361" t="s">
        <v>2</v>
      </c>
      <c r="B4" s="381"/>
      <c r="C4" s="382"/>
      <c r="D4" s="2"/>
      <c r="E4" s="361" t="s">
        <v>3</v>
      </c>
      <c r="F4" s="381"/>
      <c r="G4" s="382"/>
      <c r="H4" s="2"/>
      <c r="I4" s="361" t="s">
        <v>4</v>
      </c>
      <c r="J4" s="381"/>
      <c r="K4" s="382"/>
      <c r="L4" s="2"/>
      <c r="M4" s="361" t="s">
        <v>5</v>
      </c>
      <c r="N4" s="381"/>
      <c r="O4" s="382"/>
      <c r="Q4" s="361" t="s">
        <v>6</v>
      </c>
      <c r="R4" s="381"/>
      <c r="S4" s="382"/>
    </row>
    <row r="5" spans="1:19" ht="25.9" customHeight="1">
      <c r="A5" s="360">
        <v>0</v>
      </c>
      <c r="B5" s="383"/>
      <c r="C5" s="384"/>
      <c r="D5" s="2"/>
      <c r="E5" s="360">
        <v>939726.78000000119</v>
      </c>
      <c r="F5" s="383"/>
      <c r="G5" s="384"/>
      <c r="H5" s="2"/>
      <c r="I5" s="364">
        <v>819</v>
      </c>
      <c r="J5" s="383"/>
      <c r="K5" s="384"/>
      <c r="L5" s="2"/>
      <c r="M5" s="360">
        <v>1.4847387364043729</v>
      </c>
      <c r="N5" s="383"/>
      <c r="O5" s="384"/>
      <c r="Q5" s="360">
        <v>1147.407545787547</v>
      </c>
      <c r="R5" s="383"/>
      <c r="S5" s="384"/>
    </row>
    <row r="6" spans="1:19" ht="25.9" customHeight="1">
      <c r="A6" s="2"/>
      <c r="B6" s="2"/>
      <c r="C6" s="2"/>
      <c r="D6" s="2"/>
      <c r="E6" s="2"/>
      <c r="F6" s="2"/>
      <c r="G6" s="2"/>
      <c r="H6" s="2"/>
      <c r="I6" s="2"/>
      <c r="J6" s="2"/>
      <c r="K6" s="2"/>
      <c r="L6" s="2"/>
      <c r="M6" s="2"/>
      <c r="N6" s="2"/>
      <c r="O6" s="2"/>
    </row>
    <row r="7" spans="1:19" ht="26.1" customHeight="1">
      <c r="A7" s="361" t="s">
        <v>7</v>
      </c>
      <c r="B7" s="381"/>
      <c r="C7" s="382"/>
      <c r="D7" s="2"/>
      <c r="E7" s="361" t="s">
        <v>8</v>
      </c>
      <c r="F7" s="381"/>
      <c r="G7" s="382"/>
      <c r="H7" s="2"/>
      <c r="I7" s="361" t="s">
        <v>9</v>
      </c>
      <c r="J7" s="381"/>
      <c r="K7" s="382"/>
      <c r="L7" s="2"/>
      <c r="M7" s="361" t="s">
        <v>10</v>
      </c>
      <c r="N7" s="381"/>
      <c r="O7" s="382"/>
      <c r="Q7" s="366" t="s">
        <v>11</v>
      </c>
      <c r="R7" s="376"/>
      <c r="S7" s="377"/>
    </row>
    <row r="8" spans="1:19" ht="26.1" customHeight="1">
      <c r="A8" s="360">
        <v>361.85089718906482</v>
      </c>
      <c r="B8" s="383"/>
      <c r="C8" s="384"/>
      <c r="D8" s="2"/>
      <c r="E8" s="360">
        <v>1.1019240497304561</v>
      </c>
      <c r="F8" s="383"/>
      <c r="G8" s="384"/>
      <c r="H8" s="2"/>
      <c r="I8" s="360">
        <v>61993503.195000008</v>
      </c>
      <c r="J8" s="383"/>
      <c r="K8" s="384"/>
      <c r="L8" s="2"/>
      <c r="M8" s="372">
        <v>1.515847196187799E-2</v>
      </c>
      <c r="N8" s="383"/>
      <c r="O8" s="384"/>
      <c r="Q8" s="371">
        <v>632924</v>
      </c>
      <c r="R8" s="378"/>
      <c r="S8" s="379"/>
    </row>
    <row r="9" spans="1:19" ht="14.45"/>
    <row r="10" spans="1:19" ht="14.45"/>
    <row r="11" spans="1:19" ht="14.45"/>
    <row r="12" spans="1:19" ht="14.45"/>
    <row r="13" spans="1:19" ht="25.9" customHeight="1">
      <c r="A13" s="361" t="s">
        <v>12</v>
      </c>
      <c r="B13" s="381"/>
      <c r="C13" s="382"/>
      <c r="D13" s="2"/>
      <c r="E13" s="361" t="s">
        <v>13</v>
      </c>
      <c r="F13" s="381"/>
      <c r="G13" s="382"/>
      <c r="H13" s="2"/>
      <c r="I13" s="361" t="s">
        <v>4</v>
      </c>
      <c r="J13" s="381"/>
      <c r="K13" s="382"/>
      <c r="L13" s="2"/>
      <c r="M13" s="361" t="s">
        <v>14</v>
      </c>
      <c r="N13" s="381"/>
      <c r="O13" s="382"/>
      <c r="Q13" s="361" t="s">
        <v>6</v>
      </c>
      <c r="R13" s="381"/>
      <c r="S13" s="382"/>
    </row>
    <row r="14" spans="1:19" ht="25.9" customHeight="1">
      <c r="A14" s="374">
        <v>0</v>
      </c>
      <c r="B14" s="383"/>
      <c r="C14" s="384"/>
      <c r="D14" s="2"/>
      <c r="E14" s="360">
        <v>0</v>
      </c>
      <c r="F14" s="383"/>
      <c r="G14" s="384"/>
      <c r="H14" s="2"/>
      <c r="I14" s="364">
        <v>819</v>
      </c>
      <c r="J14" s="383"/>
      <c r="K14" s="384"/>
      <c r="L14" s="2"/>
      <c r="M14" s="360">
        <v>0</v>
      </c>
      <c r="N14" s="383"/>
      <c r="O14" s="384"/>
      <c r="Q14" s="360" t="e">
        <v>#REF!</v>
      </c>
      <c r="R14" s="383"/>
      <c r="S14" s="384"/>
    </row>
    <row r="15" spans="1:19" ht="25.9" customHeight="1">
      <c r="A15" s="2"/>
      <c r="B15" s="2"/>
      <c r="C15" s="2"/>
      <c r="D15" s="2"/>
      <c r="E15" s="2"/>
      <c r="F15" s="2"/>
      <c r="G15" s="2"/>
      <c r="H15" s="2"/>
      <c r="I15" s="2"/>
      <c r="J15" s="2"/>
      <c r="K15" s="2"/>
      <c r="L15" s="2"/>
      <c r="M15" s="2"/>
      <c r="N15" s="2"/>
      <c r="O15" s="2"/>
    </row>
    <row r="16" spans="1:19" ht="25.9" customHeight="1">
      <c r="A16" s="361" t="s">
        <v>15</v>
      </c>
      <c r="B16" s="381"/>
      <c r="C16" s="382"/>
      <c r="D16" s="2"/>
      <c r="E16" s="361" t="s">
        <v>16</v>
      </c>
      <c r="F16" s="381"/>
      <c r="G16" s="382"/>
      <c r="H16" s="2"/>
      <c r="I16" s="361" t="s">
        <v>9</v>
      </c>
      <c r="J16" s="381"/>
      <c r="K16" s="382"/>
      <c r="L16" s="2"/>
      <c r="M16" s="361" t="s">
        <v>17</v>
      </c>
      <c r="N16" s="381"/>
      <c r="O16" s="382"/>
    </row>
    <row r="17" spans="1:20" ht="25.9" customHeight="1">
      <c r="A17" s="360">
        <v>0</v>
      </c>
      <c r="B17" s="383"/>
      <c r="C17" s="384"/>
      <c r="D17" s="2"/>
      <c r="E17" s="360">
        <v>0</v>
      </c>
      <c r="F17" s="383"/>
      <c r="G17" s="384"/>
      <c r="H17" s="2"/>
      <c r="I17" s="360">
        <v>61993503.195000008</v>
      </c>
      <c r="J17" s="383"/>
      <c r="K17" s="384"/>
      <c r="L17" s="2"/>
      <c r="M17" s="372" t="e">
        <v>#REF!</v>
      </c>
      <c r="N17" s="383"/>
      <c r="O17" s="384"/>
    </row>
    <row r="18" spans="1:20" ht="14.45"/>
    <row r="19" spans="1:20" ht="15" customHeight="1">
      <c r="E19" s="367" t="s">
        <v>18</v>
      </c>
      <c r="F19" s="380"/>
      <c r="G19" s="380"/>
      <c r="H19" s="380"/>
      <c r="I19" s="133" t="e">
        <v>#REF!</v>
      </c>
    </row>
    <row r="20" spans="1:20" ht="14.45"/>
    <row r="21" spans="1:20" ht="14.45"/>
    <row r="22" spans="1:20" ht="14.45" customHeight="1">
      <c r="G22" s="1"/>
    </row>
    <row r="23" spans="1:20" ht="15" customHeight="1">
      <c r="A23" s="4"/>
      <c r="B23" s="4"/>
      <c r="C23" s="4"/>
      <c r="D23" s="4"/>
      <c r="E23" s="4"/>
      <c r="F23" s="4"/>
      <c r="G23" s="4"/>
      <c r="H23" s="4"/>
      <c r="I23" s="4"/>
      <c r="J23" s="4"/>
      <c r="K23" s="4"/>
      <c r="L23" s="4"/>
      <c r="M23" s="4"/>
      <c r="N23" s="4"/>
      <c r="O23" s="4"/>
      <c r="P23" s="4"/>
      <c r="Q23" s="4"/>
      <c r="R23" s="4"/>
      <c r="S23" s="4"/>
    </row>
    <row r="24" spans="1:20" ht="15" customHeight="1">
      <c r="A24" s="4"/>
      <c r="B24" s="4"/>
      <c r="C24" s="4"/>
      <c r="D24" s="4"/>
      <c r="E24" s="4"/>
      <c r="F24" s="4"/>
      <c r="G24" s="4"/>
      <c r="H24" s="4"/>
      <c r="I24" s="4"/>
      <c r="J24" s="4"/>
      <c r="K24" s="4"/>
      <c r="L24" s="4"/>
      <c r="M24" s="4"/>
      <c r="N24" s="4"/>
      <c r="O24" s="4"/>
      <c r="P24" s="4"/>
      <c r="Q24" s="4"/>
      <c r="R24" s="4"/>
      <c r="S24" s="4"/>
    </row>
    <row r="25" spans="1:20" ht="14.45" customHeight="1">
      <c r="A25" s="4"/>
      <c r="B25" s="373"/>
      <c r="C25" s="385"/>
      <c r="D25" s="385"/>
      <c r="E25" s="386"/>
      <c r="F25" s="370" t="s">
        <v>19</v>
      </c>
      <c r="G25" s="385"/>
      <c r="H25" s="387"/>
      <c r="I25" s="368" t="s">
        <v>20</v>
      </c>
      <c r="J25" s="385"/>
      <c r="K25" s="385"/>
      <c r="L25" s="385"/>
      <c r="M25" s="385"/>
      <c r="N25" s="385"/>
      <c r="O25" s="387"/>
      <c r="P25" s="4"/>
      <c r="Q25" s="4"/>
      <c r="R25" s="4"/>
      <c r="S25" s="4"/>
      <c r="T25" s="4"/>
    </row>
    <row r="26" spans="1:20" s="3" customFormat="1" ht="30" customHeight="1">
      <c r="A26" s="5"/>
      <c r="B26" s="22" t="s">
        <v>21</v>
      </c>
      <c r="C26" s="22" t="s">
        <v>22</v>
      </c>
      <c r="D26" s="23" t="s">
        <v>23</v>
      </c>
      <c r="E26" s="24" t="s">
        <v>24</v>
      </c>
      <c r="F26" s="25" t="s">
        <v>25</v>
      </c>
      <c r="G26" s="26" t="s">
        <v>26</v>
      </c>
      <c r="H26" s="27" t="s">
        <v>27</v>
      </c>
      <c r="I26" s="28" t="s">
        <v>25</v>
      </c>
      <c r="J26" s="29" t="s">
        <v>26</v>
      </c>
      <c r="K26" s="29" t="s">
        <v>27</v>
      </c>
      <c r="L26" s="29" t="s">
        <v>28</v>
      </c>
      <c r="M26" s="29" t="s">
        <v>29</v>
      </c>
      <c r="N26" s="29" t="s">
        <v>30</v>
      </c>
      <c r="O26" s="30" t="s">
        <v>31</v>
      </c>
      <c r="P26" s="5"/>
      <c r="Q26" s="5"/>
      <c r="R26" s="5"/>
      <c r="S26" s="5"/>
      <c r="T26" s="5"/>
    </row>
    <row r="27" spans="1:20" s="3" customFormat="1" ht="15" customHeight="1">
      <c r="A27" s="5"/>
      <c r="B27" s="369">
        <v>2024</v>
      </c>
      <c r="C27" s="15" t="s">
        <v>32</v>
      </c>
      <c r="D27" s="16">
        <v>42357</v>
      </c>
      <c r="E27" s="17">
        <v>188232</v>
      </c>
      <c r="F27" s="134">
        <v>839515.74</v>
      </c>
      <c r="G27" s="135">
        <v>19.82</v>
      </c>
      <c r="H27" s="136">
        <v>4.46</v>
      </c>
      <c r="I27" s="18">
        <v>383330.85</v>
      </c>
      <c r="J27" s="19">
        <v>9.0500000000000007</v>
      </c>
      <c r="K27" s="19">
        <v>2.04</v>
      </c>
      <c r="L27" s="19">
        <v>-10.77</v>
      </c>
      <c r="M27" s="20">
        <v>-0.54339999999999999</v>
      </c>
      <c r="N27" s="19">
        <v>-2.42</v>
      </c>
      <c r="O27" s="21">
        <v>-0.54339999999999999</v>
      </c>
      <c r="P27" s="5"/>
      <c r="Q27" s="5"/>
      <c r="R27" s="5"/>
      <c r="S27" s="5"/>
      <c r="T27" s="5"/>
    </row>
    <row r="28" spans="1:20" s="3" customFormat="1" ht="15" customHeight="1">
      <c r="A28" s="5"/>
      <c r="B28" s="388"/>
      <c r="C28" s="7" t="s">
        <v>33</v>
      </c>
      <c r="D28" s="9">
        <v>19</v>
      </c>
      <c r="E28" s="8">
        <v>2023</v>
      </c>
      <c r="F28" s="137">
        <v>46156.71</v>
      </c>
      <c r="G28" s="138">
        <v>2429.3000000000002</v>
      </c>
      <c r="H28" s="139">
        <v>22.82</v>
      </c>
      <c r="I28" s="12">
        <v>21613.23</v>
      </c>
      <c r="J28" s="13">
        <v>1137.54</v>
      </c>
      <c r="K28" s="13">
        <v>10.68</v>
      </c>
      <c r="L28" s="13">
        <v>-1291.76</v>
      </c>
      <c r="M28" s="10">
        <v>-0.53169999999999995</v>
      </c>
      <c r="N28" s="13">
        <v>-12.13</v>
      </c>
      <c r="O28" s="11">
        <v>-0.53169999999999995</v>
      </c>
      <c r="P28" s="5"/>
      <c r="Q28" s="5"/>
      <c r="R28" s="5"/>
      <c r="S28" s="5"/>
      <c r="T28" s="5"/>
    </row>
    <row r="29" spans="1:20" s="3" customFormat="1" ht="15" customHeight="1">
      <c r="A29" s="5"/>
      <c r="B29" s="388"/>
      <c r="C29" s="22" t="s">
        <v>34</v>
      </c>
      <c r="D29" s="32">
        <v>42376</v>
      </c>
      <c r="E29" s="33">
        <v>190255</v>
      </c>
      <c r="F29" s="140">
        <v>885672.45</v>
      </c>
      <c r="G29" s="141">
        <v>20.9</v>
      </c>
      <c r="H29" s="142">
        <v>4.66</v>
      </c>
      <c r="I29" s="34">
        <v>404944.08</v>
      </c>
      <c r="J29" s="35">
        <v>9.56</v>
      </c>
      <c r="K29" s="35">
        <v>2.13</v>
      </c>
      <c r="L29" s="35">
        <v>-11.34</v>
      </c>
      <c r="M29" s="36">
        <v>-0.54279999999999995</v>
      </c>
      <c r="N29" s="35">
        <v>-2.5299999999999998</v>
      </c>
      <c r="O29" s="37">
        <v>-0.54279999999999995</v>
      </c>
      <c r="P29" s="5"/>
      <c r="Q29" s="5"/>
      <c r="R29" s="5"/>
      <c r="S29" s="5"/>
      <c r="T29" s="5"/>
    </row>
    <row r="30" spans="1:20" ht="14.45" customHeight="1">
      <c r="A30" s="4"/>
      <c r="B30" s="365">
        <v>2025</v>
      </c>
      <c r="C30" s="31" t="s">
        <v>35</v>
      </c>
      <c r="D30" s="51">
        <v>565</v>
      </c>
      <c r="E30" s="52">
        <v>618951</v>
      </c>
      <c r="F30" s="71">
        <v>1186702.9692499989</v>
      </c>
      <c r="G30" s="59">
        <v>2100.3592376106171</v>
      </c>
      <c r="H30" s="60">
        <v>1.917280962871049</v>
      </c>
      <c r="I30" s="61">
        <v>774806.76000000082</v>
      </c>
      <c r="J30" s="38">
        <v>1371.33939823009</v>
      </c>
      <c r="K30" s="38">
        <v>1.2518062980752931</v>
      </c>
      <c r="L30" s="38">
        <v>-729.01983938052717</v>
      </c>
      <c r="M30" s="43">
        <v>-0.34709292883148168</v>
      </c>
      <c r="N30" s="38">
        <v>-0.66547466479575568</v>
      </c>
      <c r="O30" s="44">
        <v>-0.34709292883148168</v>
      </c>
      <c r="P30" s="4"/>
      <c r="Q30" s="4"/>
      <c r="R30" s="4"/>
      <c r="S30" s="4"/>
      <c r="T30" s="4"/>
    </row>
    <row r="31" spans="1:20" ht="14.45" customHeight="1">
      <c r="A31" s="4"/>
      <c r="B31" s="388"/>
      <c r="C31" s="14" t="s">
        <v>36</v>
      </c>
      <c r="D31" s="53">
        <v>220</v>
      </c>
      <c r="E31" s="54">
        <v>2207</v>
      </c>
      <c r="F31" s="72">
        <v>190001.64287999991</v>
      </c>
      <c r="G31" s="62">
        <v>863.64383127272686</v>
      </c>
      <c r="H31" s="63">
        <v>86.090458939737161</v>
      </c>
      <c r="I31" s="64">
        <v>88952.079999999973</v>
      </c>
      <c r="J31" s="39">
        <v>404.32763636363632</v>
      </c>
      <c r="K31" s="39">
        <v>40.304521975532381</v>
      </c>
      <c r="L31" s="39">
        <v>-459.3161949090906</v>
      </c>
      <c r="M31" s="45">
        <v>-0.53183520599250922</v>
      </c>
      <c r="N31" s="39">
        <v>-45.78593696420478</v>
      </c>
      <c r="O31" s="46">
        <v>-0.53183520599250933</v>
      </c>
      <c r="P31" s="4"/>
      <c r="Q31" s="4"/>
      <c r="R31" s="4"/>
      <c r="S31" s="4"/>
      <c r="T31" s="4"/>
    </row>
    <row r="32" spans="1:20" ht="14.45" customHeight="1">
      <c r="A32" s="4"/>
      <c r="B32" s="388"/>
      <c r="C32" s="6"/>
      <c r="D32" s="55"/>
      <c r="E32" s="56"/>
      <c r="F32" s="73"/>
      <c r="G32" s="65"/>
      <c r="H32" s="66"/>
      <c r="I32" s="67"/>
      <c r="J32" s="40"/>
      <c r="K32" s="40"/>
      <c r="L32" s="42"/>
      <c r="M32" s="47"/>
      <c r="N32" s="42"/>
      <c r="O32" s="48"/>
      <c r="P32" s="4"/>
      <c r="Q32" s="4"/>
      <c r="R32" s="4"/>
      <c r="S32" s="4"/>
    </row>
    <row r="33" spans="1:19" ht="14.45" customHeight="1">
      <c r="A33" s="4"/>
      <c r="B33" s="389"/>
      <c r="C33" s="75" t="s">
        <v>34</v>
      </c>
      <c r="D33" s="57">
        <v>785</v>
      </c>
      <c r="E33" s="58">
        <v>621158</v>
      </c>
      <c r="F33" s="74">
        <v>1376704.6121299991</v>
      </c>
      <c r="G33" s="68">
        <v>1753.763837108278</v>
      </c>
      <c r="H33" s="69">
        <v>2.2163517368044818</v>
      </c>
      <c r="I33" s="70">
        <v>863758.84000000078</v>
      </c>
      <c r="J33" s="41">
        <v>1100.3297324840771</v>
      </c>
      <c r="K33" s="41">
        <v>1.3905622080050499</v>
      </c>
      <c r="L33" s="41">
        <v>-653.43410462420115</v>
      </c>
      <c r="M33" s="49">
        <v>-0.3725895646825666</v>
      </c>
      <c r="N33" s="41">
        <v>-0.82578952879943235</v>
      </c>
      <c r="O33" s="50">
        <v>-0.37258956468256649</v>
      </c>
      <c r="P33" s="4"/>
      <c r="Q33" s="4"/>
      <c r="R33" s="4"/>
      <c r="S33" s="4"/>
    </row>
    <row r="34" spans="1:19" ht="14.45" customHeight="1">
      <c r="A34" s="4"/>
      <c r="B34" s="4"/>
      <c r="C34" s="4"/>
      <c r="D34" s="4"/>
      <c r="E34" s="4"/>
      <c r="F34" s="4"/>
      <c r="G34" s="4"/>
      <c r="H34" s="4"/>
      <c r="I34" s="4"/>
      <c r="J34" s="4"/>
      <c r="K34" s="4"/>
      <c r="L34" s="4"/>
      <c r="M34" s="4"/>
      <c r="N34" s="4"/>
      <c r="O34" s="4"/>
      <c r="P34" s="4"/>
      <c r="Q34" s="4"/>
      <c r="R34" s="4"/>
      <c r="S34" s="4"/>
    </row>
    <row r="35" spans="1:19" ht="15" customHeight="1">
      <c r="A35" s="4"/>
      <c r="B35" s="4"/>
      <c r="C35" s="4"/>
      <c r="D35" s="4"/>
      <c r="E35" s="4"/>
      <c r="F35" s="4"/>
      <c r="G35" s="4"/>
      <c r="H35" s="4"/>
      <c r="I35" s="4"/>
      <c r="J35" s="4"/>
      <c r="K35" s="4"/>
      <c r="L35" s="4"/>
      <c r="M35" s="4"/>
      <c r="N35" s="4"/>
      <c r="O35" s="4"/>
      <c r="P35" s="4"/>
      <c r="Q35" s="4"/>
      <c r="R35" s="4"/>
      <c r="S35" s="4"/>
    </row>
    <row r="36" spans="1:19" ht="15" customHeight="1">
      <c r="A36" s="4"/>
      <c r="B36" s="4"/>
      <c r="C36" s="4"/>
      <c r="D36" s="4"/>
      <c r="E36" s="4"/>
      <c r="F36" s="4"/>
      <c r="G36" s="4"/>
      <c r="H36" s="4"/>
      <c r="I36" s="4"/>
      <c r="J36" s="4"/>
      <c r="K36" s="4"/>
      <c r="L36" s="4"/>
      <c r="M36" s="4"/>
      <c r="N36" s="4"/>
      <c r="O36" s="4"/>
      <c r="P36" s="4"/>
      <c r="Q36" s="4"/>
      <c r="R36" s="4"/>
      <c r="S36" s="4"/>
    </row>
    <row r="37" spans="1:19" ht="15" customHeight="1">
      <c r="A37" s="4"/>
      <c r="B37" s="4"/>
      <c r="C37" s="4"/>
      <c r="D37" s="4"/>
      <c r="E37" s="4"/>
      <c r="F37" s="4"/>
      <c r="G37" s="4"/>
      <c r="H37" s="4"/>
      <c r="I37" s="4"/>
      <c r="J37" s="4"/>
      <c r="K37" s="4"/>
      <c r="L37" s="4"/>
      <c r="M37" s="4"/>
      <c r="N37" s="4"/>
      <c r="O37" s="4"/>
      <c r="P37" s="4"/>
      <c r="Q37" s="4"/>
      <c r="R37" s="4"/>
      <c r="S37" s="4"/>
    </row>
    <row r="38" spans="1:19" ht="15" customHeight="1">
      <c r="A38" s="4"/>
      <c r="B38" s="4"/>
      <c r="C38" s="4"/>
      <c r="D38" s="4"/>
      <c r="E38" s="4"/>
      <c r="F38" s="4"/>
      <c r="G38" s="4"/>
      <c r="H38" s="4"/>
      <c r="I38" s="4"/>
      <c r="J38" s="4"/>
      <c r="K38" s="4"/>
      <c r="L38" s="4"/>
      <c r="M38" s="4"/>
      <c r="N38" s="4"/>
      <c r="O38" s="4"/>
      <c r="P38" s="4"/>
      <c r="Q38" s="4"/>
      <c r="R38" s="4"/>
      <c r="S38" s="4"/>
    </row>
    <row r="39" spans="1:19" ht="15" customHeight="1">
      <c r="A39" s="4"/>
      <c r="B39" s="4"/>
      <c r="C39" s="4"/>
      <c r="D39" s="4"/>
      <c r="E39" s="4"/>
      <c r="F39" s="4"/>
      <c r="G39" s="4"/>
      <c r="H39" s="4"/>
      <c r="I39" s="4"/>
      <c r="J39" s="4"/>
      <c r="K39" s="4"/>
      <c r="L39" s="4"/>
      <c r="M39" s="4"/>
      <c r="N39" s="4"/>
      <c r="O39" s="4"/>
      <c r="P39" s="4"/>
      <c r="Q39" s="4"/>
      <c r="R39" s="4"/>
      <c r="S39" s="4"/>
    </row>
    <row r="40" spans="1:19" ht="15" customHeight="1">
      <c r="A40" s="4"/>
      <c r="B40" s="4"/>
      <c r="C40" s="4"/>
      <c r="D40" s="4"/>
      <c r="E40" s="4"/>
      <c r="F40" s="4"/>
      <c r="G40" s="4"/>
      <c r="H40" s="4"/>
      <c r="I40" s="4"/>
      <c r="J40" s="4"/>
      <c r="K40" s="4"/>
      <c r="L40" s="4"/>
      <c r="M40" s="4"/>
      <c r="N40" s="4"/>
      <c r="O40" s="4"/>
      <c r="P40" s="4"/>
      <c r="Q40" s="4"/>
      <c r="R40" s="4"/>
      <c r="S40" s="4"/>
    </row>
  </sheetData>
  <mergeCells count="47">
    <mergeCell ref="I16:K16"/>
    <mergeCell ref="Q14:S14"/>
    <mergeCell ref="Q5:S5"/>
    <mergeCell ref="E13:G13"/>
    <mergeCell ref="Q4:S4"/>
    <mergeCell ref="M13:O13"/>
    <mergeCell ref="M7:O7"/>
    <mergeCell ref="M16:O16"/>
    <mergeCell ref="M4:O4"/>
    <mergeCell ref="A14:C14"/>
    <mergeCell ref="A8:C8"/>
    <mergeCell ref="I5:K5"/>
    <mergeCell ref="I4:K4"/>
    <mergeCell ref="A4:C4"/>
    <mergeCell ref="E7:G7"/>
    <mergeCell ref="B30:B33"/>
    <mergeCell ref="Q13:S13"/>
    <mergeCell ref="Q7:S7"/>
    <mergeCell ref="E19:H19"/>
    <mergeCell ref="I25:O25"/>
    <mergeCell ref="B27:B29"/>
    <mergeCell ref="F25:H25"/>
    <mergeCell ref="E14:G14"/>
    <mergeCell ref="Q8:S8"/>
    <mergeCell ref="A17:C17"/>
    <mergeCell ref="I8:K8"/>
    <mergeCell ref="M17:O17"/>
    <mergeCell ref="B25:E25"/>
    <mergeCell ref="I17:K17"/>
    <mergeCell ref="M8:O8"/>
    <mergeCell ref="E16:G16"/>
    <mergeCell ref="A1:C1"/>
    <mergeCell ref="E5:G5"/>
    <mergeCell ref="M5:O5"/>
    <mergeCell ref="E8:G8"/>
    <mergeCell ref="E17:G17"/>
    <mergeCell ref="E4:G4"/>
    <mergeCell ref="A7:C7"/>
    <mergeCell ref="E2:H2"/>
    <mergeCell ref="I7:K7"/>
    <mergeCell ref="M14:O14"/>
    <mergeCell ref="A13:C13"/>
    <mergeCell ref="I13:K13"/>
    <mergeCell ref="A16:C16"/>
    <mergeCell ref="A2:C2"/>
    <mergeCell ref="A5:C5"/>
    <mergeCell ref="I14:K14"/>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1117"/>
  <sheetViews>
    <sheetView tabSelected="1" workbookViewId="0">
      <pane ySplit="1" topLeftCell="A1040" activePane="bottomLeft" state="frozen"/>
      <selection pane="bottomLeft" activeCell="Q1048" sqref="Q1048"/>
    </sheetView>
  </sheetViews>
  <sheetFormatPr defaultRowHeight="14.45" customHeight="1"/>
  <cols>
    <col min="1" max="1" width="11.140625" customWidth="1"/>
    <col min="2" max="2" width="13.85546875" customWidth="1"/>
    <col min="3" max="3" width="13.85546875" style="84" customWidth="1"/>
    <col min="4" max="4" width="9.140625" style="81" customWidth="1"/>
    <col min="5" max="5" width="13.85546875" style="81" customWidth="1"/>
    <col min="6" max="6" width="9.140625" style="81" customWidth="1"/>
    <col min="7" max="7" width="15.42578125" style="81" bestFit="1" customWidth="1"/>
    <col min="8" max="9" width="11.42578125" style="89" customWidth="1"/>
    <col min="10" max="10" width="23.140625" style="91" customWidth="1"/>
    <col min="11" max="11" width="11.7109375" style="89" bestFit="1" customWidth="1"/>
    <col min="12" max="12" width="9.140625" style="81" customWidth="1"/>
    <col min="13" max="13" width="11.7109375" style="81" bestFit="1" customWidth="1"/>
    <col min="14" max="14" width="11.7109375" style="126" bestFit="1" customWidth="1"/>
    <col min="15" max="15" width="10.42578125" style="81" customWidth="1"/>
    <col min="16" max="16" width="9.140625" style="81" customWidth="1"/>
    <col min="17" max="17" width="10.42578125" style="81" customWidth="1"/>
    <col min="18" max="18" width="72.5703125" style="81" customWidth="1"/>
    <col min="19" max="19" width="9.140625" style="86" customWidth="1"/>
    <col min="20" max="20" width="13.42578125" style="187" customWidth="1"/>
    <col min="21" max="21" width="9.140625" style="86" customWidth="1"/>
    <col min="22" max="23" width="10.42578125" style="81" bestFit="1" customWidth="1"/>
    <col min="24" max="24" width="9.140625" style="84" customWidth="1"/>
    <col min="25" max="25" width="10.42578125" style="81" customWidth="1"/>
    <col min="26" max="26" width="23.42578125" style="87" customWidth="1"/>
    <col min="27" max="27" width="9.140625" style="87" customWidth="1"/>
    <col min="28" max="28" width="13.5703125" style="81" customWidth="1"/>
    <col min="29" max="29" width="13.5703125" style="87" customWidth="1"/>
    <col min="30" max="30" width="13.5703125" style="81" customWidth="1"/>
    <col min="31" max="31" width="15" style="81" customWidth="1"/>
    <col min="32" max="32" width="10.85546875" style="87" customWidth="1"/>
    <col min="33" max="33" width="12.42578125" style="81" bestFit="1" customWidth="1"/>
    <col min="34" max="34" width="9.140625" style="81" customWidth="1"/>
    <col min="35" max="35" width="10.7109375" customWidth="1"/>
    <col min="36" max="36" width="28.140625" customWidth="1"/>
    <col min="37" max="37" width="9.140625" style="80"/>
    <col min="39" max="39" width="20.7109375" customWidth="1"/>
    <col min="16384" max="16384" width="9.140625" bestFit="1" customWidth="1"/>
  </cols>
  <sheetData>
    <row r="1" spans="1:39" ht="62.45" customHeight="1">
      <c r="A1" s="102" t="s">
        <v>37</v>
      </c>
      <c r="B1" s="102" t="s">
        <v>38</v>
      </c>
      <c r="C1" s="102" t="s">
        <v>39</v>
      </c>
      <c r="D1" s="102" t="s">
        <v>40</v>
      </c>
      <c r="E1" s="102" t="s">
        <v>41</v>
      </c>
      <c r="F1" s="102" t="s">
        <v>42</v>
      </c>
      <c r="G1" s="102" t="s">
        <v>43</v>
      </c>
      <c r="H1" s="103" t="s">
        <v>44</v>
      </c>
      <c r="I1" s="103" t="s">
        <v>45</v>
      </c>
      <c r="J1" s="104" t="s">
        <v>46</v>
      </c>
      <c r="K1" s="103" t="s">
        <v>47</v>
      </c>
      <c r="L1" s="105" t="s">
        <v>48</v>
      </c>
      <c r="M1" s="106" t="s">
        <v>49</v>
      </c>
      <c r="N1" s="127" t="s">
        <v>50</v>
      </c>
      <c r="O1" s="107" t="s">
        <v>51</v>
      </c>
      <c r="P1" s="105" t="s">
        <v>52</v>
      </c>
      <c r="Q1" s="105" t="s">
        <v>53</v>
      </c>
      <c r="R1" s="105" t="s">
        <v>54</v>
      </c>
      <c r="S1" s="144" t="s">
        <v>55</v>
      </c>
      <c r="T1" s="143" t="s">
        <v>56</v>
      </c>
      <c r="U1" s="146" t="s">
        <v>57</v>
      </c>
      <c r="V1" s="108" t="s">
        <v>58</v>
      </c>
      <c r="W1" s="108" t="s">
        <v>59</v>
      </c>
      <c r="X1" s="102" t="s">
        <v>60</v>
      </c>
      <c r="Y1" s="102" t="s">
        <v>61</v>
      </c>
      <c r="Z1" s="102" t="s">
        <v>62</v>
      </c>
      <c r="AA1" s="102" t="s">
        <v>63</v>
      </c>
      <c r="AB1" s="109" t="s">
        <v>64</v>
      </c>
      <c r="AC1" s="110" t="s">
        <v>65</v>
      </c>
      <c r="AD1" s="110" t="s">
        <v>66</v>
      </c>
      <c r="AE1" s="109" t="s">
        <v>67</v>
      </c>
      <c r="AF1" s="111" t="s">
        <v>68</v>
      </c>
      <c r="AG1" s="111" t="s">
        <v>69</v>
      </c>
      <c r="AH1" s="110" t="s">
        <v>70</v>
      </c>
      <c r="AI1" s="112" t="s">
        <v>71</v>
      </c>
      <c r="AJ1" s="112" t="s">
        <v>72</v>
      </c>
      <c r="AK1"/>
      <c r="AM1" s="80"/>
    </row>
    <row r="2" spans="1:39" ht="28.5" customHeight="1">
      <c r="A2" s="113" t="s">
        <v>73</v>
      </c>
      <c r="B2" s="114" t="s">
        <v>74</v>
      </c>
      <c r="C2" s="113" t="s">
        <v>36</v>
      </c>
      <c r="D2" s="113" t="s">
        <v>75</v>
      </c>
      <c r="E2" s="115" t="s">
        <v>76</v>
      </c>
      <c r="F2" s="113" t="s">
        <v>77</v>
      </c>
      <c r="G2" s="116" t="s">
        <v>78</v>
      </c>
      <c r="H2" s="79">
        <v>46030</v>
      </c>
      <c r="I2" s="114" t="s">
        <v>79</v>
      </c>
      <c r="J2" s="117" t="s">
        <v>80</v>
      </c>
      <c r="K2" s="118">
        <v>46027</v>
      </c>
      <c r="L2" s="114" t="s">
        <v>81</v>
      </c>
      <c r="M2" s="119">
        <v>46045</v>
      </c>
      <c r="N2" s="128">
        <v>46045</v>
      </c>
      <c r="O2" s="120">
        <f>NETWORKDAYS.INTL(K2,N2,1,$AM$2:$AM$10)-1</f>
        <v>13</v>
      </c>
      <c r="P2" s="114" t="s">
        <v>81</v>
      </c>
      <c r="Q2" s="114" t="s">
        <v>81</v>
      </c>
      <c r="R2" s="115" t="s">
        <v>82</v>
      </c>
      <c r="S2" s="145">
        <v>140</v>
      </c>
      <c r="T2" s="148" t="s">
        <v>83</v>
      </c>
      <c r="U2" s="147">
        <v>1</v>
      </c>
      <c r="V2" s="121">
        <v>7</v>
      </c>
      <c r="W2" s="121">
        <v>579</v>
      </c>
      <c r="X2" s="114" t="s">
        <v>84</v>
      </c>
      <c r="Y2" s="115" t="s">
        <v>85</v>
      </c>
      <c r="Z2" s="115" t="s">
        <v>86</v>
      </c>
      <c r="AA2" s="113" t="s">
        <v>87</v>
      </c>
      <c r="AB2" s="122">
        <v>192.32</v>
      </c>
      <c r="AC2" s="122">
        <f>IF(C2="DENALI", AB2*0.495, IF(C2="SCHNEIDER ELECTRIC", AB2*1.136, IF(C2="WWT", AB2*1.2, AC2)))+AB2</f>
        <v>410.79551999999995</v>
      </c>
      <c r="AD2" s="129">
        <f>AC2-AB2</f>
        <v>218.47551999999996</v>
      </c>
      <c r="AE2" s="122">
        <v>3342.43</v>
      </c>
      <c r="AF2" s="130">
        <f>AB2/U2</f>
        <v>192.32</v>
      </c>
      <c r="AG2" s="130">
        <f>AB2/V2</f>
        <v>27.474285714285713</v>
      </c>
      <c r="AH2" s="123">
        <f>AB2/S2</f>
        <v>1.3737142857142857</v>
      </c>
      <c r="AI2" s="124" t="s">
        <v>88</v>
      </c>
      <c r="AJ2" s="125" t="s">
        <v>89</v>
      </c>
      <c r="AK2"/>
      <c r="AM2" s="80">
        <v>46023</v>
      </c>
    </row>
    <row r="3" spans="1:39" ht="28.5" customHeight="1">
      <c r="A3" s="113" t="s">
        <v>73</v>
      </c>
      <c r="B3" s="114" t="s">
        <v>74</v>
      </c>
      <c r="C3" s="113" t="s">
        <v>36</v>
      </c>
      <c r="D3" s="113" t="s">
        <v>90</v>
      </c>
      <c r="E3" s="115" t="s">
        <v>91</v>
      </c>
      <c r="F3" s="113" t="s">
        <v>92</v>
      </c>
      <c r="G3" s="116" t="s">
        <v>93</v>
      </c>
      <c r="H3" s="79">
        <v>46031</v>
      </c>
      <c r="I3" s="114" t="s">
        <v>79</v>
      </c>
      <c r="J3" s="117" t="s">
        <v>94</v>
      </c>
      <c r="K3" s="118">
        <v>46027</v>
      </c>
      <c r="L3" s="114" t="s">
        <v>81</v>
      </c>
      <c r="M3" s="119">
        <v>46030</v>
      </c>
      <c r="N3" s="128">
        <v>46030</v>
      </c>
      <c r="O3" s="120">
        <f>NETWORKDAYS.INTL(K3,N3,1,$AM$2:$AM$10)-1</f>
        <v>3</v>
      </c>
      <c r="P3" s="114" t="s">
        <v>81</v>
      </c>
      <c r="Q3" s="114" t="s">
        <v>79</v>
      </c>
      <c r="R3" s="115" t="s">
        <v>95</v>
      </c>
      <c r="S3" s="145">
        <v>1352</v>
      </c>
      <c r="T3" s="148" t="s">
        <v>96</v>
      </c>
      <c r="U3" s="147">
        <v>1</v>
      </c>
      <c r="V3" s="121">
        <v>2</v>
      </c>
      <c r="W3" s="121">
        <v>339</v>
      </c>
      <c r="X3" s="114" t="s">
        <v>84</v>
      </c>
      <c r="Y3" s="115" t="s">
        <v>85</v>
      </c>
      <c r="Z3" s="115" t="s">
        <v>86</v>
      </c>
      <c r="AA3" s="113" t="s">
        <v>87</v>
      </c>
      <c r="AB3" s="122">
        <v>279.45999999999998</v>
      </c>
      <c r="AC3" s="122">
        <f>IF(C3="DENALI", AB3*0.495, IF(C3="SCHNEIDER ELECTRIC", AB3*1.136, IF(C3="WWT", AB3*1.2, AC3)))+AB3</f>
        <v>596.92655999999988</v>
      </c>
      <c r="AD3" s="129">
        <f>AC3-AB3</f>
        <v>317.4665599999999</v>
      </c>
      <c r="AE3" s="122">
        <v>7917.38</v>
      </c>
      <c r="AF3" s="130">
        <f>AB3/U3</f>
        <v>279.45999999999998</v>
      </c>
      <c r="AG3" s="130">
        <f>AB3/V3</f>
        <v>139.72999999999999</v>
      </c>
      <c r="AH3" s="123">
        <f>AB3/S3</f>
        <v>0.20670118343195265</v>
      </c>
      <c r="AI3" s="124" t="s">
        <v>97</v>
      </c>
      <c r="AJ3" s="125" t="s">
        <v>98</v>
      </c>
      <c r="AK3"/>
      <c r="AM3" s="80">
        <v>46041</v>
      </c>
    </row>
    <row r="4" spans="1:39" ht="28.5" customHeight="1">
      <c r="A4" s="113" t="s">
        <v>73</v>
      </c>
      <c r="B4" s="114" t="s">
        <v>74</v>
      </c>
      <c r="C4" s="113" t="s">
        <v>35</v>
      </c>
      <c r="D4" s="113" t="s">
        <v>99</v>
      </c>
      <c r="E4" s="115" t="s">
        <v>100</v>
      </c>
      <c r="F4" s="113" t="s">
        <v>99</v>
      </c>
      <c r="G4" s="116" t="s">
        <v>101</v>
      </c>
      <c r="H4" s="79">
        <v>46028</v>
      </c>
      <c r="I4" s="114" t="s">
        <v>79</v>
      </c>
      <c r="J4" s="117" t="s">
        <v>102</v>
      </c>
      <c r="K4" s="118">
        <v>46028</v>
      </c>
      <c r="L4" s="114" t="s">
        <v>81</v>
      </c>
      <c r="M4" s="119">
        <v>46031</v>
      </c>
      <c r="N4" s="128">
        <v>46030</v>
      </c>
      <c r="O4" s="120">
        <f>NETWORKDAYS.INTL(K4,N4,1,$AM$2:$AM$10)-1</f>
        <v>2</v>
      </c>
      <c r="P4" s="114" t="s">
        <v>81</v>
      </c>
      <c r="Q4" s="114" t="s">
        <v>79</v>
      </c>
      <c r="R4" s="115" t="s">
        <v>103</v>
      </c>
      <c r="S4" s="145">
        <v>29</v>
      </c>
      <c r="T4" s="148" t="s">
        <v>104</v>
      </c>
      <c r="U4" s="147">
        <v>2</v>
      </c>
      <c r="V4" s="121">
        <v>72</v>
      </c>
      <c r="W4" s="121">
        <v>720</v>
      </c>
      <c r="X4" s="114" t="s">
        <v>84</v>
      </c>
      <c r="Y4" s="115" t="s">
        <v>85</v>
      </c>
      <c r="Z4" s="115" t="s">
        <v>105</v>
      </c>
      <c r="AA4" s="113" t="s">
        <v>87</v>
      </c>
      <c r="AB4" s="122">
        <v>664.23</v>
      </c>
      <c r="AC4" s="122">
        <f>IF(C4="DENALI", AB4*0.495, IF(C4="SCHNEIDER ELECTRIC", AB4*1.136, IF(C4="WWT", AB4*1.2, AC4)))+AB4</f>
        <v>993.02385000000004</v>
      </c>
      <c r="AD4" s="129">
        <f>AC4-AB4</f>
        <v>328.79385000000002</v>
      </c>
      <c r="AE4" s="122">
        <v>70359.12</v>
      </c>
      <c r="AF4" s="130">
        <f>AB4/U4</f>
        <v>332.11500000000001</v>
      </c>
      <c r="AG4" s="130">
        <f>AB4/V4</f>
        <v>9.2254166666666677</v>
      </c>
      <c r="AH4" s="123">
        <f>AB4/S4</f>
        <v>22.904482758620691</v>
      </c>
      <c r="AI4" s="124" t="s">
        <v>106</v>
      </c>
      <c r="AJ4" s="125" t="s">
        <v>107</v>
      </c>
      <c r="AK4"/>
      <c r="AM4" s="80">
        <v>46167</v>
      </c>
    </row>
    <row r="5" spans="1:39" ht="28.5" customHeight="1">
      <c r="A5" s="113" t="s">
        <v>73</v>
      </c>
      <c r="B5" s="114" t="s">
        <v>74</v>
      </c>
      <c r="C5" s="113" t="s">
        <v>35</v>
      </c>
      <c r="D5" s="113" t="s">
        <v>99</v>
      </c>
      <c r="E5" s="115" t="s">
        <v>108</v>
      </c>
      <c r="F5" s="113" t="s">
        <v>109</v>
      </c>
      <c r="G5" s="116">
        <v>21029093</v>
      </c>
      <c r="H5" s="79">
        <v>46034</v>
      </c>
      <c r="I5" s="114" t="s">
        <v>79</v>
      </c>
      <c r="J5" s="117" t="s">
        <v>110</v>
      </c>
      <c r="K5" s="118">
        <v>46029</v>
      </c>
      <c r="L5" s="114" t="s">
        <v>81</v>
      </c>
      <c r="M5" s="119">
        <v>46034</v>
      </c>
      <c r="N5" s="128">
        <v>46035</v>
      </c>
      <c r="O5" s="120">
        <f>NETWORKDAYS.INTL(K5,N5,1,$AM$2:$AM$10)-1</f>
        <v>4</v>
      </c>
      <c r="P5" s="114" t="s">
        <v>81</v>
      </c>
      <c r="Q5" s="114" t="s">
        <v>79</v>
      </c>
      <c r="R5" s="115" t="s">
        <v>111</v>
      </c>
      <c r="S5" s="145">
        <v>3097</v>
      </c>
      <c r="T5" s="148" t="s">
        <v>112</v>
      </c>
      <c r="U5" s="147">
        <v>14</v>
      </c>
      <c r="V5" s="121">
        <v>14</v>
      </c>
      <c r="W5" s="121">
        <v>9940</v>
      </c>
      <c r="X5" s="114" t="s">
        <v>113</v>
      </c>
      <c r="Y5" s="115" t="s">
        <v>85</v>
      </c>
      <c r="Z5" s="115" t="s">
        <v>114</v>
      </c>
      <c r="AA5" s="113" t="s">
        <v>87</v>
      </c>
      <c r="AB5" s="122">
        <v>6901.19</v>
      </c>
      <c r="AC5" s="122">
        <f>IF(C5="DENALI", AB5*0.495, IF(C5="SCHNEIDER ELECTRIC", AB5*1.136, IF(C5="WWT", AB5*1.2, AC5)))+AB5</f>
        <v>10317.279049999999</v>
      </c>
      <c r="AD5" s="129">
        <f>AC5-AB5</f>
        <v>3416.0890499999996</v>
      </c>
      <c r="AE5" s="122">
        <v>115387.44</v>
      </c>
      <c r="AF5" s="130">
        <f>AB5/U5</f>
        <v>492.94214285714281</v>
      </c>
      <c r="AG5" s="130">
        <f>AB5/V5</f>
        <v>492.94214285714281</v>
      </c>
      <c r="AH5" s="123">
        <f>AB5/S5</f>
        <v>2.2283467872134324</v>
      </c>
      <c r="AI5" s="124" t="s">
        <v>115</v>
      </c>
      <c r="AJ5" s="125" t="s">
        <v>116</v>
      </c>
      <c r="AK5"/>
      <c r="AM5" s="80">
        <v>46206</v>
      </c>
    </row>
    <row r="6" spans="1:39" ht="28.5" customHeight="1">
      <c r="A6" s="113" t="s">
        <v>73</v>
      </c>
      <c r="B6" s="114" t="s">
        <v>74</v>
      </c>
      <c r="C6" s="113" t="s">
        <v>36</v>
      </c>
      <c r="D6" s="113" t="s">
        <v>90</v>
      </c>
      <c r="E6" s="115" t="s">
        <v>117</v>
      </c>
      <c r="F6" s="113" t="s">
        <v>92</v>
      </c>
      <c r="G6" s="116" t="s">
        <v>118</v>
      </c>
      <c r="H6" s="79">
        <v>46034</v>
      </c>
      <c r="I6" s="114" t="s">
        <v>79</v>
      </c>
      <c r="J6" s="117" t="s">
        <v>119</v>
      </c>
      <c r="K6" s="118">
        <v>46029</v>
      </c>
      <c r="L6" s="114" t="s">
        <v>81</v>
      </c>
      <c r="M6" s="119">
        <v>46034</v>
      </c>
      <c r="N6" s="128">
        <v>46034</v>
      </c>
      <c r="O6" s="120">
        <f>NETWORKDAYS.INTL(K6,N6,1,$AM$2:$AM$10)-1</f>
        <v>3</v>
      </c>
      <c r="P6" s="114" t="s">
        <v>81</v>
      </c>
      <c r="Q6" s="114" t="s">
        <v>79</v>
      </c>
      <c r="R6" s="115" t="s">
        <v>95</v>
      </c>
      <c r="S6" s="145">
        <v>1528</v>
      </c>
      <c r="T6" s="148" t="s">
        <v>120</v>
      </c>
      <c r="U6" s="147">
        <v>1</v>
      </c>
      <c r="V6" s="121">
        <v>4</v>
      </c>
      <c r="W6" s="121">
        <v>348</v>
      </c>
      <c r="X6" s="114" t="s">
        <v>84</v>
      </c>
      <c r="Y6" s="115" t="s">
        <v>85</v>
      </c>
      <c r="Z6" s="115" t="s">
        <v>86</v>
      </c>
      <c r="AA6" s="113" t="s">
        <v>87</v>
      </c>
      <c r="AB6" s="122">
        <v>236.14</v>
      </c>
      <c r="AC6" s="122">
        <f>IF(C6="DENALI", AB6*0.495, IF(C6="SCHNEIDER ELECTRIC", AB6*1.136, IF(C6="WWT", AB6*1.2, AC6)))+AB6</f>
        <v>504.39503999999994</v>
      </c>
      <c r="AD6" s="129">
        <f>AC6-AB6</f>
        <v>268.25503999999995</v>
      </c>
      <c r="AE6" s="122">
        <v>1909.96</v>
      </c>
      <c r="AF6" s="130">
        <f>AB6/U6</f>
        <v>236.14</v>
      </c>
      <c r="AG6" s="130">
        <f>AB6/V6</f>
        <v>59.034999999999997</v>
      </c>
      <c r="AH6" s="123">
        <f>AB6/S6</f>
        <v>0.1545418848167539</v>
      </c>
      <c r="AI6" s="124" t="s">
        <v>115</v>
      </c>
      <c r="AJ6" s="125" t="s">
        <v>121</v>
      </c>
      <c r="AK6"/>
      <c r="AM6" s="80">
        <v>46272</v>
      </c>
    </row>
    <row r="7" spans="1:39" ht="28.5" customHeight="1">
      <c r="A7" s="113" t="s">
        <v>73</v>
      </c>
      <c r="B7" s="114" t="s">
        <v>74</v>
      </c>
      <c r="C7" s="113" t="s">
        <v>36</v>
      </c>
      <c r="D7" s="113" t="s">
        <v>90</v>
      </c>
      <c r="E7" s="115" t="s">
        <v>91</v>
      </c>
      <c r="F7" s="113" t="s">
        <v>92</v>
      </c>
      <c r="G7" s="116" t="s">
        <v>122</v>
      </c>
      <c r="H7" s="79">
        <v>46034</v>
      </c>
      <c r="I7" s="114" t="s">
        <v>79</v>
      </c>
      <c r="J7" s="117" t="s">
        <v>123</v>
      </c>
      <c r="K7" s="118">
        <v>46029</v>
      </c>
      <c r="L7" s="114" t="s">
        <v>81</v>
      </c>
      <c r="M7" s="119">
        <v>46034</v>
      </c>
      <c r="N7" s="128">
        <v>46034</v>
      </c>
      <c r="O7" s="120">
        <f>NETWORKDAYS.INTL(K7,N7,1,$AM$2:$AM$10)-1</f>
        <v>3</v>
      </c>
      <c r="P7" s="114" t="s">
        <v>81</v>
      </c>
      <c r="Q7" s="114" t="s">
        <v>79</v>
      </c>
      <c r="R7" s="115" t="s">
        <v>95</v>
      </c>
      <c r="S7" s="145">
        <v>1352</v>
      </c>
      <c r="T7" s="148" t="s">
        <v>124</v>
      </c>
      <c r="U7" s="147">
        <v>1</v>
      </c>
      <c r="V7" s="121">
        <v>8</v>
      </c>
      <c r="W7" s="121">
        <v>656</v>
      </c>
      <c r="X7" s="114" t="s">
        <v>84</v>
      </c>
      <c r="Y7" s="115" t="s">
        <v>85</v>
      </c>
      <c r="Z7" s="115" t="s">
        <v>86</v>
      </c>
      <c r="AA7" s="113" t="s">
        <v>87</v>
      </c>
      <c r="AB7" s="122">
        <v>279.45999999999998</v>
      </c>
      <c r="AC7" s="122">
        <f>IF(C7="DENALI", AB7*0.495, IF(C7="SCHNEIDER ELECTRIC", AB7*1.136, IF(C7="WWT", AB7*1.2, AC7)))+AB7</f>
        <v>596.92655999999988</v>
      </c>
      <c r="AD7" s="129">
        <f>AC7-AB7</f>
        <v>317.4665599999999</v>
      </c>
      <c r="AE7" s="122">
        <v>3819.92</v>
      </c>
      <c r="AF7" s="130">
        <f>AB7/U7</f>
        <v>279.45999999999998</v>
      </c>
      <c r="AG7" s="130">
        <f>AB7/V7</f>
        <v>34.932499999999997</v>
      </c>
      <c r="AH7" s="123">
        <f>AB7/S7</f>
        <v>0.20670118343195265</v>
      </c>
      <c r="AI7" s="124" t="s">
        <v>97</v>
      </c>
      <c r="AJ7" s="125" t="s">
        <v>98</v>
      </c>
      <c r="AK7"/>
      <c r="AM7" s="80">
        <v>46352</v>
      </c>
    </row>
    <row r="8" spans="1:39" ht="28.5" customHeight="1">
      <c r="A8" s="113" t="s">
        <v>73</v>
      </c>
      <c r="B8" s="114" t="s">
        <v>74</v>
      </c>
      <c r="C8" s="113" t="s">
        <v>35</v>
      </c>
      <c r="D8" s="113" t="s">
        <v>99</v>
      </c>
      <c r="E8" s="115" t="s">
        <v>125</v>
      </c>
      <c r="F8" s="113" t="s">
        <v>90</v>
      </c>
      <c r="G8" s="116">
        <v>21041136</v>
      </c>
      <c r="H8" s="79">
        <v>46031</v>
      </c>
      <c r="I8" s="114" t="s">
        <v>79</v>
      </c>
      <c r="J8" s="117" t="s">
        <v>126</v>
      </c>
      <c r="K8" s="118">
        <v>46029</v>
      </c>
      <c r="L8" s="114" t="s">
        <v>81</v>
      </c>
      <c r="M8" s="119">
        <v>46031</v>
      </c>
      <c r="N8" s="128">
        <v>46031</v>
      </c>
      <c r="O8" s="120">
        <f>NETWORKDAYS.INTL(K8,N8,1,$AM$2:$AM$10)-1</f>
        <v>2</v>
      </c>
      <c r="P8" s="114" t="s">
        <v>81</v>
      </c>
      <c r="Q8" s="114" t="s">
        <v>79</v>
      </c>
      <c r="R8" s="115" t="s">
        <v>95</v>
      </c>
      <c r="S8" s="145">
        <v>908</v>
      </c>
      <c r="T8" s="148" t="s">
        <v>127</v>
      </c>
      <c r="U8" s="147">
        <v>12</v>
      </c>
      <c r="V8" s="121">
        <v>2073</v>
      </c>
      <c r="W8" s="121">
        <v>10200</v>
      </c>
      <c r="X8" s="114" t="s">
        <v>113</v>
      </c>
      <c r="Y8" s="115" t="s">
        <v>85</v>
      </c>
      <c r="Z8" s="115" t="s">
        <v>128</v>
      </c>
      <c r="AA8" s="113" t="s">
        <v>87</v>
      </c>
      <c r="AB8" s="122">
        <v>1794</v>
      </c>
      <c r="AC8" s="122">
        <f>IF(C8="DENALI", AB8*0.495, IF(C8="SCHNEIDER ELECTRIC", AB8*1.136, IF(C8="WWT", AB8*1.2, AC8)))+AB8</f>
        <v>2682.0299999999997</v>
      </c>
      <c r="AD8" s="129">
        <f>AC8-AB8</f>
        <v>888.02999999999975</v>
      </c>
      <c r="AE8" s="122">
        <v>1121244.93</v>
      </c>
      <c r="AF8" s="130">
        <f>AB8/U8</f>
        <v>149.5</v>
      </c>
      <c r="AG8" s="130">
        <f>AB8/V8</f>
        <v>0.86541244573082488</v>
      </c>
      <c r="AH8" s="123">
        <f>AB8/S8</f>
        <v>1.9757709251101321</v>
      </c>
      <c r="AI8" s="124" t="s">
        <v>97</v>
      </c>
      <c r="AJ8" s="125" t="s">
        <v>129</v>
      </c>
      <c r="AK8"/>
      <c r="AM8" s="80">
        <v>46353</v>
      </c>
    </row>
    <row r="9" spans="1:39" ht="28.5" customHeight="1">
      <c r="A9" s="113" t="s">
        <v>73</v>
      </c>
      <c r="B9" s="114" t="s">
        <v>74</v>
      </c>
      <c r="C9" s="113" t="s">
        <v>36</v>
      </c>
      <c r="D9" s="113" t="s">
        <v>75</v>
      </c>
      <c r="E9" s="115" t="s">
        <v>130</v>
      </c>
      <c r="F9" s="113" t="s">
        <v>131</v>
      </c>
      <c r="G9" s="116" t="s">
        <v>132</v>
      </c>
      <c r="H9" s="79">
        <v>46034</v>
      </c>
      <c r="I9" s="114" t="s">
        <v>79</v>
      </c>
      <c r="J9" s="117" t="s">
        <v>133</v>
      </c>
      <c r="K9" s="118">
        <v>46031</v>
      </c>
      <c r="L9" s="114" t="s">
        <v>81</v>
      </c>
      <c r="M9" s="119">
        <v>46034</v>
      </c>
      <c r="N9" s="128">
        <v>46034</v>
      </c>
      <c r="O9" s="120">
        <f>NETWORKDAYS.INTL(K9,N9,1,$AM$2:$AM$10)-1</f>
        <v>1</v>
      </c>
      <c r="P9" s="114" t="s">
        <v>81</v>
      </c>
      <c r="Q9" s="114" t="s">
        <v>79</v>
      </c>
      <c r="R9" s="115" t="s">
        <v>95</v>
      </c>
      <c r="S9" s="145">
        <v>393</v>
      </c>
      <c r="T9" s="148" t="s">
        <v>134</v>
      </c>
      <c r="U9" s="147">
        <v>1</v>
      </c>
      <c r="V9" s="121">
        <v>6</v>
      </c>
      <c r="W9" s="121">
        <v>464</v>
      </c>
      <c r="X9" s="114" t="s">
        <v>84</v>
      </c>
      <c r="Y9" s="115" t="s">
        <v>85</v>
      </c>
      <c r="Z9" s="115" t="s">
        <v>86</v>
      </c>
      <c r="AA9" s="113" t="s">
        <v>87</v>
      </c>
      <c r="AB9" s="122">
        <v>216.91</v>
      </c>
      <c r="AC9" s="122">
        <f>IF(C9="DENALI", AB9*0.495, IF(C9="SCHNEIDER ELECTRIC", AB9*1.136, IF(C9="WWT", AB9*1.2, AC9)))+AB9</f>
        <v>463.31975999999997</v>
      </c>
      <c r="AD9" s="129">
        <f>AC9-AB9</f>
        <v>246.40975999999998</v>
      </c>
      <c r="AE9" s="122">
        <v>2646.47</v>
      </c>
      <c r="AF9" s="130">
        <f>AB9/U9</f>
        <v>216.91</v>
      </c>
      <c r="AG9" s="130">
        <f>AB9/V9</f>
        <v>36.151666666666664</v>
      </c>
      <c r="AH9" s="123">
        <f>AB9/S9</f>
        <v>0.55193384223918573</v>
      </c>
      <c r="AI9" s="124" t="s">
        <v>115</v>
      </c>
      <c r="AJ9" s="125" t="s">
        <v>121</v>
      </c>
      <c r="AK9"/>
      <c r="AM9" s="80">
        <v>46380</v>
      </c>
    </row>
    <row r="10" spans="1:39" ht="28.5" customHeight="1">
      <c r="A10" s="113" t="s">
        <v>73</v>
      </c>
      <c r="B10" s="114" t="s">
        <v>74</v>
      </c>
      <c r="C10" s="113" t="s">
        <v>36</v>
      </c>
      <c r="D10" s="113" t="s">
        <v>90</v>
      </c>
      <c r="E10" s="115" t="s">
        <v>135</v>
      </c>
      <c r="F10" s="113" t="s">
        <v>90</v>
      </c>
      <c r="G10" s="116" t="s">
        <v>136</v>
      </c>
      <c r="H10" s="79">
        <v>46035</v>
      </c>
      <c r="I10" s="114" t="s">
        <v>79</v>
      </c>
      <c r="J10" s="117" t="s">
        <v>137</v>
      </c>
      <c r="K10" s="118">
        <v>46034</v>
      </c>
      <c r="L10" s="114" t="s">
        <v>79</v>
      </c>
      <c r="M10" s="119">
        <v>46036</v>
      </c>
      <c r="N10" s="128">
        <v>46036</v>
      </c>
      <c r="O10" s="120">
        <f>NETWORKDAYS.INTL(K10,N10,1,$AM$2:$AM$10)-1</f>
        <v>2</v>
      </c>
      <c r="P10" s="114" t="s">
        <v>81</v>
      </c>
      <c r="Q10" s="114" t="s">
        <v>79</v>
      </c>
      <c r="R10" s="115" t="s">
        <v>138</v>
      </c>
      <c r="S10" s="145">
        <v>35</v>
      </c>
      <c r="T10" s="148" t="s">
        <v>139</v>
      </c>
      <c r="U10" s="147">
        <v>1</v>
      </c>
      <c r="V10" s="121">
        <v>3</v>
      </c>
      <c r="W10" s="121">
        <v>271</v>
      </c>
      <c r="X10" s="114" t="s">
        <v>84</v>
      </c>
      <c r="Y10" s="115" t="s">
        <v>85</v>
      </c>
      <c r="Z10" s="115" t="s">
        <v>86</v>
      </c>
      <c r="AA10" s="113" t="s">
        <v>87</v>
      </c>
      <c r="AB10" s="122">
        <v>179.14</v>
      </c>
      <c r="AC10" s="122">
        <f>IF(C10="DENALI", AB10*0.495, IF(C10="SCHNEIDER ELECTRIC", AB10*1.136, IF(C10="WWT", AB10*1.2, AC10)))+AB10</f>
        <v>382.64303999999993</v>
      </c>
      <c r="AD10" s="129">
        <f>AC10-AB10</f>
        <v>203.50303999999994</v>
      </c>
      <c r="AE10" s="122">
        <v>1432.47</v>
      </c>
      <c r="AF10" s="130">
        <f>AB10/U10</f>
        <v>179.14</v>
      </c>
      <c r="AG10" s="130">
        <f>AB10/V10</f>
        <v>59.713333333333331</v>
      </c>
      <c r="AH10" s="123">
        <f>AB10/S10</f>
        <v>5.1182857142857143</v>
      </c>
      <c r="AI10" s="124" t="s">
        <v>97</v>
      </c>
      <c r="AJ10" s="125" t="s">
        <v>98</v>
      </c>
      <c r="AK10"/>
      <c r="AM10" s="80">
        <v>46381</v>
      </c>
    </row>
    <row r="11" spans="1:39" ht="28.5" customHeight="1">
      <c r="A11" s="113" t="s">
        <v>73</v>
      </c>
      <c r="B11" s="114" t="s">
        <v>140</v>
      </c>
      <c r="C11" s="113" t="s">
        <v>35</v>
      </c>
      <c r="D11" s="113" t="s">
        <v>99</v>
      </c>
      <c r="E11" s="115" t="s">
        <v>141</v>
      </c>
      <c r="F11" s="113" t="s">
        <v>142</v>
      </c>
      <c r="G11" s="116" t="s">
        <v>143</v>
      </c>
      <c r="H11" s="79">
        <v>46041</v>
      </c>
      <c r="I11" s="114" t="s">
        <v>79</v>
      </c>
      <c r="J11" s="117" t="s">
        <v>144</v>
      </c>
      <c r="K11" s="118">
        <v>46036</v>
      </c>
      <c r="L11" s="114" t="s">
        <v>81</v>
      </c>
      <c r="M11" s="119">
        <v>46043</v>
      </c>
      <c r="N11" s="128">
        <v>46043</v>
      </c>
      <c r="O11" s="120">
        <f>NETWORKDAYS.INTL(K11,N11,1,$AM$2:$AM$10)-1</f>
        <v>4</v>
      </c>
      <c r="P11" s="114" t="s">
        <v>81</v>
      </c>
      <c r="Q11" s="114" t="s">
        <v>79</v>
      </c>
      <c r="R11" s="115" t="s">
        <v>145</v>
      </c>
      <c r="S11" s="145">
        <v>2403</v>
      </c>
      <c r="T11" s="148" t="s">
        <v>146</v>
      </c>
      <c r="U11" s="147">
        <v>2</v>
      </c>
      <c r="V11" s="121">
        <v>180</v>
      </c>
      <c r="W11" s="121">
        <v>720</v>
      </c>
      <c r="X11" s="114" t="s">
        <v>84</v>
      </c>
      <c r="Y11" s="115" t="s">
        <v>85</v>
      </c>
      <c r="Z11" s="115" t="s">
        <v>86</v>
      </c>
      <c r="AA11" s="113" t="s">
        <v>87</v>
      </c>
      <c r="AB11" s="122">
        <v>620.72</v>
      </c>
      <c r="AC11" s="122">
        <f>IF(C11="DENALI", AB11*0.495, IF(C11="SCHNEIDER ELECTRIC", AB11*1.136, IF(C11="WWT", AB11*1.2, AC11)))+AB11</f>
        <v>927.97640000000001</v>
      </c>
      <c r="AD11" s="129">
        <f>AC11-AB11</f>
        <v>307.25639999999999</v>
      </c>
      <c r="AE11" s="122">
        <v>15632.08</v>
      </c>
      <c r="AF11" s="130">
        <f>AB11/U11</f>
        <v>310.36</v>
      </c>
      <c r="AG11" s="130">
        <f>AB11/V11</f>
        <v>3.4484444444444446</v>
      </c>
      <c r="AH11" s="123">
        <f>AB11/S11</f>
        <v>0.25831044527673741</v>
      </c>
      <c r="AI11" s="124" t="s">
        <v>147</v>
      </c>
      <c r="AJ11" s="125" t="s">
        <v>148</v>
      </c>
      <c r="AK11"/>
      <c r="AM11" s="80"/>
    </row>
    <row r="12" spans="1:39" ht="28.5" customHeight="1">
      <c r="A12" s="113" t="s">
        <v>73</v>
      </c>
      <c r="B12" s="114" t="s">
        <v>74</v>
      </c>
      <c r="C12" s="113" t="s">
        <v>36</v>
      </c>
      <c r="D12" s="113" t="s">
        <v>90</v>
      </c>
      <c r="E12" s="115" t="s">
        <v>149</v>
      </c>
      <c r="F12" s="113" t="s">
        <v>150</v>
      </c>
      <c r="G12" s="116" t="s">
        <v>151</v>
      </c>
      <c r="H12" s="79">
        <v>46044</v>
      </c>
      <c r="I12" s="114" t="s">
        <v>79</v>
      </c>
      <c r="J12" s="117" t="s">
        <v>152</v>
      </c>
      <c r="K12" s="118">
        <v>46038</v>
      </c>
      <c r="L12" s="114" t="s">
        <v>81</v>
      </c>
      <c r="M12" s="119">
        <v>46043</v>
      </c>
      <c r="N12" s="128">
        <v>46043</v>
      </c>
      <c r="O12" s="120">
        <f>NETWORKDAYS.INTL(K12,N12,1,$AM$2:$AM$10)-1</f>
        <v>2</v>
      </c>
      <c r="P12" s="114" t="s">
        <v>81</v>
      </c>
      <c r="Q12" s="114" t="s">
        <v>79</v>
      </c>
      <c r="R12" s="115" t="s">
        <v>95</v>
      </c>
      <c r="S12" s="145">
        <v>985</v>
      </c>
      <c r="T12" s="148" t="s">
        <v>153</v>
      </c>
      <c r="U12" s="147">
        <v>1</v>
      </c>
      <c r="V12" s="121">
        <v>4</v>
      </c>
      <c r="W12" s="121">
        <v>195</v>
      </c>
      <c r="X12" s="114" t="s">
        <v>84</v>
      </c>
      <c r="Y12" s="115" t="s">
        <v>85</v>
      </c>
      <c r="Z12" s="115" t="s">
        <v>154</v>
      </c>
      <c r="AA12" s="113" t="s">
        <v>87</v>
      </c>
      <c r="AB12" s="122">
        <v>280.22000000000003</v>
      </c>
      <c r="AC12" s="122">
        <f>IF(C12="DENALI", AB12*0.495, IF(C12="SCHNEIDER ELECTRIC", AB12*1.136, IF(C12="WWT", AB12*1.2, AC12)))+AB12</f>
        <v>598.54992000000004</v>
      </c>
      <c r="AD12" s="129">
        <f>AC12-AB12</f>
        <v>318.32992000000002</v>
      </c>
      <c r="AE12" s="122">
        <v>2169.88</v>
      </c>
      <c r="AF12" s="130">
        <f>AB12/U12</f>
        <v>280.22000000000003</v>
      </c>
      <c r="AG12" s="130">
        <f>AB12/V12</f>
        <v>70.055000000000007</v>
      </c>
      <c r="AH12" s="123">
        <f>AB12/S12</f>
        <v>0.28448730964467006</v>
      </c>
      <c r="AI12" s="124" t="s">
        <v>155</v>
      </c>
      <c r="AJ12" s="125" t="s">
        <v>98</v>
      </c>
      <c r="AK12"/>
      <c r="AM12" s="80"/>
    </row>
    <row r="13" spans="1:39" ht="28.5" customHeight="1">
      <c r="A13" s="113" t="s">
        <v>73</v>
      </c>
      <c r="B13" s="114" t="s">
        <v>74</v>
      </c>
      <c r="C13" s="113" t="s">
        <v>36</v>
      </c>
      <c r="D13" s="113" t="s">
        <v>90</v>
      </c>
      <c r="E13" s="115" t="s">
        <v>156</v>
      </c>
      <c r="F13" s="113" t="s">
        <v>92</v>
      </c>
      <c r="G13" s="116" t="s">
        <v>157</v>
      </c>
      <c r="H13" s="79">
        <v>46044</v>
      </c>
      <c r="I13" s="114" t="s">
        <v>79</v>
      </c>
      <c r="J13" s="117" t="s">
        <v>158</v>
      </c>
      <c r="K13" s="118">
        <v>46038</v>
      </c>
      <c r="L13" s="114" t="s">
        <v>81</v>
      </c>
      <c r="M13" s="119">
        <v>46043</v>
      </c>
      <c r="N13" s="128">
        <v>46043</v>
      </c>
      <c r="O13" s="120">
        <f>NETWORKDAYS.INTL(K13,N13,1,$AM$2:$AM$10)-1</f>
        <v>2</v>
      </c>
      <c r="P13" s="114" t="s">
        <v>81</v>
      </c>
      <c r="Q13" s="114" t="s">
        <v>79</v>
      </c>
      <c r="R13" s="115" t="s">
        <v>95</v>
      </c>
      <c r="S13" s="145">
        <v>1535</v>
      </c>
      <c r="T13" s="148" t="s">
        <v>159</v>
      </c>
      <c r="U13" s="147">
        <v>1</v>
      </c>
      <c r="V13" s="121">
        <v>5</v>
      </c>
      <c r="W13" s="121">
        <v>234</v>
      </c>
      <c r="X13" s="114" t="s">
        <v>84</v>
      </c>
      <c r="Y13" s="115" t="s">
        <v>85</v>
      </c>
      <c r="Z13" s="115" t="s">
        <v>160</v>
      </c>
      <c r="AA13" s="113" t="s">
        <v>87</v>
      </c>
      <c r="AB13" s="122">
        <v>383.12</v>
      </c>
      <c r="AC13" s="122">
        <f>IF(C13="DENALI", AB13*0.495, IF(C13="SCHNEIDER ELECTRIC", AB13*1.136, IF(C13="WWT", AB13*1.2, AC13)))+AB13</f>
        <v>818.34431999999993</v>
      </c>
      <c r="AD13" s="129">
        <f>AC13-AB13</f>
        <v>435.22431999999992</v>
      </c>
      <c r="AE13" s="122">
        <v>1414</v>
      </c>
      <c r="AF13" s="130">
        <f>AB13/U13</f>
        <v>383.12</v>
      </c>
      <c r="AG13" s="130">
        <f>AB13/V13</f>
        <v>76.623999999999995</v>
      </c>
      <c r="AH13" s="123">
        <f>AB13/S13</f>
        <v>0.24958957654723127</v>
      </c>
      <c r="AI13" s="124" t="s">
        <v>147</v>
      </c>
      <c r="AJ13" s="125" t="s">
        <v>98</v>
      </c>
      <c r="AK13"/>
      <c r="AM13" s="80"/>
    </row>
    <row r="14" spans="1:39" ht="28.5" customHeight="1">
      <c r="A14" s="113" t="s">
        <v>73</v>
      </c>
      <c r="B14" s="114" t="s">
        <v>74</v>
      </c>
      <c r="C14" s="113" t="s">
        <v>36</v>
      </c>
      <c r="D14" s="113" t="s">
        <v>90</v>
      </c>
      <c r="E14" s="115" t="s">
        <v>161</v>
      </c>
      <c r="F14" s="113" t="s">
        <v>162</v>
      </c>
      <c r="G14" s="116" t="s">
        <v>163</v>
      </c>
      <c r="H14" s="79">
        <v>46044</v>
      </c>
      <c r="I14" s="114" t="s">
        <v>79</v>
      </c>
      <c r="J14" s="117" t="s">
        <v>164</v>
      </c>
      <c r="K14" s="118">
        <v>46038</v>
      </c>
      <c r="L14" s="114" t="s">
        <v>81</v>
      </c>
      <c r="M14" s="119">
        <v>46042</v>
      </c>
      <c r="N14" s="128">
        <v>46042</v>
      </c>
      <c r="O14" s="120">
        <f>NETWORKDAYS.INTL(K14,N14,1,$AM$2:$AM$10)-1</f>
        <v>1</v>
      </c>
      <c r="P14" s="114" t="s">
        <v>81</v>
      </c>
      <c r="Q14" s="114" t="s">
        <v>79</v>
      </c>
      <c r="R14" s="115" t="s">
        <v>95</v>
      </c>
      <c r="S14" s="145">
        <v>229</v>
      </c>
      <c r="T14" s="148" t="s">
        <v>165</v>
      </c>
      <c r="U14" s="147">
        <v>1</v>
      </c>
      <c r="V14" s="121">
        <v>8</v>
      </c>
      <c r="W14" s="121">
        <v>349</v>
      </c>
      <c r="X14" s="114" t="s">
        <v>84</v>
      </c>
      <c r="Y14" s="115" t="s">
        <v>85</v>
      </c>
      <c r="Z14" s="115" t="s">
        <v>86</v>
      </c>
      <c r="AA14" s="113" t="s">
        <v>87</v>
      </c>
      <c r="AB14" s="122">
        <v>235.76</v>
      </c>
      <c r="AC14" s="122">
        <f>IF(C14="DENALI", AB14*0.495, IF(C14="SCHNEIDER ELECTRIC", AB14*1.136, IF(C14="WWT", AB14*1.2, AC14)))+AB14</f>
        <v>503.58335999999997</v>
      </c>
      <c r="AD14" s="129">
        <f>AC14-AB14</f>
        <v>267.82335999999998</v>
      </c>
      <c r="AE14" s="122">
        <v>2262.4</v>
      </c>
      <c r="AF14" s="130">
        <f>AB14/U14</f>
        <v>235.76</v>
      </c>
      <c r="AG14" s="130">
        <f>AB14/V14</f>
        <v>29.47</v>
      </c>
      <c r="AH14" s="123">
        <f>AB14/S14</f>
        <v>1.0295196506550217</v>
      </c>
      <c r="AI14" s="124" t="s">
        <v>155</v>
      </c>
      <c r="AJ14" s="125" t="s">
        <v>98</v>
      </c>
      <c r="AK14"/>
      <c r="AM14" s="80"/>
    </row>
    <row r="15" spans="1:39" ht="28.5" customHeight="1">
      <c r="A15" s="113" t="s">
        <v>73</v>
      </c>
      <c r="B15" s="114" t="s">
        <v>74</v>
      </c>
      <c r="C15" s="113" t="s">
        <v>36</v>
      </c>
      <c r="D15" s="113" t="s">
        <v>90</v>
      </c>
      <c r="E15" s="115" t="s">
        <v>166</v>
      </c>
      <c r="F15" s="113" t="s">
        <v>162</v>
      </c>
      <c r="G15" s="116" t="s">
        <v>167</v>
      </c>
      <c r="H15" s="79">
        <v>46044</v>
      </c>
      <c r="I15" s="114" t="s">
        <v>79</v>
      </c>
      <c r="J15" s="117" t="s">
        <v>168</v>
      </c>
      <c r="K15" s="118">
        <v>46038</v>
      </c>
      <c r="L15" s="114" t="s">
        <v>81</v>
      </c>
      <c r="M15" s="119">
        <v>46042</v>
      </c>
      <c r="N15" s="128">
        <v>46042</v>
      </c>
      <c r="O15" s="120">
        <f>NETWORKDAYS.INTL(K15,N15,1,$AM$2:$AM$10)-1</f>
        <v>1</v>
      </c>
      <c r="P15" s="114" t="s">
        <v>81</v>
      </c>
      <c r="Q15" s="114" t="s">
        <v>79</v>
      </c>
      <c r="R15" s="115" t="s">
        <v>95</v>
      </c>
      <c r="S15" s="145">
        <v>243</v>
      </c>
      <c r="T15" s="148" t="s">
        <v>169</v>
      </c>
      <c r="U15" s="147">
        <v>1</v>
      </c>
      <c r="V15" s="121">
        <v>6</v>
      </c>
      <c r="W15" s="121">
        <v>272</v>
      </c>
      <c r="X15" s="114" t="s">
        <v>84</v>
      </c>
      <c r="Y15" s="115" t="s">
        <v>85</v>
      </c>
      <c r="Z15" s="115" t="s">
        <v>86</v>
      </c>
      <c r="AA15" s="113" t="s">
        <v>87</v>
      </c>
      <c r="AB15" s="122">
        <v>235.76</v>
      </c>
      <c r="AC15" s="122">
        <f>IF(C15="DENALI", AB15*0.495, IF(C15="SCHNEIDER ELECTRIC", AB15*1.136, IF(C15="WWT", AB15*1.2, AC15)))+AB15</f>
        <v>503.58335999999997</v>
      </c>
      <c r="AD15" s="129">
        <f>AC15-AB15</f>
        <v>267.82335999999998</v>
      </c>
      <c r="AE15" s="122">
        <v>1696.8</v>
      </c>
      <c r="AF15" s="130">
        <f>AB15/U15</f>
        <v>235.76</v>
      </c>
      <c r="AG15" s="130">
        <f>AB15/V15</f>
        <v>39.293333333333329</v>
      </c>
      <c r="AH15" s="123">
        <f>AB15/S15</f>
        <v>0.97020576131687242</v>
      </c>
      <c r="AI15" s="124">
        <v>1172</v>
      </c>
      <c r="AJ15" s="125" t="s">
        <v>98</v>
      </c>
      <c r="AK15"/>
      <c r="AM15" s="80"/>
    </row>
    <row r="16" spans="1:39" ht="28.5" customHeight="1">
      <c r="A16" s="113" t="s">
        <v>73</v>
      </c>
      <c r="B16" s="114" t="s">
        <v>74</v>
      </c>
      <c r="C16" s="113" t="s">
        <v>36</v>
      </c>
      <c r="D16" s="113" t="s">
        <v>90</v>
      </c>
      <c r="E16" s="115" t="s">
        <v>170</v>
      </c>
      <c r="F16" s="113" t="s">
        <v>162</v>
      </c>
      <c r="G16" s="116" t="s">
        <v>171</v>
      </c>
      <c r="H16" s="79">
        <v>46044</v>
      </c>
      <c r="I16" s="114" t="s">
        <v>79</v>
      </c>
      <c r="J16" s="117" t="s">
        <v>172</v>
      </c>
      <c r="K16" s="118">
        <v>46038</v>
      </c>
      <c r="L16" s="114" t="s">
        <v>81</v>
      </c>
      <c r="M16" s="119">
        <v>46042</v>
      </c>
      <c r="N16" s="128">
        <v>46042</v>
      </c>
      <c r="O16" s="120">
        <f>NETWORKDAYS.INTL(K16,N16,1,$AM$2:$AM$10)-1</f>
        <v>1</v>
      </c>
      <c r="P16" s="114" t="s">
        <v>81</v>
      </c>
      <c r="Q16" s="114" t="s">
        <v>79</v>
      </c>
      <c r="R16" s="115" t="s">
        <v>95</v>
      </c>
      <c r="S16" s="145">
        <v>247</v>
      </c>
      <c r="T16" s="148" t="s">
        <v>173</v>
      </c>
      <c r="U16" s="147">
        <v>1</v>
      </c>
      <c r="V16" s="121">
        <v>10</v>
      </c>
      <c r="W16" s="121">
        <v>427</v>
      </c>
      <c r="X16" s="114" t="s">
        <v>84</v>
      </c>
      <c r="Y16" s="115" t="s">
        <v>85</v>
      </c>
      <c r="Z16" s="115" t="s">
        <v>86</v>
      </c>
      <c r="AA16" s="113" t="s">
        <v>87</v>
      </c>
      <c r="AB16" s="122">
        <v>235.76</v>
      </c>
      <c r="AC16" s="122">
        <f>IF(C16="DENALI", AB16*0.495, IF(C16="SCHNEIDER ELECTRIC", AB16*1.136, IF(C16="WWT", AB16*1.2, AC16)))+AB16</f>
        <v>503.58335999999997</v>
      </c>
      <c r="AD16" s="129">
        <f>AC16-AB16</f>
        <v>267.82335999999998</v>
      </c>
      <c r="AE16" s="122">
        <v>3347.34</v>
      </c>
      <c r="AF16" s="130">
        <f>AB16/U16</f>
        <v>235.76</v>
      </c>
      <c r="AG16" s="130">
        <f>AB16/V16</f>
        <v>23.576000000000001</v>
      </c>
      <c r="AH16" s="123">
        <f>AB16/S16</f>
        <v>0.95449392712550607</v>
      </c>
      <c r="AI16" s="124" t="s">
        <v>155</v>
      </c>
      <c r="AJ16" s="125" t="s">
        <v>98</v>
      </c>
      <c r="AK16"/>
      <c r="AM16" s="80"/>
    </row>
    <row r="17" spans="1:39" ht="28.5" customHeight="1">
      <c r="A17" s="113" t="s">
        <v>73</v>
      </c>
      <c r="B17" s="114" t="s">
        <v>74</v>
      </c>
      <c r="C17" s="113" t="s">
        <v>36</v>
      </c>
      <c r="D17" s="113" t="s">
        <v>90</v>
      </c>
      <c r="E17" s="115" t="s">
        <v>174</v>
      </c>
      <c r="F17" s="113" t="s">
        <v>162</v>
      </c>
      <c r="G17" s="116" t="s">
        <v>175</v>
      </c>
      <c r="H17" s="79">
        <v>46044</v>
      </c>
      <c r="I17" s="114" t="s">
        <v>79</v>
      </c>
      <c r="J17" s="117" t="s">
        <v>176</v>
      </c>
      <c r="K17" s="118">
        <v>46042</v>
      </c>
      <c r="L17" s="114" t="s">
        <v>81</v>
      </c>
      <c r="M17" s="119">
        <v>46043</v>
      </c>
      <c r="N17" s="128">
        <v>46043</v>
      </c>
      <c r="O17" s="120">
        <f>NETWORKDAYS.INTL(K17,N17,1,$AM$2:$AM$10)-1</f>
        <v>1</v>
      </c>
      <c r="P17" s="114" t="s">
        <v>81</v>
      </c>
      <c r="Q17" s="114" t="s">
        <v>79</v>
      </c>
      <c r="R17" s="115" t="s">
        <v>95</v>
      </c>
      <c r="S17" s="145">
        <v>248</v>
      </c>
      <c r="T17" s="148" t="s">
        <v>177</v>
      </c>
      <c r="U17" s="147">
        <v>1</v>
      </c>
      <c r="V17" s="121">
        <v>4</v>
      </c>
      <c r="W17" s="121">
        <v>195</v>
      </c>
      <c r="X17" s="114" t="s">
        <v>84</v>
      </c>
      <c r="Y17" s="115" t="s">
        <v>85</v>
      </c>
      <c r="Z17" s="115" t="s">
        <v>86</v>
      </c>
      <c r="AA17" s="113" t="s">
        <v>87</v>
      </c>
      <c r="AB17" s="122">
        <v>235.76</v>
      </c>
      <c r="AC17" s="122">
        <f>IF(C17="DENALI", AB17*0.495, IF(C17="SCHNEIDER ELECTRIC", AB17*1.136, IF(C17="WWT", AB17*1.2, AC17)))+AB17</f>
        <v>503.58335999999997</v>
      </c>
      <c r="AD17" s="129">
        <f>AC17-AB17</f>
        <v>267.82335999999998</v>
      </c>
      <c r="AE17" s="122">
        <v>1131.2</v>
      </c>
      <c r="AF17" s="130">
        <f>AB17/U17</f>
        <v>235.76</v>
      </c>
      <c r="AG17" s="130">
        <f>AB17/V17</f>
        <v>58.94</v>
      </c>
      <c r="AH17" s="123">
        <f>AB17/S17</f>
        <v>0.9506451612903225</v>
      </c>
      <c r="AI17" s="124" t="s">
        <v>178</v>
      </c>
      <c r="AJ17" s="125" t="s">
        <v>98</v>
      </c>
      <c r="AK17"/>
      <c r="AM17" s="80"/>
    </row>
    <row r="18" spans="1:39" ht="28.5" customHeight="1">
      <c r="A18" s="113" t="s">
        <v>73</v>
      </c>
      <c r="B18" s="114" t="s">
        <v>140</v>
      </c>
      <c r="C18" s="113" t="s">
        <v>36</v>
      </c>
      <c r="D18" s="113" t="s">
        <v>75</v>
      </c>
      <c r="E18" s="115" t="s">
        <v>141</v>
      </c>
      <c r="F18" s="113" t="s">
        <v>142</v>
      </c>
      <c r="G18" s="116" t="s">
        <v>179</v>
      </c>
      <c r="H18" s="79">
        <v>46048</v>
      </c>
      <c r="I18" s="114" t="s">
        <v>79</v>
      </c>
      <c r="J18" s="117" t="s">
        <v>180</v>
      </c>
      <c r="K18" s="118">
        <v>46042</v>
      </c>
      <c r="L18" s="114" t="s">
        <v>81</v>
      </c>
      <c r="M18" s="119">
        <v>46052</v>
      </c>
      <c r="N18" s="128">
        <v>46052</v>
      </c>
      <c r="O18" s="120">
        <f>NETWORKDAYS.INTL(K18,N18,1,$AM$2:$AM$10)-1</f>
        <v>8</v>
      </c>
      <c r="P18" s="114" t="s">
        <v>79</v>
      </c>
      <c r="Q18" s="114" t="s">
        <v>81</v>
      </c>
      <c r="R18" s="115" t="s">
        <v>181</v>
      </c>
      <c r="S18" s="145">
        <v>735</v>
      </c>
      <c r="T18" s="148" t="s">
        <v>182</v>
      </c>
      <c r="U18" s="147">
        <v>3</v>
      </c>
      <c r="V18" s="121">
        <v>15</v>
      </c>
      <c r="W18" s="121">
        <v>1527</v>
      </c>
      <c r="X18" s="114" t="s">
        <v>84</v>
      </c>
      <c r="Y18" s="115" t="s">
        <v>85</v>
      </c>
      <c r="Z18" s="115" t="s">
        <v>86</v>
      </c>
      <c r="AA18" s="113" t="s">
        <v>87</v>
      </c>
      <c r="AB18" s="122">
        <v>719.02</v>
      </c>
      <c r="AC18" s="122">
        <f>IF(C18="DENALI", AB18*0.495, IF(C18="SCHNEIDER ELECTRIC", AB18*1.136, IF(C18="WWT", AB18*1.2, AC18)))+AB18</f>
        <v>1535.82672</v>
      </c>
      <c r="AD18" s="129">
        <f>AC18-AB18</f>
        <v>816.80672000000004</v>
      </c>
      <c r="AE18" s="122">
        <v>37950</v>
      </c>
      <c r="AF18" s="130">
        <f>AB18/U18</f>
        <v>239.67333333333332</v>
      </c>
      <c r="AG18" s="130">
        <f>AB18/V18</f>
        <v>47.934666666666665</v>
      </c>
      <c r="AH18" s="123">
        <f>AB18/S18</f>
        <v>0.97825850340136056</v>
      </c>
      <c r="AI18" s="124" t="s">
        <v>183</v>
      </c>
      <c r="AJ18" s="125" t="s">
        <v>121</v>
      </c>
      <c r="AK18"/>
      <c r="AM18" s="80"/>
    </row>
    <row r="19" spans="1:39" ht="28.5" customHeight="1">
      <c r="A19" s="113" t="s">
        <v>73</v>
      </c>
      <c r="B19" s="114" t="s">
        <v>140</v>
      </c>
      <c r="C19" s="113" t="s">
        <v>36</v>
      </c>
      <c r="D19" s="113" t="s">
        <v>75</v>
      </c>
      <c r="E19" s="115" t="s">
        <v>141</v>
      </c>
      <c r="F19" s="113" t="s">
        <v>142</v>
      </c>
      <c r="G19" s="116" t="s">
        <v>184</v>
      </c>
      <c r="H19" s="79">
        <v>46048</v>
      </c>
      <c r="I19" s="114" t="s">
        <v>79</v>
      </c>
      <c r="J19" s="117" t="s">
        <v>185</v>
      </c>
      <c r="K19" s="118">
        <v>46043</v>
      </c>
      <c r="L19" s="114" t="s">
        <v>79</v>
      </c>
      <c r="M19" s="119">
        <v>46049</v>
      </c>
      <c r="N19" s="128">
        <v>46058</v>
      </c>
      <c r="O19" s="120">
        <f>NETWORKDAYS.INTL(K19,N19,1,$AM$2:$AM$10)-1</f>
        <v>11</v>
      </c>
      <c r="P19" s="114" t="s">
        <v>79</v>
      </c>
      <c r="Q19" s="114" t="s">
        <v>81</v>
      </c>
      <c r="R19" s="115" t="s">
        <v>186</v>
      </c>
      <c r="S19" s="145">
        <v>735</v>
      </c>
      <c r="T19" s="148" t="s">
        <v>187</v>
      </c>
      <c r="U19" s="147">
        <v>1</v>
      </c>
      <c r="V19" s="121">
        <v>4</v>
      </c>
      <c r="W19" s="121">
        <v>438</v>
      </c>
      <c r="X19" s="114" t="s">
        <v>84</v>
      </c>
      <c r="Y19" s="115" t="s">
        <v>85</v>
      </c>
      <c r="Z19" s="115" t="s">
        <v>154</v>
      </c>
      <c r="AA19" s="113" t="s">
        <v>87</v>
      </c>
      <c r="AB19" s="122">
        <v>213.85</v>
      </c>
      <c r="AC19" s="122">
        <f>IF(C19="DENALI", AB19*0.495, IF(C19="SCHNEIDER ELECTRIC", AB19*1.136, IF(C19="WWT", AB19*1.2, AC19)))+AB19</f>
        <v>456.78359999999998</v>
      </c>
      <c r="AD19" s="129">
        <f>AC19-AB19</f>
        <v>242.93359999999998</v>
      </c>
      <c r="AE19" s="122">
        <v>11670.82</v>
      </c>
      <c r="AF19" s="130">
        <f>AB19/U19</f>
        <v>213.85</v>
      </c>
      <c r="AG19" s="130">
        <f>AB19/V19</f>
        <v>53.462499999999999</v>
      </c>
      <c r="AH19" s="123">
        <f>AB19/S19</f>
        <v>0.29095238095238096</v>
      </c>
      <c r="AI19" s="124" t="s">
        <v>183</v>
      </c>
      <c r="AJ19" s="125" t="s">
        <v>121</v>
      </c>
      <c r="AK19"/>
      <c r="AM19" s="80"/>
    </row>
    <row r="20" spans="1:39" ht="28.5" customHeight="1">
      <c r="A20" s="113" t="s">
        <v>73</v>
      </c>
      <c r="B20" s="114" t="s">
        <v>74</v>
      </c>
      <c r="C20" s="113" t="s">
        <v>36</v>
      </c>
      <c r="D20" s="113" t="s">
        <v>90</v>
      </c>
      <c r="E20" s="115" t="s">
        <v>188</v>
      </c>
      <c r="F20" s="113" t="s">
        <v>189</v>
      </c>
      <c r="G20" s="116" t="s">
        <v>190</v>
      </c>
      <c r="H20" s="79">
        <v>46048</v>
      </c>
      <c r="I20" s="114" t="s">
        <v>79</v>
      </c>
      <c r="J20" s="117" t="s">
        <v>191</v>
      </c>
      <c r="K20" s="118">
        <v>46042</v>
      </c>
      <c r="L20" s="114" t="s">
        <v>81</v>
      </c>
      <c r="M20" s="119">
        <v>46044</v>
      </c>
      <c r="N20" s="128">
        <v>46044</v>
      </c>
      <c r="O20" s="120">
        <f>NETWORKDAYS.INTL(K20,N20,1,$AM$2:$AM$10)-1</f>
        <v>2</v>
      </c>
      <c r="P20" s="114" t="s">
        <v>81</v>
      </c>
      <c r="Q20" s="114" t="s">
        <v>79</v>
      </c>
      <c r="R20" s="115" t="s">
        <v>95</v>
      </c>
      <c r="S20" s="145">
        <v>661</v>
      </c>
      <c r="T20" s="148" t="s">
        <v>192</v>
      </c>
      <c r="U20" s="147">
        <v>1</v>
      </c>
      <c r="V20" s="121">
        <v>5</v>
      </c>
      <c r="W20" s="121">
        <v>425</v>
      </c>
      <c r="X20" s="114" t="s">
        <v>84</v>
      </c>
      <c r="Y20" s="115" t="s">
        <v>85</v>
      </c>
      <c r="Z20" s="115" t="s">
        <v>154</v>
      </c>
      <c r="AA20" s="113" t="s">
        <v>87</v>
      </c>
      <c r="AB20" s="122">
        <v>247.9</v>
      </c>
      <c r="AC20" s="122">
        <f>IF(C20="DENALI", AB20*0.495, IF(C20="SCHNEIDER ELECTRIC", AB20*1.136, IF(C20="WWT", AB20*1.2, AC20)))+AB20</f>
        <v>529.51440000000002</v>
      </c>
      <c r="AD20" s="129">
        <f>AC20-AB20</f>
        <v>281.61440000000005</v>
      </c>
      <c r="AE20" s="122">
        <v>2387.4499999999998</v>
      </c>
      <c r="AF20" s="130">
        <f>AB20/U20</f>
        <v>247.9</v>
      </c>
      <c r="AG20" s="130">
        <f>AB20/V20</f>
        <v>49.58</v>
      </c>
      <c r="AH20" s="123">
        <f>AB20/S20</f>
        <v>0.37503782148260212</v>
      </c>
      <c r="AI20" s="124" t="s">
        <v>97</v>
      </c>
      <c r="AJ20" s="125" t="s">
        <v>98</v>
      </c>
      <c r="AK20"/>
      <c r="AM20" s="80"/>
    </row>
    <row r="21" spans="1:39" ht="28.5" customHeight="1">
      <c r="A21" s="113" t="s">
        <v>73</v>
      </c>
      <c r="B21" s="114" t="s">
        <v>74</v>
      </c>
      <c r="C21" s="113" t="s">
        <v>35</v>
      </c>
      <c r="D21" s="113" t="s">
        <v>99</v>
      </c>
      <c r="E21" s="115" t="s">
        <v>193</v>
      </c>
      <c r="F21" s="113" t="s">
        <v>92</v>
      </c>
      <c r="G21" s="116" t="s">
        <v>194</v>
      </c>
      <c r="H21" s="79">
        <v>46049</v>
      </c>
      <c r="I21" s="114" t="s">
        <v>79</v>
      </c>
      <c r="J21" s="117" t="s">
        <v>195</v>
      </c>
      <c r="K21" s="118">
        <v>46042</v>
      </c>
      <c r="L21" s="114" t="s">
        <v>81</v>
      </c>
      <c r="M21" s="119">
        <v>46051</v>
      </c>
      <c r="N21" s="128">
        <v>46051</v>
      </c>
      <c r="O21" s="120">
        <f>NETWORKDAYS.INTL(K21,N21,1,$AM$2:$AM$10)-1</f>
        <v>7</v>
      </c>
      <c r="P21" s="114" t="s">
        <v>81</v>
      </c>
      <c r="Q21" s="114" t="s">
        <v>79</v>
      </c>
      <c r="R21" s="115" t="s">
        <v>95</v>
      </c>
      <c r="S21" s="145">
        <v>2354</v>
      </c>
      <c r="T21" s="148" t="s">
        <v>196</v>
      </c>
      <c r="U21" s="147">
        <v>1</v>
      </c>
      <c r="V21" s="121">
        <v>1</v>
      </c>
      <c r="W21" s="121">
        <v>348</v>
      </c>
      <c r="X21" s="114" t="s">
        <v>84</v>
      </c>
      <c r="Y21" s="115" t="s">
        <v>85</v>
      </c>
      <c r="Z21" s="115" t="s">
        <v>86</v>
      </c>
      <c r="AA21" s="113" t="s">
        <v>87</v>
      </c>
      <c r="AB21" s="122">
        <v>231.38</v>
      </c>
      <c r="AC21" s="122">
        <f>IF(C21="DENALI", AB21*0.495, IF(C21="SCHNEIDER ELECTRIC", AB21*1.136, IF(C21="WWT", AB21*1.2, AC21)))+AB21</f>
        <v>345.91309999999999</v>
      </c>
      <c r="AD21" s="129">
        <f>AC21-AB21</f>
        <v>114.53309999999999</v>
      </c>
      <c r="AE21" s="122">
        <v>2063.11</v>
      </c>
      <c r="AF21" s="130">
        <f>AB21/U21</f>
        <v>231.38</v>
      </c>
      <c r="AG21" s="130">
        <f>AB21/V21</f>
        <v>231.38</v>
      </c>
      <c r="AH21" s="123">
        <f>AB21/S21</f>
        <v>9.8292268479184361E-2</v>
      </c>
      <c r="AI21" s="124" t="s">
        <v>106</v>
      </c>
      <c r="AJ21" s="125" t="s">
        <v>98</v>
      </c>
      <c r="AK21"/>
      <c r="AM21" s="80"/>
    </row>
    <row r="22" spans="1:39" ht="28.5" customHeight="1">
      <c r="A22" s="113" t="s">
        <v>73</v>
      </c>
      <c r="B22" s="114" t="s">
        <v>140</v>
      </c>
      <c r="C22" s="113" t="s">
        <v>35</v>
      </c>
      <c r="D22" s="113" t="s">
        <v>99</v>
      </c>
      <c r="E22" s="115" t="s">
        <v>141</v>
      </c>
      <c r="F22" s="113" t="s">
        <v>142</v>
      </c>
      <c r="G22" s="116" t="s">
        <v>197</v>
      </c>
      <c r="H22" s="79">
        <v>46048</v>
      </c>
      <c r="I22" s="114" t="s">
        <v>79</v>
      </c>
      <c r="J22" s="117" t="s">
        <v>198</v>
      </c>
      <c r="K22" s="118">
        <v>46042</v>
      </c>
      <c r="L22" s="114" t="s">
        <v>81</v>
      </c>
      <c r="M22" s="119">
        <v>46059</v>
      </c>
      <c r="N22" s="128">
        <v>46059</v>
      </c>
      <c r="O22" s="120">
        <f>NETWORKDAYS.INTL(K22,N22,1,$AM$2:$AM$10)-1</f>
        <v>13</v>
      </c>
      <c r="P22" s="114" t="s">
        <v>81</v>
      </c>
      <c r="Q22" s="114" t="s">
        <v>79</v>
      </c>
      <c r="R22" s="115" t="s">
        <v>199</v>
      </c>
      <c r="S22" s="145">
        <v>2403</v>
      </c>
      <c r="T22" s="148" t="s">
        <v>200</v>
      </c>
      <c r="U22" s="147">
        <v>1</v>
      </c>
      <c r="V22" s="121">
        <v>1630</v>
      </c>
      <c r="W22" s="121">
        <v>670</v>
      </c>
      <c r="X22" s="114" t="s">
        <v>84</v>
      </c>
      <c r="Y22" s="115" t="s">
        <v>85</v>
      </c>
      <c r="Z22" s="115" t="s">
        <v>86</v>
      </c>
      <c r="AA22" s="113" t="s">
        <v>87</v>
      </c>
      <c r="AB22" s="122">
        <v>376.16</v>
      </c>
      <c r="AC22" s="122">
        <f>IF(C22="DENALI", AB22*0.495, IF(C22="SCHNEIDER ELECTRIC", AB22*1.136, IF(C22="WWT", AB22*1.2, AC22)))+AB22</f>
        <v>562.3592000000001</v>
      </c>
      <c r="AD22" s="129">
        <f>AC22-AB22</f>
        <v>186.19920000000008</v>
      </c>
      <c r="AE22" s="122">
        <v>116447.2</v>
      </c>
      <c r="AF22" s="130">
        <f>AB22/U22</f>
        <v>376.16</v>
      </c>
      <c r="AG22" s="130">
        <f>AB22/V22</f>
        <v>0.23077300613496934</v>
      </c>
      <c r="AH22" s="123">
        <f>AB22/S22</f>
        <v>0.15653766125676238</v>
      </c>
      <c r="AI22" s="124" t="s">
        <v>155</v>
      </c>
      <c r="AJ22" s="125" t="s">
        <v>121</v>
      </c>
      <c r="AK22"/>
      <c r="AM22" s="80"/>
    </row>
    <row r="23" spans="1:39" ht="28.5" customHeight="1">
      <c r="A23" s="113" t="s">
        <v>73</v>
      </c>
      <c r="B23" s="114" t="s">
        <v>74</v>
      </c>
      <c r="C23" s="113" t="s">
        <v>35</v>
      </c>
      <c r="D23" s="113" t="s">
        <v>99</v>
      </c>
      <c r="E23" s="115" t="s">
        <v>201</v>
      </c>
      <c r="F23" s="113" t="s">
        <v>99</v>
      </c>
      <c r="G23" s="116" t="s">
        <v>202</v>
      </c>
      <c r="H23" s="79">
        <v>46048</v>
      </c>
      <c r="I23" s="114" t="s">
        <v>79</v>
      </c>
      <c r="J23" s="117" t="s">
        <v>203</v>
      </c>
      <c r="K23" s="118">
        <v>46044</v>
      </c>
      <c r="L23" s="114" t="s">
        <v>81</v>
      </c>
      <c r="M23" s="119">
        <v>46045</v>
      </c>
      <c r="N23" s="128">
        <v>46045</v>
      </c>
      <c r="O23" s="120">
        <f>NETWORKDAYS.INTL(K23,N23,1,$AM$2:$AM$10)-1</f>
        <v>1</v>
      </c>
      <c r="P23" s="114" t="s">
        <v>81</v>
      </c>
      <c r="Q23" s="114" t="s">
        <v>79</v>
      </c>
      <c r="R23" s="115" t="s">
        <v>95</v>
      </c>
      <c r="S23" s="145">
        <v>37</v>
      </c>
      <c r="T23" s="148" t="s">
        <v>204</v>
      </c>
      <c r="U23" s="147">
        <v>6</v>
      </c>
      <c r="V23" s="121">
        <v>154</v>
      </c>
      <c r="W23" s="121">
        <v>5100</v>
      </c>
      <c r="X23" s="114" t="s">
        <v>84</v>
      </c>
      <c r="Y23" s="115" t="s">
        <v>85</v>
      </c>
      <c r="Z23" s="115" t="s">
        <v>154</v>
      </c>
      <c r="AA23" s="113" t="s">
        <v>87</v>
      </c>
      <c r="AB23" s="122">
        <v>443.12</v>
      </c>
      <c r="AC23" s="122">
        <f>IF(C23="DENALI", AB23*0.495, IF(C23="SCHNEIDER ELECTRIC", AB23*1.136, IF(C23="WWT", AB23*1.2, AC23)))+AB23</f>
        <v>662.46440000000007</v>
      </c>
      <c r="AD23" s="129">
        <f>AC23-AB23</f>
        <v>219.34440000000006</v>
      </c>
      <c r="AE23" s="122">
        <v>80615.34</v>
      </c>
      <c r="AF23" s="130">
        <f>AB23/U23</f>
        <v>73.853333333333339</v>
      </c>
      <c r="AG23" s="130">
        <f>AB23/V23</f>
        <v>2.8774025974025976</v>
      </c>
      <c r="AH23" s="123">
        <f>AB23/S23</f>
        <v>11.976216216216216</v>
      </c>
      <c r="AI23" s="124" t="s">
        <v>147</v>
      </c>
      <c r="AJ23" s="125" t="s">
        <v>205</v>
      </c>
      <c r="AK23"/>
      <c r="AM23" s="80"/>
    </row>
    <row r="24" spans="1:39" ht="28.5" customHeight="1">
      <c r="A24" s="113" t="s">
        <v>73</v>
      </c>
      <c r="B24" s="114" t="s">
        <v>74</v>
      </c>
      <c r="C24" s="113" t="s">
        <v>35</v>
      </c>
      <c r="D24" s="113" t="s">
        <v>99</v>
      </c>
      <c r="E24" s="115" t="s">
        <v>206</v>
      </c>
      <c r="F24" s="113" t="s">
        <v>207</v>
      </c>
      <c r="G24" s="116">
        <v>21166451</v>
      </c>
      <c r="H24" s="79">
        <v>46048</v>
      </c>
      <c r="I24" s="114" t="s">
        <v>79</v>
      </c>
      <c r="J24" s="117" t="s">
        <v>208</v>
      </c>
      <c r="K24" s="118">
        <v>46044</v>
      </c>
      <c r="L24" s="114" t="s">
        <v>81</v>
      </c>
      <c r="M24" s="119">
        <v>46046</v>
      </c>
      <c r="N24" s="128">
        <v>46046</v>
      </c>
      <c r="O24" s="120">
        <f>NETWORKDAYS.INTL(K24,N24,1,$AM$2:$AM$10)-1</f>
        <v>1</v>
      </c>
      <c r="P24" s="114" t="s">
        <v>81</v>
      </c>
      <c r="Q24" s="114" t="s">
        <v>79</v>
      </c>
      <c r="R24" s="115" t="s">
        <v>95</v>
      </c>
      <c r="S24" s="145">
        <v>2352</v>
      </c>
      <c r="T24" s="148" t="s">
        <v>209</v>
      </c>
      <c r="U24" s="147">
        <v>14</v>
      </c>
      <c r="V24" s="121">
        <v>336</v>
      </c>
      <c r="W24" s="121">
        <v>12000</v>
      </c>
      <c r="X24" s="114" t="s">
        <v>113</v>
      </c>
      <c r="Y24" s="115" t="s">
        <v>85</v>
      </c>
      <c r="Z24" s="115" t="s">
        <v>210</v>
      </c>
      <c r="AA24" s="113" t="s">
        <v>87</v>
      </c>
      <c r="AB24" s="122">
        <v>4877.46</v>
      </c>
      <c r="AC24" s="122">
        <f>IF(C24="DENALI", AB24*0.495, IF(C24="SCHNEIDER ELECTRIC", AB24*1.136, IF(C24="WWT", AB24*1.2, AC24)))+AB24</f>
        <v>7291.8027000000002</v>
      </c>
      <c r="AD24" s="129">
        <f>AC24-AB24</f>
        <v>2414.3427000000001</v>
      </c>
      <c r="AE24" s="122">
        <v>175329.42</v>
      </c>
      <c r="AF24" s="130">
        <f>AB24/U24</f>
        <v>348.39</v>
      </c>
      <c r="AG24" s="130">
        <f>AB24/V24</f>
        <v>14.516249999999999</v>
      </c>
      <c r="AH24" s="123">
        <f>AB24/S24</f>
        <v>2.07375</v>
      </c>
      <c r="AI24" s="124" t="s">
        <v>97</v>
      </c>
      <c r="AJ24" s="125" t="s">
        <v>211</v>
      </c>
      <c r="AK24"/>
      <c r="AM24" s="80"/>
    </row>
    <row r="25" spans="1:39" ht="28.5" customHeight="1">
      <c r="A25" s="113" t="s">
        <v>73</v>
      </c>
      <c r="B25" s="114" t="s">
        <v>74</v>
      </c>
      <c r="C25" s="113" t="s">
        <v>36</v>
      </c>
      <c r="D25" s="113" t="s">
        <v>75</v>
      </c>
      <c r="E25" s="115" t="s">
        <v>212</v>
      </c>
      <c r="F25" s="113" t="s">
        <v>213</v>
      </c>
      <c r="G25" s="116" t="s">
        <v>214</v>
      </c>
      <c r="H25" s="79">
        <v>46049</v>
      </c>
      <c r="I25" s="114" t="s">
        <v>79</v>
      </c>
      <c r="J25" s="117" t="s">
        <v>215</v>
      </c>
      <c r="K25" s="118">
        <v>46045</v>
      </c>
      <c r="L25" s="114" t="s">
        <v>81</v>
      </c>
      <c r="M25" s="119">
        <v>46050</v>
      </c>
      <c r="N25" s="128">
        <v>46050</v>
      </c>
      <c r="O25" s="120">
        <f>NETWORKDAYS.INTL(K25,N25,1,$AM$2:$AM$10)-1</f>
        <v>3</v>
      </c>
      <c r="P25" s="114" t="s">
        <v>81</v>
      </c>
      <c r="Q25" s="114" t="s">
        <v>79</v>
      </c>
      <c r="R25" s="115" t="s">
        <v>95</v>
      </c>
      <c r="S25" s="145">
        <v>377</v>
      </c>
      <c r="T25" s="148" t="s">
        <v>216</v>
      </c>
      <c r="U25" s="147">
        <v>1</v>
      </c>
      <c r="V25" s="121">
        <v>7</v>
      </c>
      <c r="W25" s="121">
        <v>579</v>
      </c>
      <c r="X25" s="114" t="s">
        <v>84</v>
      </c>
      <c r="Y25" s="115" t="s">
        <v>85</v>
      </c>
      <c r="Z25" s="115" t="s">
        <v>86</v>
      </c>
      <c r="AA25" s="113" t="s">
        <v>87</v>
      </c>
      <c r="AB25" s="122">
        <v>188.15</v>
      </c>
      <c r="AC25" s="122">
        <f>IF(C25="DENALI", AB25*0.495, IF(C25="SCHNEIDER ELECTRIC", AB25*1.136, IF(C25="WWT", AB25*1.2, AC25)))+AB25</f>
        <v>401.88839999999999</v>
      </c>
      <c r="AD25" s="129">
        <f>AC25-AB25</f>
        <v>213.73839999999998</v>
      </c>
      <c r="AE25" s="122">
        <v>3342.43</v>
      </c>
      <c r="AF25" s="130">
        <f>AB25/U25</f>
        <v>188.15</v>
      </c>
      <c r="AG25" s="130">
        <f>AB25/V25</f>
        <v>26.87857142857143</v>
      </c>
      <c r="AH25" s="123">
        <f>AB25/S25</f>
        <v>0.49907161803713529</v>
      </c>
      <c r="AI25" s="124" t="s">
        <v>97</v>
      </c>
      <c r="AJ25" s="125" t="s">
        <v>98</v>
      </c>
      <c r="AK25"/>
      <c r="AM25" s="80"/>
    </row>
    <row r="26" spans="1:39" ht="28.5" customHeight="1">
      <c r="A26" s="113" t="s">
        <v>73</v>
      </c>
      <c r="B26" s="114" t="s">
        <v>74</v>
      </c>
      <c r="C26" s="113" t="s">
        <v>36</v>
      </c>
      <c r="D26" s="113" t="s">
        <v>75</v>
      </c>
      <c r="E26" s="115" t="s">
        <v>217</v>
      </c>
      <c r="F26" s="113" t="s">
        <v>218</v>
      </c>
      <c r="G26" s="116" t="s">
        <v>219</v>
      </c>
      <c r="H26" s="79">
        <v>46050</v>
      </c>
      <c r="I26" s="114" t="s">
        <v>79</v>
      </c>
      <c r="J26" s="117" t="s">
        <v>220</v>
      </c>
      <c r="K26" s="118">
        <v>46045</v>
      </c>
      <c r="L26" s="114" t="s">
        <v>81</v>
      </c>
      <c r="M26" s="119">
        <v>46051</v>
      </c>
      <c r="N26" s="128">
        <v>46051</v>
      </c>
      <c r="O26" s="120">
        <f>NETWORKDAYS.INTL(K26,N26,1,$AM$2:$AM$10)-1</f>
        <v>4</v>
      </c>
      <c r="P26" s="114" t="s">
        <v>81</v>
      </c>
      <c r="Q26" s="114" t="s">
        <v>79</v>
      </c>
      <c r="R26" s="115" t="s">
        <v>95</v>
      </c>
      <c r="S26" s="145">
        <v>570</v>
      </c>
      <c r="T26" s="148" t="s">
        <v>221</v>
      </c>
      <c r="U26" s="147">
        <v>1</v>
      </c>
      <c r="V26" s="121">
        <v>4</v>
      </c>
      <c r="W26" s="121">
        <v>639</v>
      </c>
      <c r="X26" s="114" t="s">
        <v>84</v>
      </c>
      <c r="Y26" s="115" t="s">
        <v>85</v>
      </c>
      <c r="Z26" s="115" t="s">
        <v>222</v>
      </c>
      <c r="AA26" s="113" t="s">
        <v>87</v>
      </c>
      <c r="AB26" s="122">
        <v>148.91</v>
      </c>
      <c r="AC26" s="122">
        <f>IF(C26="DENALI", AB26*0.495, IF(C26="SCHNEIDER ELECTRIC", AB26*1.136, IF(C26="WWT", AB26*1.2, AC26)))+AB26</f>
        <v>318.07175999999998</v>
      </c>
      <c r="AD26" s="129">
        <f>AC26-AB26</f>
        <v>169.16175999999999</v>
      </c>
      <c r="AE26" s="122">
        <v>17418.240000000002</v>
      </c>
      <c r="AF26" s="130">
        <f>AB26/U26</f>
        <v>148.91</v>
      </c>
      <c r="AG26" s="130">
        <f>AB26/V26</f>
        <v>37.227499999999999</v>
      </c>
      <c r="AH26" s="123">
        <f>AB26/S26</f>
        <v>0.26124561403508773</v>
      </c>
      <c r="AI26" s="124" t="s">
        <v>88</v>
      </c>
      <c r="AJ26" s="125" t="s">
        <v>121</v>
      </c>
      <c r="AK26"/>
      <c r="AM26" s="80"/>
    </row>
    <row r="27" spans="1:39" ht="28.5" customHeight="1">
      <c r="A27" s="113" t="s">
        <v>73</v>
      </c>
      <c r="B27" s="114" t="s">
        <v>140</v>
      </c>
      <c r="C27" s="113" t="s">
        <v>36</v>
      </c>
      <c r="D27" s="113" t="s">
        <v>75</v>
      </c>
      <c r="E27" s="115" t="s">
        <v>141</v>
      </c>
      <c r="F27" s="113" t="s">
        <v>142</v>
      </c>
      <c r="G27" s="116" t="s">
        <v>223</v>
      </c>
      <c r="H27" s="79">
        <v>46052</v>
      </c>
      <c r="I27" s="114" t="s">
        <v>79</v>
      </c>
      <c r="J27" s="117" t="s">
        <v>224</v>
      </c>
      <c r="K27" s="118">
        <v>46049</v>
      </c>
      <c r="L27" s="114" t="s">
        <v>81</v>
      </c>
      <c r="M27" s="119">
        <v>46056</v>
      </c>
      <c r="N27" s="128">
        <v>46056</v>
      </c>
      <c r="O27" s="120">
        <f>NETWORKDAYS.INTL(K27,N27,1,$AM$2:$AM$10)-1</f>
        <v>5</v>
      </c>
      <c r="P27" s="114" t="s">
        <v>81</v>
      </c>
      <c r="Q27" s="114" t="s">
        <v>79</v>
      </c>
      <c r="R27" s="115" t="s">
        <v>225</v>
      </c>
      <c r="S27" s="145">
        <v>735</v>
      </c>
      <c r="T27" s="148" t="s">
        <v>226</v>
      </c>
      <c r="U27" s="147">
        <v>1</v>
      </c>
      <c r="V27" s="121">
        <v>3</v>
      </c>
      <c r="W27" s="121">
        <v>366</v>
      </c>
      <c r="X27" s="114" t="s">
        <v>84</v>
      </c>
      <c r="Y27" s="115" t="s">
        <v>85</v>
      </c>
      <c r="Z27" s="115" t="s">
        <v>154</v>
      </c>
      <c r="AA27" s="113" t="s">
        <v>87</v>
      </c>
      <c r="AB27" s="122">
        <v>214.8</v>
      </c>
      <c r="AC27" s="122">
        <f>IF(C27="DENALI", AB27*0.495, IF(C27="SCHNEIDER ELECTRIC", AB27*1.136, IF(C27="WWT", AB27*1.2, AC27)))+AB27</f>
        <v>458.81280000000004</v>
      </c>
      <c r="AD27" s="129">
        <f>AC27-AB27</f>
        <v>244.01280000000003</v>
      </c>
      <c r="AE27" s="122">
        <v>10438.64</v>
      </c>
      <c r="AF27" s="130">
        <f>AB27/U27</f>
        <v>214.8</v>
      </c>
      <c r="AG27" s="130">
        <f>AB27/V27</f>
        <v>71.600000000000009</v>
      </c>
      <c r="AH27" s="123">
        <f>AB27/S27</f>
        <v>0.29224489795918368</v>
      </c>
      <c r="AI27" s="124" t="s">
        <v>183</v>
      </c>
      <c r="AJ27" s="125" t="s">
        <v>121</v>
      </c>
      <c r="AK27"/>
      <c r="AM27" s="80"/>
    </row>
    <row r="28" spans="1:39" ht="28.5" customHeight="1">
      <c r="A28" s="113" t="s">
        <v>73</v>
      </c>
      <c r="B28" s="114" t="s">
        <v>74</v>
      </c>
      <c r="C28" s="113" t="s">
        <v>227</v>
      </c>
      <c r="D28" s="113" t="s">
        <v>228</v>
      </c>
      <c r="E28" s="115" t="s">
        <v>229</v>
      </c>
      <c r="F28" s="113" t="s">
        <v>218</v>
      </c>
      <c r="G28" s="116" t="s">
        <v>230</v>
      </c>
      <c r="H28" s="79">
        <v>46052</v>
      </c>
      <c r="I28" s="114" t="s">
        <v>79</v>
      </c>
      <c r="J28" s="117" t="s">
        <v>231</v>
      </c>
      <c r="K28" s="118">
        <v>46051</v>
      </c>
      <c r="L28" s="114" t="s">
        <v>79</v>
      </c>
      <c r="M28" s="119">
        <v>46052</v>
      </c>
      <c r="N28" s="128">
        <v>46052</v>
      </c>
      <c r="O28" s="120">
        <f>NETWORKDAYS.INTL(K28,N28,1,$AM$2:$AM$10)-1</f>
        <v>1</v>
      </c>
      <c r="P28" s="114" t="s">
        <v>81</v>
      </c>
      <c r="Q28" s="114" t="s">
        <v>79</v>
      </c>
      <c r="R28" s="115" t="s">
        <v>232</v>
      </c>
      <c r="S28" s="145">
        <v>275</v>
      </c>
      <c r="T28" s="148" t="s">
        <v>233</v>
      </c>
      <c r="U28" s="147">
        <v>1</v>
      </c>
      <c r="V28" s="121">
        <v>75</v>
      </c>
      <c r="W28" s="121">
        <v>235</v>
      </c>
      <c r="X28" s="114" t="s">
        <v>84</v>
      </c>
      <c r="Y28" s="115" t="s">
        <v>85</v>
      </c>
      <c r="Z28" s="115" t="s">
        <v>234</v>
      </c>
      <c r="AA28" s="113" t="s">
        <v>87</v>
      </c>
      <c r="AB28" s="122">
        <v>144.66</v>
      </c>
      <c r="AC28" s="122">
        <f>IF(C28="DENALI", AB28*0.495, IF(C28="SCHNEIDER ELECTRIC", AB28*1.136, IF(C28="WWT", AB28*1.2, AC28)))+AB28</f>
        <v>318.25199999999995</v>
      </c>
      <c r="AD28" s="129">
        <f>AC28-AB28</f>
        <v>173.59199999999996</v>
      </c>
      <c r="AE28" s="122">
        <v>43839.75</v>
      </c>
      <c r="AF28" s="130">
        <f>AB28/U28</f>
        <v>144.66</v>
      </c>
      <c r="AG28" s="130">
        <f>AB28/V28</f>
        <v>1.9287999999999998</v>
      </c>
      <c r="AH28" s="123">
        <f>AB28/S28</f>
        <v>0.52603636363636364</v>
      </c>
      <c r="AI28" s="124" t="s">
        <v>115</v>
      </c>
      <c r="AJ28" s="125" t="s">
        <v>235</v>
      </c>
      <c r="AK28"/>
      <c r="AM28" s="80"/>
    </row>
    <row r="29" spans="1:39" ht="28.5" customHeight="1">
      <c r="A29" s="113" t="s">
        <v>73</v>
      </c>
      <c r="B29" s="114" t="s">
        <v>140</v>
      </c>
      <c r="C29" s="113" t="s">
        <v>35</v>
      </c>
      <c r="D29" s="113" t="s">
        <v>218</v>
      </c>
      <c r="E29" s="115" t="s">
        <v>141</v>
      </c>
      <c r="F29" s="113" t="s">
        <v>142</v>
      </c>
      <c r="G29" s="116" t="s">
        <v>236</v>
      </c>
      <c r="H29" s="79">
        <v>46055</v>
      </c>
      <c r="I29" s="114" t="s">
        <v>79</v>
      </c>
      <c r="J29" s="117" t="s">
        <v>237</v>
      </c>
      <c r="K29" s="118">
        <v>46050</v>
      </c>
      <c r="L29" s="114" t="s">
        <v>81</v>
      </c>
      <c r="M29" s="119">
        <v>46059</v>
      </c>
      <c r="N29" s="128">
        <v>46059</v>
      </c>
      <c r="O29" s="120">
        <f>NETWORKDAYS.INTL(K29,N29,1,$AM$2:$AM$10)-1</f>
        <v>7</v>
      </c>
      <c r="P29" s="114" t="s">
        <v>81</v>
      </c>
      <c r="Q29" s="114" t="s">
        <v>79</v>
      </c>
      <c r="R29" s="115" t="s">
        <v>238</v>
      </c>
      <c r="S29" s="145">
        <v>441</v>
      </c>
      <c r="T29" s="148" t="s">
        <v>239</v>
      </c>
      <c r="U29" s="147">
        <v>2</v>
      </c>
      <c r="V29" s="121">
        <v>2</v>
      </c>
      <c r="W29" s="121">
        <v>760</v>
      </c>
      <c r="X29" s="114" t="s">
        <v>84</v>
      </c>
      <c r="Y29" s="115" t="s">
        <v>85</v>
      </c>
      <c r="Z29" s="115" t="s">
        <v>86</v>
      </c>
      <c r="AA29" s="113" t="s">
        <v>87</v>
      </c>
      <c r="AB29" s="122">
        <v>395.44</v>
      </c>
      <c r="AC29" s="122">
        <f>IF(C29="DENALI", AB29*0.495, IF(C29="SCHNEIDER ELECTRIC", AB29*1.136, IF(C29="WWT", AB29*1.2, AC29)))+AB29</f>
        <v>591.18280000000004</v>
      </c>
      <c r="AD29" s="129">
        <f>AC29-AB29</f>
        <v>195.74280000000005</v>
      </c>
      <c r="AE29" s="122">
        <v>13567.3</v>
      </c>
      <c r="AF29" s="130">
        <f>AB29/U29</f>
        <v>197.72</v>
      </c>
      <c r="AG29" s="130">
        <f>AB29/V29</f>
        <v>197.72</v>
      </c>
      <c r="AH29" s="123">
        <f>AB29/S29</f>
        <v>0.89668934240362808</v>
      </c>
      <c r="AI29" s="124" t="s">
        <v>240</v>
      </c>
      <c r="AJ29" s="125" t="s">
        <v>241</v>
      </c>
      <c r="AK29"/>
      <c r="AM29" s="80"/>
    </row>
    <row r="30" spans="1:39" ht="28.5" customHeight="1">
      <c r="A30" s="113" t="s">
        <v>73</v>
      </c>
      <c r="B30" s="114" t="s">
        <v>74</v>
      </c>
      <c r="C30" s="113" t="s">
        <v>35</v>
      </c>
      <c r="D30" s="113" t="s">
        <v>99</v>
      </c>
      <c r="E30" s="115" t="s">
        <v>242</v>
      </c>
      <c r="F30" s="113" t="s">
        <v>243</v>
      </c>
      <c r="G30" s="116">
        <v>21514652</v>
      </c>
      <c r="H30" s="79">
        <v>46055</v>
      </c>
      <c r="I30" s="114" t="s">
        <v>79</v>
      </c>
      <c r="J30" s="117" t="s">
        <v>244</v>
      </c>
      <c r="K30" s="118">
        <v>46051</v>
      </c>
      <c r="L30" s="114" t="s">
        <v>81</v>
      </c>
      <c r="M30" s="119">
        <v>46056</v>
      </c>
      <c r="N30" s="128">
        <v>46056</v>
      </c>
      <c r="O30" s="120">
        <f>NETWORKDAYS.INTL(K30,N30,1,$AM$2:$AM$10)-1</f>
        <v>3</v>
      </c>
      <c r="P30" s="114" t="s">
        <v>81</v>
      </c>
      <c r="Q30" s="114" t="s">
        <v>79</v>
      </c>
      <c r="R30" s="115" t="s">
        <v>95</v>
      </c>
      <c r="S30" s="145">
        <v>2841</v>
      </c>
      <c r="T30" s="148" t="s">
        <v>245</v>
      </c>
      <c r="U30" s="147">
        <v>2</v>
      </c>
      <c r="V30" s="121">
        <v>20</v>
      </c>
      <c r="W30" s="121">
        <v>535</v>
      </c>
      <c r="X30" s="114" t="s">
        <v>113</v>
      </c>
      <c r="Y30" s="115" t="s">
        <v>85</v>
      </c>
      <c r="Z30" s="115" t="s">
        <v>246</v>
      </c>
      <c r="AA30" s="113" t="s">
        <v>87</v>
      </c>
      <c r="AB30" s="122">
        <v>6500</v>
      </c>
      <c r="AC30" s="122">
        <f>IF(C30="DENALI", AB30*0.495, IF(C30="SCHNEIDER ELECTRIC", AB30*1.136, IF(C30="WWT", AB30*1.2, AC30)))+AB30</f>
        <v>9717.5</v>
      </c>
      <c r="AD30" s="129">
        <f>AC30-AB30</f>
        <v>3217.5</v>
      </c>
      <c r="AE30" s="122">
        <v>10729.49</v>
      </c>
      <c r="AF30" s="130">
        <f>AB30/U30</f>
        <v>3250</v>
      </c>
      <c r="AG30" s="130">
        <f>AB30/V30</f>
        <v>325</v>
      </c>
      <c r="AH30" s="123">
        <f>AB30/S30</f>
        <v>2.2879267863428372</v>
      </c>
      <c r="AI30" s="124" t="s">
        <v>97</v>
      </c>
      <c r="AJ30" s="125" t="s">
        <v>247</v>
      </c>
      <c r="AK30"/>
      <c r="AM30" s="80"/>
    </row>
    <row r="31" spans="1:39" ht="28.5" customHeight="1">
      <c r="A31" s="113" t="s">
        <v>73</v>
      </c>
      <c r="B31" s="114" t="s">
        <v>74</v>
      </c>
      <c r="C31" s="113" t="s">
        <v>35</v>
      </c>
      <c r="D31" s="113" t="s">
        <v>99</v>
      </c>
      <c r="E31" s="115" t="s">
        <v>248</v>
      </c>
      <c r="F31" s="113" t="s">
        <v>189</v>
      </c>
      <c r="G31" s="116">
        <v>21508418</v>
      </c>
      <c r="H31" s="79">
        <v>46055</v>
      </c>
      <c r="I31" s="114" t="s">
        <v>79</v>
      </c>
      <c r="J31" s="117" t="s">
        <v>249</v>
      </c>
      <c r="K31" s="118">
        <v>46051</v>
      </c>
      <c r="L31" s="114" t="s">
        <v>81</v>
      </c>
      <c r="M31" s="119">
        <v>46052</v>
      </c>
      <c r="N31" s="128">
        <v>46052</v>
      </c>
      <c r="O31" s="120">
        <f>NETWORKDAYS.INTL(K31,N31,1,$AM$2:$AM$10)-1</f>
        <v>1</v>
      </c>
      <c r="P31" s="114" t="s">
        <v>81</v>
      </c>
      <c r="Q31" s="114" t="s">
        <v>79</v>
      </c>
      <c r="R31" s="115" t="s">
        <v>95</v>
      </c>
      <c r="S31" s="145">
        <v>837</v>
      </c>
      <c r="T31" s="148" t="s">
        <v>250</v>
      </c>
      <c r="U31" s="147">
        <v>10</v>
      </c>
      <c r="V31" s="121">
        <v>237</v>
      </c>
      <c r="W31" s="121">
        <v>8500</v>
      </c>
      <c r="X31" s="114" t="s">
        <v>113</v>
      </c>
      <c r="Y31" s="115" t="s">
        <v>85</v>
      </c>
      <c r="Z31" s="115" t="s">
        <v>251</v>
      </c>
      <c r="AA31" s="113" t="s">
        <v>87</v>
      </c>
      <c r="AB31" s="122">
        <v>1921.34</v>
      </c>
      <c r="AC31" s="122">
        <f>IF(C31="DENALI", AB31*0.495, IF(C31="SCHNEIDER ELECTRIC", AB31*1.136, IF(C31="WWT", AB31*1.2, AC31)))+AB31</f>
        <v>2872.4032999999999</v>
      </c>
      <c r="AD31" s="129">
        <f>AC31-AB31</f>
        <v>951.06330000000003</v>
      </c>
      <c r="AE31" s="122">
        <v>129164.97</v>
      </c>
      <c r="AF31" s="130">
        <f>AB31/U31</f>
        <v>192.13399999999999</v>
      </c>
      <c r="AG31" s="130">
        <f>AB31/V31</f>
        <v>8.1069198312236281</v>
      </c>
      <c r="AH31" s="123">
        <f>AB31/S31</f>
        <v>2.2955077658303464</v>
      </c>
      <c r="AI31" s="124" t="s">
        <v>147</v>
      </c>
      <c r="AJ31" s="125" t="s">
        <v>252</v>
      </c>
      <c r="AK31"/>
      <c r="AM31" s="80"/>
    </row>
    <row r="32" spans="1:39" ht="28.5" customHeight="1">
      <c r="A32" s="113" t="s">
        <v>73</v>
      </c>
      <c r="B32" s="114" t="s">
        <v>74</v>
      </c>
      <c r="C32" s="113" t="s">
        <v>35</v>
      </c>
      <c r="D32" s="113" t="s">
        <v>218</v>
      </c>
      <c r="E32" s="115" t="s">
        <v>253</v>
      </c>
      <c r="F32" s="113" t="s">
        <v>254</v>
      </c>
      <c r="G32" s="116" t="s">
        <v>255</v>
      </c>
      <c r="H32" s="79">
        <v>46056</v>
      </c>
      <c r="I32" s="114" t="s">
        <v>79</v>
      </c>
      <c r="J32" s="117" t="s">
        <v>256</v>
      </c>
      <c r="K32" s="118">
        <v>46051</v>
      </c>
      <c r="L32" s="114" t="s">
        <v>81</v>
      </c>
      <c r="M32" s="119">
        <v>46056</v>
      </c>
      <c r="N32" s="128">
        <v>46056</v>
      </c>
      <c r="O32" s="120">
        <f>NETWORKDAYS.INTL(K32,N32,1,$AM$2:$AM$10)-1</f>
        <v>3</v>
      </c>
      <c r="P32" s="114" t="s">
        <v>81</v>
      </c>
      <c r="Q32" s="114" t="s">
        <v>79</v>
      </c>
      <c r="R32" s="115" t="s">
        <v>95</v>
      </c>
      <c r="S32" s="145">
        <v>640</v>
      </c>
      <c r="T32" s="148" t="s">
        <v>257</v>
      </c>
      <c r="U32" s="147">
        <v>1</v>
      </c>
      <c r="V32" s="121">
        <v>20</v>
      </c>
      <c r="W32" s="121">
        <v>350</v>
      </c>
      <c r="X32" s="114" t="s">
        <v>84</v>
      </c>
      <c r="Y32" s="115" t="s">
        <v>85</v>
      </c>
      <c r="Z32" s="115" t="s">
        <v>86</v>
      </c>
      <c r="AA32" s="113" t="s">
        <v>87</v>
      </c>
      <c r="AB32" s="122">
        <v>414.39</v>
      </c>
      <c r="AC32" s="122">
        <f>IF(C32="DENALI", AB32*0.495, IF(C32="SCHNEIDER ELECTRIC", AB32*1.136, IF(C32="WWT", AB32*1.2, AC32)))+AB32</f>
        <v>619.51305000000002</v>
      </c>
      <c r="AD32" s="129">
        <f>AC32-AB32</f>
        <v>205.12305000000003</v>
      </c>
      <c r="AE32" s="122">
        <v>1855</v>
      </c>
      <c r="AF32" s="130">
        <f>AB32/U32</f>
        <v>414.39</v>
      </c>
      <c r="AG32" s="130">
        <f>AB32/V32</f>
        <v>20.7195</v>
      </c>
      <c r="AH32" s="123">
        <f>AB32/S32</f>
        <v>0.647484375</v>
      </c>
      <c r="AI32" s="124" t="s">
        <v>155</v>
      </c>
      <c r="AJ32" s="125" t="s">
        <v>258</v>
      </c>
      <c r="AK32"/>
      <c r="AM32" s="80"/>
    </row>
    <row r="33" spans="1:39" ht="28.5" customHeight="1">
      <c r="A33" s="113" t="s">
        <v>73</v>
      </c>
      <c r="B33" s="114" t="s">
        <v>74</v>
      </c>
      <c r="C33" s="113" t="s">
        <v>35</v>
      </c>
      <c r="D33" s="113" t="s">
        <v>218</v>
      </c>
      <c r="E33" s="115" t="s">
        <v>259</v>
      </c>
      <c r="F33" s="113" t="s">
        <v>207</v>
      </c>
      <c r="G33" s="116" t="s">
        <v>260</v>
      </c>
      <c r="H33" s="79">
        <v>46055</v>
      </c>
      <c r="I33" s="114" t="s">
        <v>79</v>
      </c>
      <c r="J33" s="117" t="s">
        <v>261</v>
      </c>
      <c r="K33" s="118">
        <v>46052</v>
      </c>
      <c r="L33" s="114" t="s">
        <v>81</v>
      </c>
      <c r="M33" s="119">
        <v>46055</v>
      </c>
      <c r="N33" s="128">
        <v>46055</v>
      </c>
      <c r="O33" s="120">
        <f>NETWORKDAYS.INTL(K33,N33,1,$AM$2:$AM$10)-1</f>
        <v>1</v>
      </c>
      <c r="P33" s="114" t="s">
        <v>81</v>
      </c>
      <c r="Q33" s="114" t="s">
        <v>79</v>
      </c>
      <c r="R33" s="115" t="s">
        <v>95</v>
      </c>
      <c r="S33" s="145">
        <v>92</v>
      </c>
      <c r="T33" s="148" t="s">
        <v>262</v>
      </c>
      <c r="U33" s="147">
        <v>1</v>
      </c>
      <c r="V33" s="121">
        <v>6</v>
      </c>
      <c r="W33" s="121">
        <v>955</v>
      </c>
      <c r="X33" s="114" t="s">
        <v>84</v>
      </c>
      <c r="Y33" s="115" t="s">
        <v>85</v>
      </c>
      <c r="Z33" s="115" t="s">
        <v>222</v>
      </c>
      <c r="AA33" s="113" t="s">
        <v>87</v>
      </c>
      <c r="AB33" s="122">
        <v>142.88</v>
      </c>
      <c r="AC33" s="122">
        <f>IF(C33="DENALI", AB33*0.495, IF(C33="SCHNEIDER ELECTRIC", AB33*1.136, IF(C33="WWT", AB33*1.2, AC33)))+AB33</f>
        <v>213.60559999999998</v>
      </c>
      <c r="AD33" s="129">
        <f>AC33-AB33</f>
        <v>70.725599999999986</v>
      </c>
      <c r="AE33" s="122">
        <v>2594.2199999999998</v>
      </c>
      <c r="AF33" s="130">
        <f>AB33/U33</f>
        <v>142.88</v>
      </c>
      <c r="AG33" s="130">
        <f>AB33/V33</f>
        <v>23.813333333333333</v>
      </c>
      <c r="AH33" s="123">
        <f>AB33/S33</f>
        <v>1.5530434782608695</v>
      </c>
      <c r="AI33" s="124" t="s">
        <v>97</v>
      </c>
      <c r="AJ33" s="125" t="s">
        <v>263</v>
      </c>
      <c r="AK33"/>
      <c r="AM33" s="80"/>
    </row>
    <row r="34" spans="1:39" ht="28.5" customHeight="1">
      <c r="A34" s="113" t="s">
        <v>73</v>
      </c>
      <c r="B34" s="114" t="s">
        <v>74</v>
      </c>
      <c r="C34" s="113" t="s">
        <v>35</v>
      </c>
      <c r="D34" s="113" t="s">
        <v>218</v>
      </c>
      <c r="E34" s="115" t="s">
        <v>264</v>
      </c>
      <c r="F34" s="113" t="s">
        <v>265</v>
      </c>
      <c r="G34" s="116" t="s">
        <v>266</v>
      </c>
      <c r="H34" s="79">
        <v>46057</v>
      </c>
      <c r="I34" s="114" t="s">
        <v>79</v>
      </c>
      <c r="J34" s="117" t="s">
        <v>267</v>
      </c>
      <c r="K34" s="118">
        <v>46052</v>
      </c>
      <c r="L34" s="114" t="s">
        <v>81</v>
      </c>
      <c r="M34" s="119">
        <v>46056</v>
      </c>
      <c r="N34" s="128">
        <v>46056</v>
      </c>
      <c r="O34" s="120">
        <f>NETWORKDAYS.INTL(K34,N34,1,$AM$2:$AM$10)-1</f>
        <v>2</v>
      </c>
      <c r="P34" s="114" t="s">
        <v>81</v>
      </c>
      <c r="Q34" s="114" t="s">
        <v>79</v>
      </c>
      <c r="R34" s="115" t="s">
        <v>268</v>
      </c>
      <c r="S34" s="145">
        <v>758</v>
      </c>
      <c r="T34" s="148" t="s">
        <v>269</v>
      </c>
      <c r="U34" s="147">
        <v>1</v>
      </c>
      <c r="V34" s="121">
        <v>25</v>
      </c>
      <c r="W34" s="121">
        <v>230</v>
      </c>
      <c r="X34" s="114" t="s">
        <v>84</v>
      </c>
      <c r="Y34" s="115" t="s">
        <v>85</v>
      </c>
      <c r="Z34" s="115" t="s">
        <v>86</v>
      </c>
      <c r="AA34" s="113" t="s">
        <v>87</v>
      </c>
      <c r="AB34" s="122">
        <v>226.9</v>
      </c>
      <c r="AC34" s="122">
        <f>IF(C34="DENALI", AB34*0.495, IF(C34="SCHNEIDER ELECTRIC", AB34*1.136, IF(C34="WWT", AB34*1.2, AC34)))+AB34</f>
        <v>339.21550000000002</v>
      </c>
      <c r="AD34" s="129">
        <f>AC34-AB34</f>
        <v>112.31550000000001</v>
      </c>
      <c r="AE34" s="122">
        <v>8541.5</v>
      </c>
      <c r="AF34" s="130">
        <f>AB34/U34</f>
        <v>226.9</v>
      </c>
      <c r="AG34" s="130">
        <f>AB34/V34</f>
        <v>9.0760000000000005</v>
      </c>
      <c r="AH34" s="123">
        <f>AB34/S34</f>
        <v>0.29934036939313985</v>
      </c>
      <c r="AI34" s="124" t="s">
        <v>97</v>
      </c>
      <c r="AJ34" s="125" t="s">
        <v>270</v>
      </c>
      <c r="AK34"/>
      <c r="AM34" s="80"/>
    </row>
    <row r="35" spans="1:39" ht="28.5" customHeight="1">
      <c r="A35" s="113" t="s">
        <v>73</v>
      </c>
      <c r="B35" s="114" t="s">
        <v>74</v>
      </c>
      <c r="C35" s="113" t="s">
        <v>35</v>
      </c>
      <c r="D35" s="113" t="s">
        <v>218</v>
      </c>
      <c r="E35" s="115" t="s">
        <v>271</v>
      </c>
      <c r="F35" s="113" t="s">
        <v>272</v>
      </c>
      <c r="G35" s="116" t="s">
        <v>273</v>
      </c>
      <c r="H35" s="79">
        <v>46057</v>
      </c>
      <c r="I35" s="114" t="s">
        <v>79</v>
      </c>
      <c r="J35" s="117" t="s">
        <v>274</v>
      </c>
      <c r="K35" s="118">
        <v>46052</v>
      </c>
      <c r="L35" s="114" t="s">
        <v>81</v>
      </c>
      <c r="M35" s="119">
        <v>46055</v>
      </c>
      <c r="N35" s="128">
        <v>46055</v>
      </c>
      <c r="O35" s="120">
        <f>NETWORKDAYS.INTL(K35,N35,1,$AM$2:$AM$10)-1</f>
        <v>1</v>
      </c>
      <c r="P35" s="114" t="s">
        <v>81</v>
      </c>
      <c r="Q35" s="114" t="s">
        <v>79</v>
      </c>
      <c r="R35" s="115" t="s">
        <v>95</v>
      </c>
      <c r="S35" s="145">
        <v>150</v>
      </c>
      <c r="T35" s="148" t="s">
        <v>275</v>
      </c>
      <c r="U35" s="147">
        <v>1</v>
      </c>
      <c r="V35" s="121">
        <v>25</v>
      </c>
      <c r="W35" s="121">
        <v>230</v>
      </c>
      <c r="X35" s="114" t="s">
        <v>84</v>
      </c>
      <c r="Y35" s="115" t="s">
        <v>85</v>
      </c>
      <c r="Z35" s="115" t="s">
        <v>86</v>
      </c>
      <c r="AA35" s="113" t="s">
        <v>87</v>
      </c>
      <c r="AB35" s="122">
        <v>160.96</v>
      </c>
      <c r="AC35" s="122">
        <f>IF(C35="DENALI", AB35*0.495, IF(C35="SCHNEIDER ELECTRIC", AB35*1.136, IF(C35="WWT", AB35*1.2, AC35)))+AB35</f>
        <v>240.6352</v>
      </c>
      <c r="AD35" s="129">
        <f>AC35-AB35</f>
        <v>79.67519999999999</v>
      </c>
      <c r="AE35" s="122">
        <v>8541.5</v>
      </c>
      <c r="AF35" s="130">
        <f>AB35/U35</f>
        <v>160.96</v>
      </c>
      <c r="AG35" s="130">
        <f>AB35/V35</f>
        <v>6.4384000000000006</v>
      </c>
      <c r="AH35" s="123">
        <f>AB35/S35</f>
        <v>1.0730666666666666</v>
      </c>
      <c r="AI35" s="124" t="s">
        <v>97</v>
      </c>
      <c r="AJ35" s="125" t="s">
        <v>276</v>
      </c>
      <c r="AK35"/>
      <c r="AM35" s="80"/>
    </row>
    <row r="36" spans="1:39" ht="28.5" customHeight="1">
      <c r="A36" s="113" t="s">
        <v>73</v>
      </c>
      <c r="B36" s="114" t="s">
        <v>74</v>
      </c>
      <c r="C36" s="113" t="s">
        <v>35</v>
      </c>
      <c r="D36" s="113" t="s">
        <v>218</v>
      </c>
      <c r="E36" s="115" t="s">
        <v>277</v>
      </c>
      <c r="F36" s="113" t="s">
        <v>75</v>
      </c>
      <c r="G36" s="116" t="s">
        <v>278</v>
      </c>
      <c r="H36" s="79">
        <v>46057</v>
      </c>
      <c r="I36" s="114" t="s">
        <v>79</v>
      </c>
      <c r="J36" s="117" t="s">
        <v>279</v>
      </c>
      <c r="K36" s="118">
        <v>46052</v>
      </c>
      <c r="L36" s="114" t="s">
        <v>81</v>
      </c>
      <c r="M36" s="119">
        <v>46055</v>
      </c>
      <c r="N36" s="128">
        <v>46055</v>
      </c>
      <c r="O36" s="120">
        <f>NETWORKDAYS.INTL(K36,N36,1,$AM$2:$AM$10)-1</f>
        <v>1</v>
      </c>
      <c r="P36" s="114" t="s">
        <v>81</v>
      </c>
      <c r="Q36" s="114" t="s">
        <v>79</v>
      </c>
      <c r="R36" s="115" t="s">
        <v>95</v>
      </c>
      <c r="S36" s="145">
        <v>571</v>
      </c>
      <c r="T36" s="148" t="s">
        <v>280</v>
      </c>
      <c r="U36" s="147">
        <v>1</v>
      </c>
      <c r="V36" s="121">
        <v>1200</v>
      </c>
      <c r="W36" s="121">
        <v>370</v>
      </c>
      <c r="X36" s="114" t="s">
        <v>84</v>
      </c>
      <c r="Y36" s="115" t="s">
        <v>85</v>
      </c>
      <c r="Z36" s="115" t="s">
        <v>222</v>
      </c>
      <c r="AA36" s="113" t="s">
        <v>87</v>
      </c>
      <c r="AB36" s="122">
        <v>381.77</v>
      </c>
      <c r="AC36" s="122">
        <f>IF(C36="DENALI", AB36*0.495, IF(C36="SCHNEIDER ELECTRIC", AB36*1.136, IF(C36="WWT", AB36*1.2, AC36)))+AB36</f>
        <v>570.74614999999994</v>
      </c>
      <c r="AD36" s="129">
        <f>AC36-AB36</f>
        <v>188.97614999999996</v>
      </c>
      <c r="AE36" s="122">
        <v>5352</v>
      </c>
      <c r="AF36" s="130">
        <f>AB36/U36</f>
        <v>381.77</v>
      </c>
      <c r="AG36" s="130">
        <f>AB36/V36</f>
        <v>0.31814166666666666</v>
      </c>
      <c r="AH36" s="123">
        <f>AB36/S36</f>
        <v>0.66859894921190888</v>
      </c>
      <c r="AI36" s="124" t="s">
        <v>88</v>
      </c>
      <c r="AJ36" s="125" t="s">
        <v>281</v>
      </c>
      <c r="AK36"/>
      <c r="AM36" s="80"/>
    </row>
    <row r="37" spans="1:39" ht="28.5" customHeight="1">
      <c r="A37" s="113" t="s">
        <v>73</v>
      </c>
      <c r="B37" s="114" t="s">
        <v>74</v>
      </c>
      <c r="C37" s="113" t="s">
        <v>35</v>
      </c>
      <c r="D37" s="113" t="s">
        <v>218</v>
      </c>
      <c r="E37" s="115" t="s">
        <v>282</v>
      </c>
      <c r="F37" s="113" t="s">
        <v>207</v>
      </c>
      <c r="G37" s="116" t="s">
        <v>283</v>
      </c>
      <c r="H37" s="79">
        <v>46057</v>
      </c>
      <c r="I37" s="114" t="s">
        <v>79</v>
      </c>
      <c r="J37" s="117" t="s">
        <v>284</v>
      </c>
      <c r="K37" s="118">
        <v>46052</v>
      </c>
      <c r="L37" s="114" t="s">
        <v>81</v>
      </c>
      <c r="M37" s="119">
        <v>46055</v>
      </c>
      <c r="N37" s="128">
        <v>46055</v>
      </c>
      <c r="O37" s="120">
        <f>NETWORKDAYS.INTL(K37,N37,1,$AM$2:$AM$10)-1</f>
        <v>1</v>
      </c>
      <c r="P37" s="114" t="s">
        <v>81</v>
      </c>
      <c r="Q37" s="114" t="s">
        <v>79</v>
      </c>
      <c r="R37" s="115" t="s">
        <v>95</v>
      </c>
      <c r="S37" s="145">
        <v>91</v>
      </c>
      <c r="T37" s="148" t="s">
        <v>285</v>
      </c>
      <c r="U37" s="147">
        <v>1</v>
      </c>
      <c r="V37" s="121">
        <v>53</v>
      </c>
      <c r="W37" s="121">
        <v>180</v>
      </c>
      <c r="X37" s="114" t="s">
        <v>84</v>
      </c>
      <c r="Y37" s="115" t="s">
        <v>85</v>
      </c>
      <c r="Z37" s="115" t="s">
        <v>222</v>
      </c>
      <c r="AA37" s="113" t="s">
        <v>87</v>
      </c>
      <c r="AB37" s="122">
        <v>142.88</v>
      </c>
      <c r="AC37" s="122">
        <f>IF(C37="DENALI", AB37*0.495, IF(C37="SCHNEIDER ELECTRIC", AB37*1.136, IF(C37="WWT", AB37*1.2, AC37)))+AB37</f>
        <v>213.60559999999998</v>
      </c>
      <c r="AD37" s="129">
        <f>AC37-AB37</f>
        <v>70.725599999999986</v>
      </c>
      <c r="AE37" s="122">
        <v>3849.92</v>
      </c>
      <c r="AF37" s="130">
        <f>AB37/U37</f>
        <v>142.88</v>
      </c>
      <c r="AG37" s="130">
        <f>AB37/V37</f>
        <v>2.6958490566037736</v>
      </c>
      <c r="AH37" s="123">
        <f>AB37/S37</f>
        <v>1.57010989010989</v>
      </c>
      <c r="AI37" s="124" t="s">
        <v>97</v>
      </c>
      <c r="AJ37" s="125" t="s">
        <v>286</v>
      </c>
      <c r="AK37"/>
      <c r="AM37" s="80"/>
    </row>
    <row r="38" spans="1:39" ht="28.5" customHeight="1">
      <c r="A38" s="113" t="s">
        <v>73</v>
      </c>
      <c r="B38" s="114" t="s">
        <v>74</v>
      </c>
      <c r="C38" s="113" t="s">
        <v>36</v>
      </c>
      <c r="D38" s="113" t="s">
        <v>90</v>
      </c>
      <c r="E38" s="115" t="s">
        <v>287</v>
      </c>
      <c r="F38" s="113" t="s">
        <v>90</v>
      </c>
      <c r="G38" s="116" t="s">
        <v>288</v>
      </c>
      <c r="H38" s="79">
        <v>46057</v>
      </c>
      <c r="I38" s="114" t="s">
        <v>79</v>
      </c>
      <c r="J38" s="117" t="s">
        <v>289</v>
      </c>
      <c r="K38" s="118">
        <v>46051</v>
      </c>
      <c r="L38" s="114" t="s">
        <v>81</v>
      </c>
      <c r="M38" s="119">
        <v>46055</v>
      </c>
      <c r="N38" s="128">
        <v>46055</v>
      </c>
      <c r="O38" s="120">
        <f>NETWORKDAYS.INTL(K38,N38,1,$AM$2:$AM$10)-1</f>
        <v>2</v>
      </c>
      <c r="P38" s="114" t="s">
        <v>81</v>
      </c>
      <c r="Q38" s="114" t="s">
        <v>79</v>
      </c>
      <c r="R38" s="115" t="s">
        <v>95</v>
      </c>
      <c r="S38" s="145">
        <v>47</v>
      </c>
      <c r="T38" s="148" t="s">
        <v>290</v>
      </c>
      <c r="U38" s="147">
        <v>1</v>
      </c>
      <c r="V38" s="121">
        <v>4</v>
      </c>
      <c r="W38" s="121">
        <v>327</v>
      </c>
      <c r="X38" s="114" t="s">
        <v>84</v>
      </c>
      <c r="Y38" s="115" t="s">
        <v>85</v>
      </c>
      <c r="Z38" s="115" t="s">
        <v>86</v>
      </c>
      <c r="AA38" s="113" t="s">
        <v>87</v>
      </c>
      <c r="AB38" s="122">
        <v>179.14</v>
      </c>
      <c r="AC38" s="122">
        <f>IF(C38="DENALI", AB38*0.495, IF(C38="SCHNEIDER ELECTRIC", AB38*1.136, IF(C38="WWT", AB38*1.2, AC38)))+AB38</f>
        <v>382.64303999999993</v>
      </c>
      <c r="AD38" s="129">
        <f>AC38-AB38</f>
        <v>203.50303999999994</v>
      </c>
      <c r="AE38" s="122">
        <v>5617.48</v>
      </c>
      <c r="AF38" s="130">
        <f>AB38/U38</f>
        <v>179.14</v>
      </c>
      <c r="AG38" s="130">
        <f>AB38/V38</f>
        <v>44.784999999999997</v>
      </c>
      <c r="AH38" s="123">
        <f>AB38/S38</f>
        <v>3.8114893617021273</v>
      </c>
      <c r="AI38" s="124" t="s">
        <v>115</v>
      </c>
      <c r="AJ38" s="125" t="s">
        <v>121</v>
      </c>
      <c r="AK38"/>
      <c r="AM38" s="80"/>
    </row>
    <row r="39" spans="1:39" ht="28.5" customHeight="1">
      <c r="A39" s="113" t="s">
        <v>73</v>
      </c>
      <c r="B39" s="114" t="s">
        <v>74</v>
      </c>
      <c r="C39" s="113" t="s">
        <v>36</v>
      </c>
      <c r="D39" s="113" t="s">
        <v>90</v>
      </c>
      <c r="E39" s="115" t="s">
        <v>291</v>
      </c>
      <c r="F39" s="113" t="s">
        <v>292</v>
      </c>
      <c r="G39" s="116" t="s">
        <v>293</v>
      </c>
      <c r="H39" s="79">
        <v>46058</v>
      </c>
      <c r="I39" s="114" t="s">
        <v>79</v>
      </c>
      <c r="J39" s="117" t="s">
        <v>294</v>
      </c>
      <c r="K39" s="118">
        <v>46052</v>
      </c>
      <c r="L39" s="114" t="s">
        <v>81</v>
      </c>
      <c r="M39" s="119">
        <v>46057</v>
      </c>
      <c r="N39" s="128">
        <v>46057</v>
      </c>
      <c r="O39" s="120">
        <f>NETWORKDAYS.INTL(K39,N39,1,$AM$2:$AM$10)-1</f>
        <v>3</v>
      </c>
      <c r="P39" s="114" t="s">
        <v>81</v>
      </c>
      <c r="Q39" s="114" t="s">
        <v>79</v>
      </c>
      <c r="R39" s="115" t="s">
        <v>95</v>
      </c>
      <c r="S39" s="145">
        <v>998</v>
      </c>
      <c r="T39" s="148" t="s">
        <v>295</v>
      </c>
      <c r="U39" s="147">
        <v>1</v>
      </c>
      <c r="V39" s="121">
        <v>10</v>
      </c>
      <c r="W39" s="121">
        <v>427</v>
      </c>
      <c r="X39" s="114" t="s">
        <v>84</v>
      </c>
      <c r="Y39" s="115" t="s">
        <v>85</v>
      </c>
      <c r="Z39" s="115" t="s">
        <v>86</v>
      </c>
      <c r="AA39" s="113" t="s">
        <v>87</v>
      </c>
      <c r="AB39" s="122">
        <v>266.67</v>
      </c>
      <c r="AC39" s="122">
        <f>IF(C39="DENALI", AB39*0.495, IF(C39="SCHNEIDER ELECTRIC", AB39*1.136, IF(C39="WWT", AB39*1.2, AC39)))+AB39</f>
        <v>569.60712000000001</v>
      </c>
      <c r="AD39" s="129">
        <f>AC39-AB39</f>
        <v>302.93711999999999</v>
      </c>
      <c r="AE39" s="122">
        <v>5424.7</v>
      </c>
      <c r="AF39" s="130">
        <f>AB39/U39</f>
        <v>266.67</v>
      </c>
      <c r="AG39" s="130">
        <f>AB39/V39</f>
        <v>26.667000000000002</v>
      </c>
      <c r="AH39" s="123">
        <f>AB39/S39</f>
        <v>0.2672044088176353</v>
      </c>
      <c r="AI39" s="124" t="s">
        <v>97</v>
      </c>
      <c r="AJ39" s="125" t="s">
        <v>98</v>
      </c>
      <c r="AK39"/>
      <c r="AM39" s="80"/>
    </row>
    <row r="40" spans="1:39" ht="28.5" customHeight="1">
      <c r="A40" s="113" t="s">
        <v>73</v>
      </c>
      <c r="B40" s="114" t="s">
        <v>74</v>
      </c>
      <c r="C40" s="113" t="s">
        <v>35</v>
      </c>
      <c r="D40" s="113" t="s">
        <v>99</v>
      </c>
      <c r="E40" s="115" t="s">
        <v>242</v>
      </c>
      <c r="F40" s="113" t="s">
        <v>243</v>
      </c>
      <c r="G40" s="116">
        <v>21542751</v>
      </c>
      <c r="H40" s="79">
        <v>46059</v>
      </c>
      <c r="I40" s="114" t="s">
        <v>79</v>
      </c>
      <c r="J40" s="117" t="s">
        <v>296</v>
      </c>
      <c r="K40" s="118">
        <v>46055</v>
      </c>
      <c r="L40" s="114" t="s">
        <v>81</v>
      </c>
      <c r="M40" s="119">
        <v>46058</v>
      </c>
      <c r="N40" s="128">
        <v>46058</v>
      </c>
      <c r="O40" s="120">
        <f>NETWORKDAYS.INTL(K40,N40,1,$AM$2:$AM$10)-1</f>
        <v>3</v>
      </c>
      <c r="P40" s="114" t="s">
        <v>81</v>
      </c>
      <c r="Q40" s="114" t="s">
        <v>79</v>
      </c>
      <c r="R40" s="115" t="s">
        <v>95</v>
      </c>
      <c r="S40" s="145">
        <v>2841</v>
      </c>
      <c r="T40" s="148" t="s">
        <v>297</v>
      </c>
      <c r="U40" s="147">
        <v>24</v>
      </c>
      <c r="V40" s="121">
        <v>24</v>
      </c>
      <c r="W40" s="121">
        <v>20400</v>
      </c>
      <c r="X40" s="114" t="s">
        <v>113</v>
      </c>
      <c r="Y40" s="115" t="s">
        <v>85</v>
      </c>
      <c r="Z40" s="115" t="s">
        <v>298</v>
      </c>
      <c r="AA40" s="113" t="s">
        <v>87</v>
      </c>
      <c r="AB40" s="122">
        <v>7506</v>
      </c>
      <c r="AC40" s="122">
        <f>IF(C40="DENALI", AB40*0.495, IF(C40="SCHNEIDER ELECTRIC", AB40*1.136, IF(C40="WWT", AB40*1.2, AC40)))+AB40</f>
        <v>11221.47</v>
      </c>
      <c r="AD40" s="129">
        <f>AC40-AB40</f>
        <v>3715.4699999999993</v>
      </c>
      <c r="AE40" s="122">
        <v>300000</v>
      </c>
      <c r="AF40" s="130">
        <f>AB40/U40</f>
        <v>312.75</v>
      </c>
      <c r="AG40" s="130">
        <f>AB40/V40</f>
        <v>312.75</v>
      </c>
      <c r="AH40" s="123">
        <f>AB40/S40</f>
        <v>2.6420274551214362</v>
      </c>
      <c r="AI40" s="124" t="s">
        <v>97</v>
      </c>
      <c r="AJ40" s="125" t="s">
        <v>299</v>
      </c>
      <c r="AK40"/>
      <c r="AM40" s="80"/>
    </row>
    <row r="41" spans="1:39" ht="28.5" customHeight="1">
      <c r="A41" s="113" t="s">
        <v>73</v>
      </c>
      <c r="B41" s="114" t="s">
        <v>74</v>
      </c>
      <c r="C41" s="113" t="s">
        <v>35</v>
      </c>
      <c r="D41" s="113" t="s">
        <v>99</v>
      </c>
      <c r="E41" s="115" t="s">
        <v>242</v>
      </c>
      <c r="F41" s="113" t="s">
        <v>243</v>
      </c>
      <c r="G41" s="116">
        <v>21542792</v>
      </c>
      <c r="H41" s="79">
        <v>46059</v>
      </c>
      <c r="I41" s="114" t="s">
        <v>79</v>
      </c>
      <c r="J41" s="117" t="s">
        <v>300</v>
      </c>
      <c r="K41" s="118">
        <v>46055</v>
      </c>
      <c r="L41" s="114" t="s">
        <v>81</v>
      </c>
      <c r="M41" s="119">
        <v>46058</v>
      </c>
      <c r="N41" s="128">
        <v>46058</v>
      </c>
      <c r="O41" s="120">
        <f>NETWORKDAYS.INTL(K41,N41,1,$AM$2:$AM$10)-1</f>
        <v>3</v>
      </c>
      <c r="P41" s="114" t="s">
        <v>81</v>
      </c>
      <c r="Q41" s="114" t="s">
        <v>79</v>
      </c>
      <c r="R41" s="115" t="s">
        <v>95</v>
      </c>
      <c r="S41" s="145">
        <v>2841</v>
      </c>
      <c r="T41" s="148" t="s">
        <v>297</v>
      </c>
      <c r="U41" s="147">
        <v>15</v>
      </c>
      <c r="V41" s="121">
        <v>15</v>
      </c>
      <c r="W41" s="121">
        <v>12750</v>
      </c>
      <c r="X41" s="114" t="s">
        <v>113</v>
      </c>
      <c r="Y41" s="115" t="s">
        <v>85</v>
      </c>
      <c r="Z41" s="115" t="s">
        <v>301</v>
      </c>
      <c r="AA41" s="113" t="s">
        <v>87</v>
      </c>
      <c r="AB41" s="122">
        <v>7506</v>
      </c>
      <c r="AC41" s="122">
        <f>IF(C41="DENALI", AB41*0.495, IF(C41="SCHNEIDER ELECTRIC", AB41*1.136, IF(C41="WWT", AB41*1.2, AC41)))+AB41</f>
        <v>11221.47</v>
      </c>
      <c r="AD41" s="129">
        <f>AC41-AB41</f>
        <v>3715.4699999999993</v>
      </c>
      <c r="AE41" s="122">
        <v>183679.92</v>
      </c>
      <c r="AF41" s="130">
        <f>AB41/U41</f>
        <v>500.4</v>
      </c>
      <c r="AG41" s="130">
        <f>AB41/V41</f>
        <v>500.4</v>
      </c>
      <c r="AH41" s="123">
        <f>AB41/S41</f>
        <v>2.6420274551214362</v>
      </c>
      <c r="AI41" s="124" t="s">
        <v>97</v>
      </c>
      <c r="AJ41" s="125" t="s">
        <v>299</v>
      </c>
      <c r="AK41"/>
      <c r="AM41" s="80"/>
    </row>
    <row r="42" spans="1:39" ht="28.5" customHeight="1">
      <c r="A42" s="113" t="s">
        <v>73</v>
      </c>
      <c r="B42" s="114" t="s">
        <v>74</v>
      </c>
      <c r="C42" s="113" t="s">
        <v>35</v>
      </c>
      <c r="D42" s="113" t="s">
        <v>99</v>
      </c>
      <c r="E42" s="115" t="s">
        <v>302</v>
      </c>
      <c r="F42" s="113" t="s">
        <v>303</v>
      </c>
      <c r="G42" s="116">
        <v>21544682</v>
      </c>
      <c r="H42" s="79">
        <v>46063</v>
      </c>
      <c r="I42" s="114" t="s">
        <v>79</v>
      </c>
      <c r="J42" s="117" t="s">
        <v>304</v>
      </c>
      <c r="K42" s="118">
        <v>46056</v>
      </c>
      <c r="L42" s="114" t="s">
        <v>81</v>
      </c>
      <c r="M42" s="119">
        <v>46059</v>
      </c>
      <c r="N42" s="128">
        <v>46059</v>
      </c>
      <c r="O42" s="120">
        <f>NETWORKDAYS.INTL(K42,N42,1,$AM$2:$AM$10)-1</f>
        <v>3</v>
      </c>
      <c r="P42" s="114" t="s">
        <v>81</v>
      </c>
      <c r="Q42" s="114" t="s">
        <v>79</v>
      </c>
      <c r="R42" s="115" t="s">
        <v>95</v>
      </c>
      <c r="S42" s="145">
        <v>2802</v>
      </c>
      <c r="T42" s="148" t="s">
        <v>305</v>
      </c>
      <c r="U42" s="147">
        <v>14</v>
      </c>
      <c r="V42" s="121">
        <v>14</v>
      </c>
      <c r="W42" s="121">
        <v>11190</v>
      </c>
      <c r="X42" s="114" t="s">
        <v>113</v>
      </c>
      <c r="Y42" s="115" t="s">
        <v>85</v>
      </c>
      <c r="Z42" s="115" t="s">
        <v>306</v>
      </c>
      <c r="AA42" s="113" t="s">
        <v>87</v>
      </c>
      <c r="AB42" s="122">
        <v>6728.89</v>
      </c>
      <c r="AC42" s="122">
        <f>IF(C42="DENALI", AB42*0.495, IF(C42="SCHNEIDER ELECTRIC", AB42*1.136, IF(C42="WWT", AB42*1.2, AC42)))+AB42</f>
        <v>10059.690549999999</v>
      </c>
      <c r="AD42" s="129">
        <f>AC42-AB42</f>
        <v>3330.800549999999</v>
      </c>
      <c r="AE42" s="122">
        <v>175329.42</v>
      </c>
      <c r="AF42" s="130">
        <f>AB42/U42</f>
        <v>480.63500000000005</v>
      </c>
      <c r="AG42" s="130">
        <f>AB42/V42</f>
        <v>480.63500000000005</v>
      </c>
      <c r="AH42" s="123">
        <f>AB42/S42</f>
        <v>2.401459671663098</v>
      </c>
      <c r="AI42" s="124" t="s">
        <v>97</v>
      </c>
      <c r="AJ42" s="125" t="s">
        <v>307</v>
      </c>
      <c r="AK42"/>
      <c r="AM42" s="80"/>
    </row>
    <row r="43" spans="1:39" ht="45.75">
      <c r="A43" s="113" t="s">
        <v>73</v>
      </c>
      <c r="B43" s="114" t="s">
        <v>140</v>
      </c>
      <c r="C43" s="113" t="s">
        <v>36</v>
      </c>
      <c r="D43" s="113" t="s">
        <v>75</v>
      </c>
      <c r="E43" s="115" t="s">
        <v>141</v>
      </c>
      <c r="F43" s="113" t="s">
        <v>142</v>
      </c>
      <c r="G43" s="116" t="s">
        <v>308</v>
      </c>
      <c r="H43" s="79">
        <v>46062</v>
      </c>
      <c r="I43" s="114" t="s">
        <v>79</v>
      </c>
      <c r="J43" s="117" t="s">
        <v>309</v>
      </c>
      <c r="K43" s="118">
        <v>46057</v>
      </c>
      <c r="L43" s="114" t="s">
        <v>81</v>
      </c>
      <c r="M43" s="119">
        <v>46063</v>
      </c>
      <c r="N43" s="128">
        <v>46063</v>
      </c>
      <c r="O43" s="120">
        <f>NETWORKDAYS.INTL(K43,N43,1,$AM$2:$AM$10)-1</f>
        <v>4</v>
      </c>
      <c r="P43" s="114" t="s">
        <v>81</v>
      </c>
      <c r="Q43" s="114" t="s">
        <v>79</v>
      </c>
      <c r="R43" s="115" t="s">
        <v>310</v>
      </c>
      <c r="S43" s="145">
        <v>735</v>
      </c>
      <c r="T43" s="148" t="s">
        <v>311</v>
      </c>
      <c r="U43" s="147">
        <v>2</v>
      </c>
      <c r="V43" s="121">
        <v>15</v>
      </c>
      <c r="W43" s="121">
        <v>1016</v>
      </c>
      <c r="X43" s="114" t="s">
        <v>84</v>
      </c>
      <c r="Y43" s="115" t="s">
        <v>85</v>
      </c>
      <c r="Z43" s="115" t="s">
        <v>86</v>
      </c>
      <c r="AA43" s="113" t="s">
        <v>87</v>
      </c>
      <c r="AB43" s="122">
        <v>297.08</v>
      </c>
      <c r="AC43" s="122">
        <f>IF(C43="DENALI", AB43*0.495, IF(C43="SCHNEIDER ELECTRIC", AB43*1.136, IF(C43="WWT", AB43*1.2, AC43)))+AB43</f>
        <v>634.56287999999995</v>
      </c>
      <c r="AD43" s="129">
        <f>AC43-AB43</f>
        <v>337.48287999999997</v>
      </c>
      <c r="AE43" s="122">
        <v>18981.650000000001</v>
      </c>
      <c r="AF43" s="130">
        <f>AB43/U43</f>
        <v>148.54</v>
      </c>
      <c r="AG43" s="130">
        <f>AB43/V43</f>
        <v>19.805333333333333</v>
      </c>
      <c r="AH43" s="123">
        <f>AB43/S43</f>
        <v>0.40419047619047616</v>
      </c>
      <c r="AI43" s="124" t="s">
        <v>183</v>
      </c>
      <c r="AJ43" s="125" t="s">
        <v>121</v>
      </c>
      <c r="AK43"/>
      <c r="AM43" s="80"/>
    </row>
    <row r="44" spans="1:39" ht="28.5" customHeight="1">
      <c r="A44" s="113" t="s">
        <v>73</v>
      </c>
      <c r="B44" s="114" t="s">
        <v>74</v>
      </c>
      <c r="C44" s="113" t="s">
        <v>35</v>
      </c>
      <c r="D44" s="113" t="s">
        <v>99</v>
      </c>
      <c r="E44" s="115" t="s">
        <v>206</v>
      </c>
      <c r="F44" s="113" t="s">
        <v>207</v>
      </c>
      <c r="G44" s="116" t="s">
        <v>312</v>
      </c>
      <c r="H44" s="79">
        <v>46062</v>
      </c>
      <c r="I44" s="114" t="s">
        <v>79</v>
      </c>
      <c r="J44" s="117" t="s">
        <v>313</v>
      </c>
      <c r="K44" s="118">
        <v>46057</v>
      </c>
      <c r="L44" s="114" t="s">
        <v>81</v>
      </c>
      <c r="M44" s="119">
        <v>46063</v>
      </c>
      <c r="N44" s="128">
        <v>46063</v>
      </c>
      <c r="O44" s="120">
        <f>NETWORKDAYS.INTL(K44,N44,1,$AM$2:$AM$10)-1</f>
        <v>4</v>
      </c>
      <c r="P44" s="114" t="s">
        <v>81</v>
      </c>
      <c r="Q44" s="114" t="s">
        <v>79</v>
      </c>
      <c r="R44" s="115" t="s">
        <v>95</v>
      </c>
      <c r="S44" s="145">
        <v>2352</v>
      </c>
      <c r="T44" s="148" t="s">
        <v>314</v>
      </c>
      <c r="U44" s="147">
        <v>1</v>
      </c>
      <c r="V44" s="121">
        <v>588</v>
      </c>
      <c r="W44" s="121">
        <v>465</v>
      </c>
      <c r="X44" s="114" t="s">
        <v>84</v>
      </c>
      <c r="Y44" s="115" t="s">
        <v>85</v>
      </c>
      <c r="Z44" s="115" t="s">
        <v>86</v>
      </c>
      <c r="AA44" s="113" t="s">
        <v>87</v>
      </c>
      <c r="AB44" s="122">
        <v>250.97</v>
      </c>
      <c r="AC44" s="122">
        <f>IF(C44="DENALI", AB44*0.495, IF(C44="SCHNEIDER ELECTRIC", AB44*1.136, IF(C44="WWT", AB44*1.2, AC44)))+AB44</f>
        <v>375.20015000000001</v>
      </c>
      <c r="AD44" s="129">
        <f>AC44-AB44</f>
        <v>124.23015000000001</v>
      </c>
      <c r="AE44" s="122">
        <v>18982.650000000001</v>
      </c>
      <c r="AF44" s="130">
        <f>AB44/U44</f>
        <v>250.97</v>
      </c>
      <c r="AG44" s="130">
        <f>AB44/V44</f>
        <v>0.42681972789115646</v>
      </c>
      <c r="AH44" s="123">
        <f>AB44/S44</f>
        <v>0.10670493197278912</v>
      </c>
      <c r="AI44" s="124" t="s">
        <v>97</v>
      </c>
      <c r="AJ44" s="125" t="s">
        <v>315</v>
      </c>
      <c r="AK44"/>
      <c r="AM44" s="80"/>
    </row>
    <row r="45" spans="1:39" ht="28.5" customHeight="1">
      <c r="A45" s="113" t="s">
        <v>73</v>
      </c>
      <c r="B45" s="114" t="s">
        <v>74</v>
      </c>
      <c r="C45" s="113" t="s">
        <v>35</v>
      </c>
      <c r="D45" s="113" t="s">
        <v>99</v>
      </c>
      <c r="E45" s="115" t="s">
        <v>287</v>
      </c>
      <c r="F45" s="113" t="s">
        <v>90</v>
      </c>
      <c r="G45" s="116" t="s">
        <v>316</v>
      </c>
      <c r="H45" s="79">
        <v>46059</v>
      </c>
      <c r="I45" s="114" t="s">
        <v>79</v>
      </c>
      <c r="J45" s="117" t="s">
        <v>317</v>
      </c>
      <c r="K45" s="118">
        <v>46057</v>
      </c>
      <c r="L45" s="114" t="s">
        <v>81</v>
      </c>
      <c r="M45" s="119">
        <v>46062</v>
      </c>
      <c r="N45" s="128">
        <v>46062</v>
      </c>
      <c r="O45" s="120">
        <f>NETWORKDAYS.INTL(K45,N45,1,$AM$2:$AM$10)-1</f>
        <v>3</v>
      </c>
      <c r="P45" s="114" t="s">
        <v>81</v>
      </c>
      <c r="Q45" s="114" t="s">
        <v>79</v>
      </c>
      <c r="R45" s="115" t="s">
        <v>95</v>
      </c>
      <c r="S45" s="145">
        <v>1179</v>
      </c>
      <c r="T45" s="148" t="s">
        <v>318</v>
      </c>
      <c r="U45" s="147">
        <v>2</v>
      </c>
      <c r="V45" s="121">
        <v>4107</v>
      </c>
      <c r="W45" s="121">
        <v>1315</v>
      </c>
      <c r="X45" s="114" t="s">
        <v>84</v>
      </c>
      <c r="Y45" s="115" t="s">
        <v>85</v>
      </c>
      <c r="Z45" s="115" t="s">
        <v>86</v>
      </c>
      <c r="AA45" s="113" t="s">
        <v>87</v>
      </c>
      <c r="AB45" s="122">
        <v>478.32</v>
      </c>
      <c r="AC45" s="122">
        <f>IF(C45="DENALI", AB45*0.495, IF(C45="SCHNEIDER ELECTRIC", AB45*1.136, IF(C45="WWT", AB45*1.2, AC45)))+AB45</f>
        <v>715.08839999999998</v>
      </c>
      <c r="AD45" s="129">
        <f>AC45-AB45</f>
        <v>236.76839999999999</v>
      </c>
      <c r="AE45" s="122">
        <v>84936.87</v>
      </c>
      <c r="AF45" s="130">
        <f>AB45/U45</f>
        <v>239.16</v>
      </c>
      <c r="AG45" s="130">
        <f>AB45/V45</f>
        <v>0.1164645726807889</v>
      </c>
      <c r="AH45" s="123">
        <f>AB45/S45</f>
        <v>0.40569974554707378</v>
      </c>
      <c r="AI45" s="124" t="s">
        <v>115</v>
      </c>
      <c r="AJ45" s="125" t="s">
        <v>319</v>
      </c>
      <c r="AK45"/>
      <c r="AM45" s="80"/>
    </row>
    <row r="46" spans="1:39" ht="28.5" customHeight="1">
      <c r="A46" s="113" t="s">
        <v>73</v>
      </c>
      <c r="B46" s="114" t="s">
        <v>74</v>
      </c>
      <c r="C46" s="113" t="s">
        <v>35</v>
      </c>
      <c r="D46" s="113" t="s">
        <v>99</v>
      </c>
      <c r="E46" s="115" t="s">
        <v>100</v>
      </c>
      <c r="F46" s="113" t="s">
        <v>99</v>
      </c>
      <c r="G46" s="116">
        <v>21586297</v>
      </c>
      <c r="H46" s="79">
        <v>46059</v>
      </c>
      <c r="I46" s="114" t="s">
        <v>79</v>
      </c>
      <c r="J46" s="117" t="s">
        <v>320</v>
      </c>
      <c r="K46" s="118">
        <v>46059</v>
      </c>
      <c r="L46" s="114" t="s">
        <v>81</v>
      </c>
      <c r="M46" s="119">
        <v>46062</v>
      </c>
      <c r="N46" s="128">
        <v>46062</v>
      </c>
      <c r="O46" s="120">
        <f>NETWORKDAYS.INTL(K46,N46,1,$AM$2:$AM$10)-1</f>
        <v>1</v>
      </c>
      <c r="P46" s="114" t="s">
        <v>81</v>
      </c>
      <c r="Q46" s="114" t="s">
        <v>79</v>
      </c>
      <c r="R46" s="115" t="s">
        <v>321</v>
      </c>
      <c r="S46" s="145">
        <v>23</v>
      </c>
      <c r="T46" s="148" t="s">
        <v>104</v>
      </c>
      <c r="U46" s="147">
        <v>26</v>
      </c>
      <c r="V46" s="121">
        <v>26</v>
      </c>
      <c r="W46" s="121">
        <v>8320</v>
      </c>
      <c r="X46" s="114" t="s">
        <v>113</v>
      </c>
      <c r="Y46" s="115" t="s">
        <v>85</v>
      </c>
      <c r="Z46" s="115" t="s">
        <v>322</v>
      </c>
      <c r="AA46" s="113" t="s">
        <v>87</v>
      </c>
      <c r="AB46" s="122">
        <v>1890.11</v>
      </c>
      <c r="AC46" s="122">
        <f>IF(C46="DENALI", AB46*0.495, IF(C46="SCHNEIDER ELECTRIC", AB46*1.136, IF(C46="WWT", AB46*1.2, AC46)))+AB46</f>
        <v>2825.7144499999999</v>
      </c>
      <c r="AD46" s="129">
        <f>AC46-AB46</f>
        <v>935.60445000000004</v>
      </c>
      <c r="AE46" s="122">
        <v>53640.86</v>
      </c>
      <c r="AF46" s="130">
        <f>AB46/U46</f>
        <v>72.696538461538452</v>
      </c>
      <c r="AG46" s="130">
        <f>AB46/V46</f>
        <v>72.696538461538452</v>
      </c>
      <c r="AH46" s="123">
        <f>AB46/S46</f>
        <v>82.178695652173914</v>
      </c>
      <c r="AI46" s="124" t="s">
        <v>106</v>
      </c>
      <c r="AJ46" s="125" t="s">
        <v>323</v>
      </c>
      <c r="AK46"/>
      <c r="AM46" s="80"/>
    </row>
    <row r="47" spans="1:39" ht="28.5" customHeight="1">
      <c r="A47" s="113" t="s">
        <v>73</v>
      </c>
      <c r="B47" s="114" t="s">
        <v>140</v>
      </c>
      <c r="C47" s="113" t="s">
        <v>36</v>
      </c>
      <c r="D47" s="113" t="s">
        <v>75</v>
      </c>
      <c r="E47" s="115" t="s">
        <v>141</v>
      </c>
      <c r="F47" s="113" t="s">
        <v>142</v>
      </c>
      <c r="G47" s="116">
        <v>21595788</v>
      </c>
      <c r="H47" s="79">
        <v>46062</v>
      </c>
      <c r="I47" s="114" t="s">
        <v>79</v>
      </c>
      <c r="J47" s="117" t="s">
        <v>324</v>
      </c>
      <c r="K47" s="118">
        <v>46062</v>
      </c>
      <c r="L47" s="114" t="s">
        <v>81</v>
      </c>
      <c r="M47" s="119">
        <v>46063</v>
      </c>
      <c r="N47" s="128">
        <v>46063</v>
      </c>
      <c r="O47" s="120">
        <f>NETWORKDAYS.INTL(K47,N47,1,$AM$2:$AM$10)-1</f>
        <v>1</v>
      </c>
      <c r="P47" s="114" t="s">
        <v>81</v>
      </c>
      <c r="Q47" s="114" t="s">
        <v>79</v>
      </c>
      <c r="R47" s="115" t="s">
        <v>95</v>
      </c>
      <c r="S47" s="145">
        <v>735</v>
      </c>
      <c r="T47" s="148" t="s">
        <v>325</v>
      </c>
      <c r="U47" s="147">
        <v>8</v>
      </c>
      <c r="V47" s="121">
        <v>26</v>
      </c>
      <c r="W47" s="121">
        <v>2536</v>
      </c>
      <c r="X47" s="114" t="s">
        <v>113</v>
      </c>
      <c r="Y47" s="115" t="s">
        <v>85</v>
      </c>
      <c r="Z47" s="115" t="s">
        <v>326</v>
      </c>
      <c r="AA47" s="113" t="s">
        <v>87</v>
      </c>
      <c r="AB47" s="122">
        <v>2391.86</v>
      </c>
      <c r="AC47" s="122">
        <f>IF(C47="DENALI", AB47*0.495, IF(C47="SCHNEIDER ELECTRIC", AB47*1.136, IF(C47="WWT", AB47*1.2, AC47)))+AB47</f>
        <v>5109.01296</v>
      </c>
      <c r="AD47" s="129">
        <f>AC47-AB47</f>
        <v>2717.1529599999999</v>
      </c>
      <c r="AE47" s="122">
        <v>19922.939999999999</v>
      </c>
      <c r="AF47" s="130">
        <f>AB47/U47</f>
        <v>298.98250000000002</v>
      </c>
      <c r="AG47" s="130">
        <f>AB47/V47</f>
        <v>91.994615384615386</v>
      </c>
      <c r="AH47" s="123">
        <f>AB47/S47</f>
        <v>3.2542312925170069</v>
      </c>
      <c r="AI47" s="124" t="s">
        <v>147</v>
      </c>
      <c r="AJ47" s="125" t="s">
        <v>121</v>
      </c>
      <c r="AK47"/>
      <c r="AM47" s="80"/>
    </row>
    <row r="48" spans="1:39" ht="28.5" customHeight="1">
      <c r="A48" s="113" t="s">
        <v>73</v>
      </c>
      <c r="B48" s="114" t="s">
        <v>140</v>
      </c>
      <c r="C48" s="113" t="s">
        <v>36</v>
      </c>
      <c r="D48" s="113" t="s">
        <v>75</v>
      </c>
      <c r="E48" s="115" t="s">
        <v>141</v>
      </c>
      <c r="F48" s="113" t="s">
        <v>142</v>
      </c>
      <c r="G48" s="116" t="s">
        <v>327</v>
      </c>
      <c r="H48" s="79">
        <v>46066</v>
      </c>
      <c r="I48" s="114" t="s">
        <v>79</v>
      </c>
      <c r="J48" s="117" t="s">
        <v>328</v>
      </c>
      <c r="K48" s="118">
        <v>46064</v>
      </c>
      <c r="L48" s="114" t="s">
        <v>81</v>
      </c>
      <c r="M48" s="119">
        <v>46070</v>
      </c>
      <c r="N48" s="128">
        <v>46070</v>
      </c>
      <c r="O48" s="120">
        <f>NETWORKDAYS.INTL(K48,N48,1,$AM$2:$AM$10)-1</f>
        <v>4</v>
      </c>
      <c r="P48" s="114" t="s">
        <v>81</v>
      </c>
      <c r="Q48" s="114" t="s">
        <v>79</v>
      </c>
      <c r="R48" s="115" t="s">
        <v>95</v>
      </c>
      <c r="S48" s="145">
        <v>735</v>
      </c>
      <c r="T48" s="148" t="s">
        <v>329</v>
      </c>
      <c r="U48" s="147">
        <v>1</v>
      </c>
      <c r="V48" s="121">
        <v>10</v>
      </c>
      <c r="W48" s="121">
        <v>402</v>
      </c>
      <c r="X48" s="114" t="s">
        <v>84</v>
      </c>
      <c r="Y48" s="115" t="s">
        <v>85</v>
      </c>
      <c r="Z48" s="115" t="s">
        <v>86</v>
      </c>
      <c r="AA48" s="113" t="s">
        <v>87</v>
      </c>
      <c r="AB48" s="122">
        <v>224.47</v>
      </c>
      <c r="AC48" s="122">
        <f>IF(C48="DENALI", AB48*0.495, IF(C48="SCHNEIDER ELECTRIC", AB48*1.136, IF(C48="WWT", AB48*1.2, AC48)))+AB48</f>
        <v>479.46791999999994</v>
      </c>
      <c r="AD48" s="129">
        <f>AC48-AB48</f>
        <v>254.99791999999994</v>
      </c>
      <c r="AE48" s="122">
        <v>6658.65</v>
      </c>
      <c r="AF48" s="130">
        <f>AB48/U48</f>
        <v>224.47</v>
      </c>
      <c r="AG48" s="130">
        <f>AB48/V48</f>
        <v>22.446999999999999</v>
      </c>
      <c r="AH48" s="123">
        <f>AB48/S48</f>
        <v>0.30540136054421768</v>
      </c>
      <c r="AI48" s="124" t="s">
        <v>155</v>
      </c>
      <c r="AJ48" s="125" t="s">
        <v>121</v>
      </c>
      <c r="AK48"/>
      <c r="AM48" s="80"/>
    </row>
    <row r="49" spans="1:39" ht="28.5" customHeight="1">
      <c r="A49" s="113" t="s">
        <v>73</v>
      </c>
      <c r="B49" s="114" t="s">
        <v>74</v>
      </c>
      <c r="C49" s="113" t="s">
        <v>36</v>
      </c>
      <c r="D49" s="113" t="s">
        <v>75</v>
      </c>
      <c r="E49" s="115" t="s">
        <v>330</v>
      </c>
      <c r="F49" s="113" t="s">
        <v>142</v>
      </c>
      <c r="G49" s="116" t="s">
        <v>331</v>
      </c>
      <c r="H49" s="79">
        <v>46069</v>
      </c>
      <c r="I49" s="114" t="s">
        <v>79</v>
      </c>
      <c r="J49" s="117" t="s">
        <v>332</v>
      </c>
      <c r="K49" s="118">
        <v>46064</v>
      </c>
      <c r="L49" s="114" t="s">
        <v>81</v>
      </c>
      <c r="M49" s="119">
        <v>46066</v>
      </c>
      <c r="N49" s="128">
        <v>46066</v>
      </c>
      <c r="O49" s="120">
        <f>NETWORKDAYS.INTL(K49,N49,1,$AM$2:$AM$10)-1</f>
        <v>2</v>
      </c>
      <c r="P49" s="114" t="s">
        <v>81</v>
      </c>
      <c r="Q49" s="114" t="s">
        <v>79</v>
      </c>
      <c r="R49" s="115" t="s">
        <v>95</v>
      </c>
      <c r="S49" s="145">
        <v>932</v>
      </c>
      <c r="T49" s="148" t="s">
        <v>333</v>
      </c>
      <c r="U49" s="147">
        <v>1</v>
      </c>
      <c r="V49" s="121">
        <v>3</v>
      </c>
      <c r="W49" s="121">
        <v>490</v>
      </c>
      <c r="X49" s="114" t="s">
        <v>84</v>
      </c>
      <c r="Y49" s="115" t="s">
        <v>85</v>
      </c>
      <c r="Z49" s="115" t="s">
        <v>86</v>
      </c>
      <c r="AA49" s="113" t="s">
        <v>87</v>
      </c>
      <c r="AB49" s="122">
        <v>608.86</v>
      </c>
      <c r="AC49" s="122">
        <f>IF(C49="DENALI", AB49*0.495, IF(C49="SCHNEIDER ELECTRIC", AB49*1.136, IF(C49="WWT", AB49*1.2, AC49)))+AB49</f>
        <v>1300.52496</v>
      </c>
      <c r="AD49" s="129">
        <f>AC49-AB49</f>
        <v>691.66495999999995</v>
      </c>
      <c r="AE49" s="122">
        <v>13063.68</v>
      </c>
      <c r="AF49" s="130">
        <f>AB49/U49</f>
        <v>608.86</v>
      </c>
      <c r="AG49" s="130">
        <f>AB49/V49</f>
        <v>202.95333333333335</v>
      </c>
      <c r="AH49" s="123">
        <f>AB49/S49</f>
        <v>0.65328326180257512</v>
      </c>
      <c r="AI49" s="124" t="s">
        <v>97</v>
      </c>
      <c r="AJ49" s="125" t="s">
        <v>98</v>
      </c>
      <c r="AK49"/>
      <c r="AM49" s="80"/>
    </row>
    <row r="50" spans="1:39" ht="167.25">
      <c r="A50" s="113" t="s">
        <v>73</v>
      </c>
      <c r="B50" s="114" t="s">
        <v>140</v>
      </c>
      <c r="C50" s="113" t="s">
        <v>35</v>
      </c>
      <c r="D50" s="113" t="s">
        <v>218</v>
      </c>
      <c r="E50" s="115" t="s">
        <v>141</v>
      </c>
      <c r="F50" s="113" t="s">
        <v>142</v>
      </c>
      <c r="G50" s="116">
        <v>21833642</v>
      </c>
      <c r="H50" s="79">
        <v>46069</v>
      </c>
      <c r="I50" s="114" t="s">
        <v>79</v>
      </c>
      <c r="J50" s="117" t="s">
        <v>334</v>
      </c>
      <c r="K50" s="118">
        <v>46066</v>
      </c>
      <c r="L50" s="114" t="s">
        <v>81</v>
      </c>
      <c r="M50" s="119">
        <v>46069</v>
      </c>
      <c r="N50" s="128">
        <v>46069</v>
      </c>
      <c r="O50" s="120">
        <f>NETWORKDAYS.INTL(K50,N50,1,$AM$2:$AM$10)-1</f>
        <v>1</v>
      </c>
      <c r="P50" s="114" t="s">
        <v>81</v>
      </c>
      <c r="Q50" s="114" t="s">
        <v>79</v>
      </c>
      <c r="R50" s="115" t="s">
        <v>95</v>
      </c>
      <c r="S50" s="145">
        <v>441</v>
      </c>
      <c r="T50" s="148" t="s">
        <v>335</v>
      </c>
      <c r="U50" s="147">
        <v>18</v>
      </c>
      <c r="V50" s="121">
        <v>1517</v>
      </c>
      <c r="W50" s="121">
        <v>8920</v>
      </c>
      <c r="X50" s="114" t="s">
        <v>113</v>
      </c>
      <c r="Y50" s="115" t="s">
        <v>85</v>
      </c>
      <c r="Z50" s="115" t="s">
        <v>336</v>
      </c>
      <c r="AA50" s="113" t="s">
        <v>87</v>
      </c>
      <c r="AB50" s="122">
        <v>2670.9</v>
      </c>
      <c r="AC50" s="122">
        <f>IF(C50="DENALI", AB50*0.495, IF(C50="SCHNEIDER ELECTRIC", AB50*1.136, IF(C50="WWT", AB50*1.2, AC50)))+AB50</f>
        <v>3992.9955</v>
      </c>
      <c r="AD50" s="129">
        <f>AC50-AB50</f>
        <v>1322.0954999999999</v>
      </c>
      <c r="AE50" s="122">
        <v>658739.02</v>
      </c>
      <c r="AF50" s="130">
        <f>AB50/U50</f>
        <v>148.38333333333333</v>
      </c>
      <c r="AG50" s="130">
        <f>AB50/V50</f>
        <v>1.7606460118655241</v>
      </c>
      <c r="AH50" s="123">
        <f>AB50/S50</f>
        <v>6.0564625850340139</v>
      </c>
      <c r="AI50" s="124" t="s">
        <v>183</v>
      </c>
      <c r="AJ50" s="125" t="s">
        <v>337</v>
      </c>
      <c r="AK50"/>
      <c r="AM50" s="80"/>
    </row>
    <row r="51" spans="1:39" ht="28.5" customHeight="1">
      <c r="A51" s="113" t="s">
        <v>73</v>
      </c>
      <c r="B51" s="114" t="s">
        <v>74</v>
      </c>
      <c r="C51" s="113" t="s">
        <v>35</v>
      </c>
      <c r="D51" s="113" t="s">
        <v>218</v>
      </c>
      <c r="E51" s="115" t="s">
        <v>338</v>
      </c>
      <c r="F51" s="113" t="s">
        <v>92</v>
      </c>
      <c r="G51" s="116" t="s">
        <v>339</v>
      </c>
      <c r="H51" s="79">
        <v>46076</v>
      </c>
      <c r="I51" s="114" t="s">
        <v>79</v>
      </c>
      <c r="J51" s="117" t="s">
        <v>340</v>
      </c>
      <c r="K51" s="118">
        <v>46070</v>
      </c>
      <c r="L51" s="114" t="s">
        <v>81</v>
      </c>
      <c r="M51" s="119">
        <v>46073</v>
      </c>
      <c r="N51" s="128">
        <v>46073</v>
      </c>
      <c r="O51" s="120">
        <f>NETWORKDAYS.INTL(K51,N51,1,$AM$2:$AM$10)-1</f>
        <v>3</v>
      </c>
      <c r="P51" s="114" t="s">
        <v>81</v>
      </c>
      <c r="Q51" s="114" t="s">
        <v>79</v>
      </c>
      <c r="R51" s="115" t="s">
        <v>95</v>
      </c>
      <c r="S51" s="145">
        <v>1324</v>
      </c>
      <c r="T51" s="148" t="s">
        <v>341</v>
      </c>
      <c r="U51" s="147">
        <v>3</v>
      </c>
      <c r="V51" s="121">
        <v>156</v>
      </c>
      <c r="W51" s="121">
        <v>2000</v>
      </c>
      <c r="X51" s="114" t="s">
        <v>84</v>
      </c>
      <c r="Y51" s="115" t="s">
        <v>85</v>
      </c>
      <c r="Z51" s="115" t="s">
        <v>342</v>
      </c>
      <c r="AA51" s="113" t="s">
        <v>87</v>
      </c>
      <c r="AB51" s="122">
        <v>756.66</v>
      </c>
      <c r="AC51" s="122">
        <f>IF(C51="DENALI", AB51*0.495, IF(C51="SCHNEIDER ELECTRIC", AB51*1.136, IF(C51="WWT", AB51*1.2, AC51)))+AB51</f>
        <v>1131.2067</v>
      </c>
      <c r="AD51" s="129">
        <f>AC51-AB51</f>
        <v>374.54669999999999</v>
      </c>
      <c r="AE51" s="122">
        <v>67832.039999999994</v>
      </c>
      <c r="AF51" s="130">
        <f>AB51/U51</f>
        <v>252.22</v>
      </c>
      <c r="AG51" s="130">
        <f>AB51/V51</f>
        <v>4.8503846153846153</v>
      </c>
      <c r="AH51" s="123">
        <f>AB51/S51</f>
        <v>0.57149546827794562</v>
      </c>
      <c r="AI51" s="124" t="s">
        <v>147</v>
      </c>
      <c r="AJ51" s="125" t="s">
        <v>343</v>
      </c>
      <c r="AK51"/>
      <c r="AM51" s="80"/>
    </row>
    <row r="52" spans="1:39" ht="28.5" customHeight="1">
      <c r="A52" s="113" t="s">
        <v>73</v>
      </c>
      <c r="B52" s="114" t="s">
        <v>74</v>
      </c>
      <c r="C52" s="113" t="s">
        <v>35</v>
      </c>
      <c r="D52" s="113" t="s">
        <v>218</v>
      </c>
      <c r="E52" s="115" t="s">
        <v>344</v>
      </c>
      <c r="F52" s="113" t="s">
        <v>345</v>
      </c>
      <c r="G52" s="116" t="s">
        <v>346</v>
      </c>
      <c r="H52" s="79">
        <v>46076</v>
      </c>
      <c r="I52" s="114" t="s">
        <v>79</v>
      </c>
      <c r="J52" s="117" t="s">
        <v>347</v>
      </c>
      <c r="K52" s="118">
        <v>46070</v>
      </c>
      <c r="L52" s="114" t="s">
        <v>81</v>
      </c>
      <c r="M52" s="119">
        <v>46072</v>
      </c>
      <c r="N52" s="128">
        <v>46072</v>
      </c>
      <c r="O52" s="120">
        <f>NETWORKDAYS.INTL(K52,N52,1,$AM$2:$AM$10)-1</f>
        <v>2</v>
      </c>
      <c r="P52" s="114" t="s">
        <v>81</v>
      </c>
      <c r="Q52" s="114" t="s">
        <v>79</v>
      </c>
      <c r="R52" s="115" t="s">
        <v>95</v>
      </c>
      <c r="S52" s="145">
        <v>566</v>
      </c>
      <c r="T52" s="148" t="s">
        <v>348</v>
      </c>
      <c r="U52" s="147">
        <v>1</v>
      </c>
      <c r="V52" s="121">
        <v>20</v>
      </c>
      <c r="W52" s="121">
        <v>210</v>
      </c>
      <c r="X52" s="114" t="s">
        <v>84</v>
      </c>
      <c r="Y52" s="115" t="s">
        <v>85</v>
      </c>
      <c r="Z52" s="115" t="s">
        <v>222</v>
      </c>
      <c r="AA52" s="113" t="s">
        <v>87</v>
      </c>
      <c r="AB52" s="122">
        <v>160.47999999999999</v>
      </c>
      <c r="AC52" s="122">
        <f>IF(C52="DENALI", AB52*0.495, IF(C52="SCHNEIDER ELECTRIC", AB52*1.136, IF(C52="WWT", AB52*1.2, AC52)))+AB52</f>
        <v>239.91759999999999</v>
      </c>
      <c r="AD52" s="129">
        <f>AC52-AB52</f>
        <v>79.437600000000003</v>
      </c>
      <c r="AE52" s="122">
        <v>6791.65</v>
      </c>
      <c r="AF52" s="130">
        <f>AB52/U52</f>
        <v>160.47999999999999</v>
      </c>
      <c r="AG52" s="130">
        <f>AB52/V52</f>
        <v>8.0239999999999991</v>
      </c>
      <c r="AH52" s="123">
        <f>AB52/S52</f>
        <v>0.28353356890459364</v>
      </c>
      <c r="AI52" s="124" t="s">
        <v>97</v>
      </c>
      <c r="AJ52" s="125" t="s">
        <v>349</v>
      </c>
      <c r="AK52"/>
      <c r="AM52" s="80"/>
    </row>
    <row r="53" spans="1:39" ht="28.5" customHeight="1">
      <c r="A53" s="113" t="s">
        <v>73</v>
      </c>
      <c r="B53" s="114" t="s">
        <v>74</v>
      </c>
      <c r="C53" s="113" t="s">
        <v>35</v>
      </c>
      <c r="D53" s="113" t="s">
        <v>218</v>
      </c>
      <c r="E53" s="115" t="s">
        <v>206</v>
      </c>
      <c r="F53" s="113" t="s">
        <v>207</v>
      </c>
      <c r="G53" s="116" t="s">
        <v>350</v>
      </c>
      <c r="H53" s="79">
        <v>46076</v>
      </c>
      <c r="I53" s="114" t="s">
        <v>79</v>
      </c>
      <c r="J53" s="117" t="s">
        <v>351</v>
      </c>
      <c r="K53" s="118">
        <v>46070</v>
      </c>
      <c r="L53" s="114" t="s">
        <v>81</v>
      </c>
      <c r="M53" s="119">
        <v>46071</v>
      </c>
      <c r="N53" s="128">
        <v>46071</v>
      </c>
      <c r="O53" s="120">
        <f>NETWORKDAYS.INTL(K53,N53,1,$AM$2:$AM$10)-1</f>
        <v>1</v>
      </c>
      <c r="P53" s="114" t="s">
        <v>81</v>
      </c>
      <c r="Q53" s="114" t="s">
        <v>79</v>
      </c>
      <c r="R53" s="115" t="s">
        <v>95</v>
      </c>
      <c r="S53" s="145">
        <v>194</v>
      </c>
      <c r="T53" s="148" t="s">
        <v>352</v>
      </c>
      <c r="U53" s="147">
        <v>1</v>
      </c>
      <c r="V53" s="121">
        <v>20</v>
      </c>
      <c r="W53" s="121">
        <v>220</v>
      </c>
      <c r="X53" s="114" t="s">
        <v>84</v>
      </c>
      <c r="Y53" s="115" t="s">
        <v>85</v>
      </c>
      <c r="Z53" s="115" t="s">
        <v>222</v>
      </c>
      <c r="AA53" s="113" t="s">
        <v>87</v>
      </c>
      <c r="AB53" s="122">
        <v>143.76</v>
      </c>
      <c r="AC53" s="122">
        <f>IF(C53="DENALI", AB53*0.495, IF(C53="SCHNEIDER ELECTRIC", AB53*1.136, IF(C53="WWT", AB53*1.2, AC53)))+AB53</f>
        <v>214.9212</v>
      </c>
      <c r="AD53" s="129">
        <f>AC53-AB53</f>
        <v>71.161200000000008</v>
      </c>
      <c r="AE53" s="122">
        <v>6750.1</v>
      </c>
      <c r="AF53" s="130">
        <f>AB53/U53</f>
        <v>143.76</v>
      </c>
      <c r="AG53" s="130">
        <f>AB53/V53</f>
        <v>7.1879999999999997</v>
      </c>
      <c r="AH53" s="123">
        <f>AB53/S53</f>
        <v>0.74103092783505153</v>
      </c>
      <c r="AI53" s="124" t="s">
        <v>97</v>
      </c>
      <c r="AJ53" s="125" t="s">
        <v>349</v>
      </c>
      <c r="AK53"/>
      <c r="AM53" s="80"/>
    </row>
    <row r="54" spans="1:39" ht="28.5" customHeight="1">
      <c r="A54" s="113" t="s">
        <v>73</v>
      </c>
      <c r="B54" s="114" t="s">
        <v>74</v>
      </c>
      <c r="C54" s="113" t="s">
        <v>35</v>
      </c>
      <c r="D54" s="113" t="s">
        <v>218</v>
      </c>
      <c r="E54" s="115" t="s">
        <v>193</v>
      </c>
      <c r="F54" s="113" t="s">
        <v>92</v>
      </c>
      <c r="G54" s="116" t="s">
        <v>353</v>
      </c>
      <c r="H54" s="79">
        <v>46076</v>
      </c>
      <c r="I54" s="114" t="s">
        <v>79</v>
      </c>
      <c r="J54" s="117" t="s">
        <v>354</v>
      </c>
      <c r="K54" s="118">
        <v>46070</v>
      </c>
      <c r="L54" s="114" t="s">
        <v>81</v>
      </c>
      <c r="M54" s="119">
        <v>46073</v>
      </c>
      <c r="N54" s="128">
        <v>46073</v>
      </c>
      <c r="O54" s="120">
        <f>NETWORKDAYS.INTL(K54,N54,1,$AM$2:$AM$10)-1</f>
        <v>3</v>
      </c>
      <c r="P54" s="114" t="s">
        <v>81</v>
      </c>
      <c r="Q54" s="114" t="s">
        <v>79</v>
      </c>
      <c r="R54" s="115" t="s">
        <v>95</v>
      </c>
      <c r="S54" s="145">
        <v>1163</v>
      </c>
      <c r="T54" s="148" t="s">
        <v>355</v>
      </c>
      <c r="U54" s="147">
        <v>1</v>
      </c>
      <c r="V54" s="121">
        <v>23</v>
      </c>
      <c r="W54" s="121">
        <v>230</v>
      </c>
      <c r="X54" s="114" t="s">
        <v>84</v>
      </c>
      <c r="Y54" s="115" t="s">
        <v>85</v>
      </c>
      <c r="Z54" s="115" t="s">
        <v>342</v>
      </c>
      <c r="AA54" s="113" t="s">
        <v>87</v>
      </c>
      <c r="AB54" s="122">
        <v>342.8</v>
      </c>
      <c r="AC54" s="122">
        <f>IF(C54="DENALI", AB54*0.495, IF(C54="SCHNEIDER ELECTRIC", AB54*1.136, IF(C54="WWT", AB54*1.2, AC54)))+AB54</f>
        <v>512.48599999999999</v>
      </c>
      <c r="AD54" s="129">
        <f>AC54-AB54</f>
        <v>169.68599999999998</v>
      </c>
      <c r="AE54" s="122">
        <v>7808.32</v>
      </c>
      <c r="AF54" s="130">
        <f>AB54/U54</f>
        <v>342.8</v>
      </c>
      <c r="AG54" s="130">
        <f>AB54/V54</f>
        <v>14.904347826086957</v>
      </c>
      <c r="AH54" s="123">
        <f>AB54/S54</f>
        <v>0.2947549441100602</v>
      </c>
      <c r="AI54" s="124" t="s">
        <v>97</v>
      </c>
      <c r="AJ54" s="125" t="s">
        <v>349</v>
      </c>
      <c r="AK54"/>
      <c r="AM54" s="80"/>
    </row>
    <row r="55" spans="1:39" ht="28.5" customHeight="1">
      <c r="A55" s="113" t="s">
        <v>73</v>
      </c>
      <c r="B55" s="114" t="s">
        <v>74</v>
      </c>
      <c r="C55" s="113" t="s">
        <v>35</v>
      </c>
      <c r="D55" s="113" t="s">
        <v>218</v>
      </c>
      <c r="E55" s="115" t="s">
        <v>356</v>
      </c>
      <c r="F55" s="113" t="s">
        <v>142</v>
      </c>
      <c r="G55" s="116" t="s">
        <v>357</v>
      </c>
      <c r="H55" s="79">
        <v>46076</v>
      </c>
      <c r="I55" s="114" t="s">
        <v>79</v>
      </c>
      <c r="J55" s="117" t="s">
        <v>358</v>
      </c>
      <c r="K55" s="118">
        <v>46070</v>
      </c>
      <c r="L55" s="114" t="s">
        <v>81</v>
      </c>
      <c r="M55" s="119">
        <v>46072</v>
      </c>
      <c r="N55" s="128">
        <v>46072</v>
      </c>
      <c r="O55" s="120">
        <f>NETWORKDAYS.INTL(K55,N55,1,$AM$2:$AM$10)-1</f>
        <v>2</v>
      </c>
      <c r="P55" s="114" t="s">
        <v>81</v>
      </c>
      <c r="Q55" s="114" t="s">
        <v>79</v>
      </c>
      <c r="R55" s="115" t="s">
        <v>95</v>
      </c>
      <c r="S55" s="145">
        <v>415</v>
      </c>
      <c r="T55" s="148" t="s">
        <v>359</v>
      </c>
      <c r="U55" s="147">
        <v>2</v>
      </c>
      <c r="V55" s="121">
        <v>63</v>
      </c>
      <c r="W55" s="121">
        <v>1315</v>
      </c>
      <c r="X55" s="114" t="s">
        <v>84</v>
      </c>
      <c r="Y55" s="115" t="s">
        <v>85</v>
      </c>
      <c r="Z55" s="115" t="s">
        <v>342</v>
      </c>
      <c r="AA55" s="113" t="s">
        <v>87</v>
      </c>
      <c r="AB55" s="122">
        <v>419.89</v>
      </c>
      <c r="AC55" s="122">
        <f>IF(C55="DENALI", AB55*0.495, IF(C55="SCHNEIDER ELECTRIC", AB55*1.136, IF(C55="WWT", AB55*1.2, AC55)))+AB55</f>
        <v>627.73554999999999</v>
      </c>
      <c r="AD55" s="129">
        <f>AC55-AB55</f>
        <v>207.84555</v>
      </c>
      <c r="AE55" s="122">
        <v>26677.56</v>
      </c>
      <c r="AF55" s="130">
        <f>AB55/U55</f>
        <v>209.94499999999999</v>
      </c>
      <c r="AG55" s="130">
        <f>AB55/V55</f>
        <v>6.6649206349206347</v>
      </c>
      <c r="AH55" s="123">
        <f>AB55/S55</f>
        <v>1.0117831325301205</v>
      </c>
      <c r="AI55" s="124" t="s">
        <v>97</v>
      </c>
      <c r="AJ55" s="125" t="s">
        <v>349</v>
      </c>
      <c r="AK55"/>
      <c r="AM55" s="80"/>
    </row>
    <row r="56" spans="1:39" ht="28.5" customHeight="1">
      <c r="A56" s="113" t="s">
        <v>73</v>
      </c>
      <c r="B56" s="114" t="s">
        <v>74</v>
      </c>
      <c r="C56" s="113" t="s">
        <v>35</v>
      </c>
      <c r="D56" s="113" t="s">
        <v>218</v>
      </c>
      <c r="E56" s="115" t="s">
        <v>360</v>
      </c>
      <c r="F56" s="113" t="s">
        <v>218</v>
      </c>
      <c r="G56" s="116" t="s">
        <v>361</v>
      </c>
      <c r="H56" s="79">
        <v>46076</v>
      </c>
      <c r="I56" s="114" t="s">
        <v>79</v>
      </c>
      <c r="J56" s="117" t="s">
        <v>362</v>
      </c>
      <c r="K56" s="118">
        <v>46070</v>
      </c>
      <c r="L56" s="114" t="s">
        <v>81</v>
      </c>
      <c r="M56" s="119">
        <v>46071</v>
      </c>
      <c r="N56" s="128">
        <v>46071</v>
      </c>
      <c r="O56" s="120">
        <f>NETWORKDAYS.INTL(K56,N56,1,$AM$2:$AM$10)-1</f>
        <v>1</v>
      </c>
      <c r="P56" s="114" t="s">
        <v>81</v>
      </c>
      <c r="Q56" s="114" t="s">
        <v>79</v>
      </c>
      <c r="R56" s="115" t="s">
        <v>95</v>
      </c>
      <c r="S56" s="145">
        <v>122</v>
      </c>
      <c r="T56" s="148" t="s">
        <v>363</v>
      </c>
      <c r="U56" s="147">
        <v>1</v>
      </c>
      <c r="V56" s="121">
        <v>90</v>
      </c>
      <c r="W56" s="121">
        <v>470</v>
      </c>
      <c r="X56" s="114" t="s">
        <v>84</v>
      </c>
      <c r="Y56" s="115" t="s">
        <v>85</v>
      </c>
      <c r="Z56" s="115" t="s">
        <v>222</v>
      </c>
      <c r="AA56" s="113" t="s">
        <v>87</v>
      </c>
      <c r="AB56" s="122">
        <v>143.76</v>
      </c>
      <c r="AC56" s="122">
        <f>IF(C56="DENALI", AB56*0.495, IF(C56="SCHNEIDER ELECTRIC", AB56*1.136, IF(C56="WWT", AB56*1.2, AC56)))+AB56</f>
        <v>214.9212</v>
      </c>
      <c r="AD56" s="129">
        <f>AC56-AB56</f>
        <v>71.161200000000008</v>
      </c>
      <c r="AE56" s="122">
        <v>54381.4</v>
      </c>
      <c r="AF56" s="130">
        <f>AB56/U56</f>
        <v>143.76</v>
      </c>
      <c r="AG56" s="130">
        <f>AB56/V56</f>
        <v>1.5973333333333333</v>
      </c>
      <c r="AH56" s="123">
        <f>AB56/S56</f>
        <v>1.1783606557377049</v>
      </c>
      <c r="AI56" s="124" t="s">
        <v>97</v>
      </c>
      <c r="AJ56" s="125" t="s">
        <v>349</v>
      </c>
      <c r="AK56"/>
      <c r="AM56" s="80"/>
    </row>
    <row r="57" spans="1:39" ht="28.5" customHeight="1">
      <c r="A57" s="113" t="s">
        <v>73</v>
      </c>
      <c r="B57" s="114" t="s">
        <v>74</v>
      </c>
      <c r="C57" s="113" t="s">
        <v>35</v>
      </c>
      <c r="D57" s="113" t="s">
        <v>218</v>
      </c>
      <c r="E57" s="115" t="s">
        <v>364</v>
      </c>
      <c r="F57" s="113" t="s">
        <v>365</v>
      </c>
      <c r="G57" s="116" t="s">
        <v>366</v>
      </c>
      <c r="H57" s="79">
        <v>46076</v>
      </c>
      <c r="I57" s="114" t="s">
        <v>79</v>
      </c>
      <c r="J57" s="117" t="s">
        <v>367</v>
      </c>
      <c r="K57" s="118">
        <v>46070</v>
      </c>
      <c r="L57" s="114" t="s">
        <v>81</v>
      </c>
      <c r="M57" s="119">
        <v>46073</v>
      </c>
      <c r="N57" s="128">
        <v>46073</v>
      </c>
      <c r="O57" s="120">
        <f>NETWORKDAYS.INTL(K57,N57,1,$AM$2:$AM$10)-1</f>
        <v>3</v>
      </c>
      <c r="P57" s="114" t="s">
        <v>81</v>
      </c>
      <c r="Q57" s="114" t="s">
        <v>79</v>
      </c>
      <c r="R57" s="115" t="s">
        <v>95</v>
      </c>
      <c r="S57" s="145">
        <v>459</v>
      </c>
      <c r="T57" s="148" t="s">
        <v>368</v>
      </c>
      <c r="U57" s="147">
        <v>1</v>
      </c>
      <c r="V57" s="121">
        <v>90</v>
      </c>
      <c r="W57" s="121">
        <v>460</v>
      </c>
      <c r="X57" s="114" t="s">
        <v>84</v>
      </c>
      <c r="Y57" s="115" t="s">
        <v>85</v>
      </c>
      <c r="Z57" s="115" t="s">
        <v>86</v>
      </c>
      <c r="AA57" s="113" t="s">
        <v>87</v>
      </c>
      <c r="AB57" s="122">
        <v>172.61</v>
      </c>
      <c r="AC57" s="122">
        <f>IF(C57="DENALI", AB57*0.495, IF(C57="SCHNEIDER ELECTRIC", AB57*1.136, IF(C57="WWT", AB57*1.2, AC57)))+AB57</f>
        <v>258.05195000000003</v>
      </c>
      <c r="AD57" s="129">
        <f>AC57-AB57</f>
        <v>85.44195000000002</v>
      </c>
      <c r="AE57" s="122">
        <v>54382.400000000001</v>
      </c>
      <c r="AF57" s="130">
        <f>AB57/U57</f>
        <v>172.61</v>
      </c>
      <c r="AG57" s="130">
        <f>AB57/V57</f>
        <v>1.917888888888889</v>
      </c>
      <c r="AH57" s="123">
        <f>AB57/S57</f>
        <v>0.37605664488017432</v>
      </c>
      <c r="AI57" s="124" t="s">
        <v>97</v>
      </c>
      <c r="AJ57" s="125" t="s">
        <v>349</v>
      </c>
      <c r="AK57"/>
      <c r="AM57" s="80"/>
    </row>
    <row r="58" spans="1:39" ht="28.5" customHeight="1">
      <c r="A58" s="113" t="s">
        <v>73</v>
      </c>
      <c r="B58" s="114" t="s">
        <v>74</v>
      </c>
      <c r="C58" s="113" t="s">
        <v>35</v>
      </c>
      <c r="D58" s="113" t="s">
        <v>218</v>
      </c>
      <c r="E58" s="115" t="s">
        <v>369</v>
      </c>
      <c r="F58" s="113" t="s">
        <v>370</v>
      </c>
      <c r="G58" s="116" t="s">
        <v>371</v>
      </c>
      <c r="H58" s="79">
        <v>46076</v>
      </c>
      <c r="I58" s="114" t="s">
        <v>79</v>
      </c>
      <c r="J58" s="117" t="s">
        <v>372</v>
      </c>
      <c r="K58" s="118">
        <v>46070</v>
      </c>
      <c r="L58" s="114" t="s">
        <v>81</v>
      </c>
      <c r="M58" s="119">
        <v>46073</v>
      </c>
      <c r="N58" s="128">
        <v>46073</v>
      </c>
      <c r="O58" s="120">
        <f>NETWORKDAYS.INTL(K58,N58,1,$AM$2:$AM$10)-1</f>
        <v>3</v>
      </c>
      <c r="P58" s="114" t="s">
        <v>81</v>
      </c>
      <c r="Q58" s="114" t="s">
        <v>79</v>
      </c>
      <c r="R58" s="115" t="s">
        <v>95</v>
      </c>
      <c r="S58" s="145">
        <v>735</v>
      </c>
      <c r="T58" s="148" t="s">
        <v>373</v>
      </c>
      <c r="U58" s="147">
        <v>1</v>
      </c>
      <c r="V58" s="121">
        <v>90</v>
      </c>
      <c r="W58" s="121">
        <v>470</v>
      </c>
      <c r="X58" s="114" t="s">
        <v>84</v>
      </c>
      <c r="Y58" s="115" t="s">
        <v>85</v>
      </c>
      <c r="Z58" s="115" t="s">
        <v>86</v>
      </c>
      <c r="AA58" s="113" t="s">
        <v>87</v>
      </c>
      <c r="AB58" s="122">
        <v>249.44</v>
      </c>
      <c r="AC58" s="122">
        <f>IF(C58="DENALI", AB58*0.495, IF(C58="SCHNEIDER ELECTRIC", AB58*1.136, IF(C58="WWT", AB58*1.2, AC58)))+AB58</f>
        <v>372.9128</v>
      </c>
      <c r="AD58" s="129">
        <f>AC58-AB58</f>
        <v>123.47280000000001</v>
      </c>
      <c r="AE58" s="122">
        <v>54383.4</v>
      </c>
      <c r="AF58" s="130">
        <f>AB58/U58</f>
        <v>249.44</v>
      </c>
      <c r="AG58" s="130">
        <f>AB58/V58</f>
        <v>2.7715555555555556</v>
      </c>
      <c r="AH58" s="123">
        <f>AB58/S58</f>
        <v>0.33937414965986396</v>
      </c>
      <c r="AI58" s="124" t="s">
        <v>97</v>
      </c>
      <c r="AJ58" s="125" t="s">
        <v>349</v>
      </c>
      <c r="AK58"/>
      <c r="AM58" s="80"/>
    </row>
    <row r="59" spans="1:39" ht="28.5" customHeight="1">
      <c r="A59" s="113" t="s">
        <v>73</v>
      </c>
      <c r="B59" s="114" t="s">
        <v>74</v>
      </c>
      <c r="C59" s="113" t="s">
        <v>35</v>
      </c>
      <c r="D59" s="113" t="s">
        <v>218</v>
      </c>
      <c r="E59" s="115" t="s">
        <v>374</v>
      </c>
      <c r="F59" s="113" t="s">
        <v>375</v>
      </c>
      <c r="G59" s="116" t="s">
        <v>376</v>
      </c>
      <c r="H59" s="79">
        <v>46076</v>
      </c>
      <c r="I59" s="114" t="s">
        <v>79</v>
      </c>
      <c r="J59" s="117" t="s">
        <v>377</v>
      </c>
      <c r="K59" s="118">
        <v>46070</v>
      </c>
      <c r="L59" s="114" t="s">
        <v>81</v>
      </c>
      <c r="M59" s="119">
        <v>46071</v>
      </c>
      <c r="N59" s="128">
        <v>46071</v>
      </c>
      <c r="O59" s="120">
        <f>NETWORKDAYS.INTL(K59,N59,1,$AM$2:$AM$10)-1</f>
        <v>1</v>
      </c>
      <c r="P59" s="114" t="s">
        <v>81</v>
      </c>
      <c r="Q59" s="114" t="s">
        <v>79</v>
      </c>
      <c r="R59" s="115" t="s">
        <v>95</v>
      </c>
      <c r="S59" s="145">
        <v>321</v>
      </c>
      <c r="T59" s="148" t="s">
        <v>378</v>
      </c>
      <c r="U59" s="147">
        <v>1</v>
      </c>
      <c r="V59" s="121">
        <v>5</v>
      </c>
      <c r="W59" s="121">
        <v>315</v>
      </c>
      <c r="X59" s="114" t="s">
        <v>84</v>
      </c>
      <c r="Y59" s="115" t="s">
        <v>85</v>
      </c>
      <c r="Z59" s="115" t="s">
        <v>234</v>
      </c>
      <c r="AA59" s="113" t="s">
        <v>87</v>
      </c>
      <c r="AB59" s="122">
        <v>165.4</v>
      </c>
      <c r="AC59" s="122">
        <f>IF(C59="DENALI", AB59*0.495, IF(C59="SCHNEIDER ELECTRIC", AB59*1.136, IF(C59="WWT", AB59*1.2, AC59)))+AB59</f>
        <v>247.27300000000002</v>
      </c>
      <c r="AD59" s="129">
        <f>AC59-AB59</f>
        <v>81.873000000000019</v>
      </c>
      <c r="AE59" s="122">
        <v>6348.95</v>
      </c>
      <c r="AF59" s="130">
        <f>AB59/U59</f>
        <v>165.4</v>
      </c>
      <c r="AG59" s="130">
        <f>AB59/V59</f>
        <v>33.08</v>
      </c>
      <c r="AH59" s="123">
        <f>AB59/S59</f>
        <v>0.5152647975077882</v>
      </c>
      <c r="AI59" s="124" t="s">
        <v>183</v>
      </c>
      <c r="AJ59" s="125" t="s">
        <v>379</v>
      </c>
      <c r="AK59"/>
      <c r="AM59" s="80"/>
    </row>
    <row r="60" spans="1:39" ht="28.5" customHeight="1">
      <c r="A60" s="113" t="s">
        <v>73</v>
      </c>
      <c r="B60" s="114" t="s">
        <v>74</v>
      </c>
      <c r="C60" s="113" t="s">
        <v>35</v>
      </c>
      <c r="D60" s="113" t="s">
        <v>218</v>
      </c>
      <c r="E60" s="115" t="s">
        <v>380</v>
      </c>
      <c r="F60" s="113" t="s">
        <v>370</v>
      </c>
      <c r="G60" s="116" t="s">
        <v>381</v>
      </c>
      <c r="H60" s="79">
        <v>46076</v>
      </c>
      <c r="I60" s="114" t="s">
        <v>79</v>
      </c>
      <c r="J60" s="117" t="s">
        <v>382</v>
      </c>
      <c r="K60" s="118">
        <v>46070</v>
      </c>
      <c r="L60" s="114" t="s">
        <v>81</v>
      </c>
      <c r="M60" s="119">
        <v>46072</v>
      </c>
      <c r="N60" s="128">
        <v>46072</v>
      </c>
      <c r="O60" s="120">
        <f>NETWORKDAYS.INTL(K60,N60,1,$AM$2:$AM$10)-1</f>
        <v>2</v>
      </c>
      <c r="P60" s="114" t="s">
        <v>81</v>
      </c>
      <c r="Q60" s="114" t="s">
        <v>79</v>
      </c>
      <c r="R60" s="115" t="s">
        <v>95</v>
      </c>
      <c r="S60" s="145">
        <v>688</v>
      </c>
      <c r="T60" s="148" t="s">
        <v>383</v>
      </c>
      <c r="U60" s="147">
        <v>1</v>
      </c>
      <c r="V60" s="121">
        <v>20</v>
      </c>
      <c r="W60" s="121">
        <v>675</v>
      </c>
      <c r="X60" s="114" t="s">
        <v>84</v>
      </c>
      <c r="Y60" s="115" t="s">
        <v>85</v>
      </c>
      <c r="Z60" s="115" t="s">
        <v>86</v>
      </c>
      <c r="AA60" s="113" t="s">
        <v>87</v>
      </c>
      <c r="AB60" s="122">
        <v>238.32</v>
      </c>
      <c r="AC60" s="122">
        <f>IF(C60="DENALI", AB60*0.495, IF(C60="SCHNEIDER ELECTRIC", AB60*1.136, IF(C60="WWT", AB60*1.2, AC60)))+AB60</f>
        <v>356.28840000000002</v>
      </c>
      <c r="AD60" s="129">
        <f>AC60-AB60</f>
        <v>117.96840000000003</v>
      </c>
      <c r="AE60" s="122">
        <v>21189</v>
      </c>
      <c r="AF60" s="130">
        <f>AB60/U60</f>
        <v>238.32</v>
      </c>
      <c r="AG60" s="130">
        <f>AB60/V60</f>
        <v>11.916</v>
      </c>
      <c r="AH60" s="123">
        <f>AB60/S60</f>
        <v>0.34639534883720929</v>
      </c>
      <c r="AI60" s="124" t="s">
        <v>97</v>
      </c>
      <c r="AJ60" s="125" t="s">
        <v>349</v>
      </c>
      <c r="AK60"/>
      <c r="AM60" s="80"/>
    </row>
    <row r="61" spans="1:39" ht="28.5" customHeight="1">
      <c r="A61" s="113" t="s">
        <v>73</v>
      </c>
      <c r="B61" s="114" t="s">
        <v>74</v>
      </c>
      <c r="C61" s="113" t="s">
        <v>35</v>
      </c>
      <c r="D61" s="113" t="s">
        <v>218</v>
      </c>
      <c r="E61" s="115" t="s">
        <v>384</v>
      </c>
      <c r="F61" s="113" t="s">
        <v>370</v>
      </c>
      <c r="G61" s="116" t="s">
        <v>385</v>
      </c>
      <c r="H61" s="79">
        <v>46076</v>
      </c>
      <c r="I61" s="114" t="s">
        <v>79</v>
      </c>
      <c r="J61" s="117" t="s">
        <v>386</v>
      </c>
      <c r="K61" s="118">
        <v>46070</v>
      </c>
      <c r="L61" s="114" t="s">
        <v>81</v>
      </c>
      <c r="M61" s="119">
        <v>46072</v>
      </c>
      <c r="N61" s="128">
        <v>46072</v>
      </c>
      <c r="O61" s="120">
        <f>NETWORKDAYS.INTL(K61,N61,1,$AM$2:$AM$10)-1</f>
        <v>2</v>
      </c>
      <c r="P61" s="114" t="s">
        <v>81</v>
      </c>
      <c r="Q61" s="114" t="s">
        <v>79</v>
      </c>
      <c r="R61" s="115" t="s">
        <v>95</v>
      </c>
      <c r="S61" s="145">
        <v>688</v>
      </c>
      <c r="T61" s="148" t="s">
        <v>387</v>
      </c>
      <c r="U61" s="147">
        <v>2</v>
      </c>
      <c r="V61" s="121">
        <v>26</v>
      </c>
      <c r="W61" s="121">
        <v>615</v>
      </c>
      <c r="X61" s="114" t="s">
        <v>84</v>
      </c>
      <c r="Y61" s="115" t="s">
        <v>85</v>
      </c>
      <c r="Z61" s="115" t="s">
        <v>86</v>
      </c>
      <c r="AA61" s="113" t="s">
        <v>87</v>
      </c>
      <c r="AB61" s="122">
        <v>221.6</v>
      </c>
      <c r="AC61" s="122">
        <f>IF(C61="DENALI", AB61*0.495, IF(C61="SCHNEIDER ELECTRIC", AB61*1.136, IF(C61="WWT", AB61*1.2, AC61)))+AB61</f>
        <v>331.29199999999997</v>
      </c>
      <c r="AD61" s="129">
        <f>AC61-AB61</f>
        <v>109.69199999999998</v>
      </c>
      <c r="AE61" s="122">
        <v>14549.94</v>
      </c>
      <c r="AF61" s="130">
        <f>AB61/U61</f>
        <v>110.8</v>
      </c>
      <c r="AG61" s="130">
        <f>AB61/V61</f>
        <v>8.523076923076923</v>
      </c>
      <c r="AH61" s="123">
        <f>AB61/S61</f>
        <v>0.32209302325581396</v>
      </c>
      <c r="AI61" s="124" t="s">
        <v>97</v>
      </c>
      <c r="AJ61" s="125" t="s">
        <v>349</v>
      </c>
      <c r="AK61"/>
      <c r="AM61" s="80"/>
    </row>
    <row r="62" spans="1:39" ht="28.5" customHeight="1">
      <c r="A62" s="113" t="s">
        <v>73</v>
      </c>
      <c r="B62" s="114" t="s">
        <v>140</v>
      </c>
      <c r="C62" s="113" t="s">
        <v>35</v>
      </c>
      <c r="D62" s="113" t="s">
        <v>218</v>
      </c>
      <c r="E62" s="115" t="s">
        <v>141</v>
      </c>
      <c r="F62" s="113" t="s">
        <v>142</v>
      </c>
      <c r="G62" s="116" t="s">
        <v>388</v>
      </c>
      <c r="H62" s="79">
        <v>46076</v>
      </c>
      <c r="I62" s="114" t="s">
        <v>79</v>
      </c>
      <c r="J62" s="117" t="s">
        <v>389</v>
      </c>
      <c r="K62" s="118">
        <v>46070</v>
      </c>
      <c r="L62" s="114" t="s">
        <v>81</v>
      </c>
      <c r="M62" s="119">
        <v>46073</v>
      </c>
      <c r="N62" s="128">
        <v>46073</v>
      </c>
      <c r="O62" s="120">
        <f>NETWORKDAYS.INTL(K62,N62,1,$AM$2:$AM$10)-1</f>
        <v>3</v>
      </c>
      <c r="P62" s="114" t="s">
        <v>81</v>
      </c>
      <c r="Q62" s="114" t="s">
        <v>79</v>
      </c>
      <c r="R62" s="115" t="s">
        <v>95</v>
      </c>
      <c r="S62" s="145">
        <v>441</v>
      </c>
      <c r="T62" s="148" t="s">
        <v>390</v>
      </c>
      <c r="U62" s="147">
        <v>3</v>
      </c>
      <c r="V62" s="121">
        <v>142</v>
      </c>
      <c r="W62" s="121">
        <v>1485</v>
      </c>
      <c r="X62" s="114" t="s">
        <v>84</v>
      </c>
      <c r="Y62" s="115" t="s">
        <v>85</v>
      </c>
      <c r="Z62" s="115" t="s">
        <v>234</v>
      </c>
      <c r="AA62" s="113" t="s">
        <v>87</v>
      </c>
      <c r="AB62" s="122">
        <v>428.71</v>
      </c>
      <c r="AC62" s="122">
        <f>IF(C62="DENALI", AB62*0.495, IF(C62="SCHNEIDER ELECTRIC", AB62*1.136, IF(C62="WWT", AB62*1.2, AC62)))+AB62</f>
        <v>640.92144999999994</v>
      </c>
      <c r="AD62" s="129">
        <f>AC62-AB62</f>
        <v>212.21144999999996</v>
      </c>
      <c r="AE62" s="122">
        <v>65024.56</v>
      </c>
      <c r="AF62" s="130">
        <f>AB62/U62</f>
        <v>142.90333333333334</v>
      </c>
      <c r="AG62" s="130">
        <f>AB62/V62</f>
        <v>3.0190845070422534</v>
      </c>
      <c r="AH62" s="123">
        <f>AB62/S62</f>
        <v>0.97213151927437635</v>
      </c>
      <c r="AI62" s="124" t="s">
        <v>155</v>
      </c>
      <c r="AJ62" s="125" t="s">
        <v>121</v>
      </c>
      <c r="AK62"/>
      <c r="AM62" s="80"/>
    </row>
    <row r="63" spans="1:39" ht="28.5" customHeight="1">
      <c r="A63" s="113" t="s">
        <v>73</v>
      </c>
      <c r="B63" s="114" t="s">
        <v>74</v>
      </c>
      <c r="C63" s="113" t="s">
        <v>35</v>
      </c>
      <c r="D63" s="113" t="s">
        <v>218</v>
      </c>
      <c r="E63" s="115" t="s">
        <v>391</v>
      </c>
      <c r="F63" s="113" t="s">
        <v>365</v>
      </c>
      <c r="G63" s="116" t="s">
        <v>392</v>
      </c>
      <c r="H63" s="79">
        <v>46076</v>
      </c>
      <c r="I63" s="114" t="s">
        <v>79</v>
      </c>
      <c r="J63" s="117" t="s">
        <v>393</v>
      </c>
      <c r="K63" s="118">
        <v>46070</v>
      </c>
      <c r="L63" s="114" t="s">
        <v>81</v>
      </c>
      <c r="M63" s="119">
        <v>46072</v>
      </c>
      <c r="N63" s="128">
        <v>46072</v>
      </c>
      <c r="O63" s="120">
        <f>NETWORKDAYS.INTL(K63,N63,1,$AM$2:$AM$10)-1</f>
        <v>2</v>
      </c>
      <c r="P63" s="114" t="s">
        <v>81</v>
      </c>
      <c r="Q63" s="114" t="s">
        <v>79</v>
      </c>
      <c r="R63" s="115" t="s">
        <v>95</v>
      </c>
      <c r="S63" s="145">
        <v>413</v>
      </c>
      <c r="T63" s="148" t="s">
        <v>394</v>
      </c>
      <c r="U63" s="147">
        <v>1</v>
      </c>
      <c r="V63" s="121">
        <v>120</v>
      </c>
      <c r="W63" s="121">
        <v>565</v>
      </c>
      <c r="X63" s="114" t="s">
        <v>84</v>
      </c>
      <c r="Y63" s="115" t="s">
        <v>85</v>
      </c>
      <c r="Z63" s="115" t="s">
        <v>86</v>
      </c>
      <c r="AA63" s="113" t="s">
        <v>87</v>
      </c>
      <c r="AB63" s="122">
        <v>228.09</v>
      </c>
      <c r="AC63" s="122">
        <f>IF(C63="DENALI", AB63*0.495, IF(C63="SCHNEIDER ELECTRIC", AB63*1.136, IF(C63="WWT", AB63*1.2, AC63)))+AB63</f>
        <v>340.99455</v>
      </c>
      <c r="AD63" s="129">
        <f>AC63-AB63</f>
        <v>112.90455</v>
      </c>
      <c r="AE63" s="122">
        <v>13649.58</v>
      </c>
      <c r="AF63" s="130">
        <f>AB63/U63</f>
        <v>228.09</v>
      </c>
      <c r="AG63" s="130">
        <f>AB63/V63</f>
        <v>1.9007499999999999</v>
      </c>
      <c r="AH63" s="123">
        <f>AB63/S63</f>
        <v>0.55227602905569007</v>
      </c>
      <c r="AI63" s="124" t="s">
        <v>97</v>
      </c>
      <c r="AJ63" s="125" t="s">
        <v>349</v>
      </c>
      <c r="AK63"/>
      <c r="AM63" s="80"/>
    </row>
    <row r="64" spans="1:39" ht="28.5" customHeight="1">
      <c r="A64" s="113" t="s">
        <v>73</v>
      </c>
      <c r="B64" s="114" t="s">
        <v>74</v>
      </c>
      <c r="C64" s="113" t="s">
        <v>35</v>
      </c>
      <c r="D64" s="113" t="s">
        <v>218</v>
      </c>
      <c r="E64" s="115" t="s">
        <v>395</v>
      </c>
      <c r="F64" s="113" t="s">
        <v>396</v>
      </c>
      <c r="G64" s="116" t="s">
        <v>397</v>
      </c>
      <c r="H64" s="79">
        <v>46076</v>
      </c>
      <c r="I64" s="114" t="s">
        <v>79</v>
      </c>
      <c r="J64" s="117" t="s">
        <v>398</v>
      </c>
      <c r="K64" s="118">
        <v>46070</v>
      </c>
      <c r="L64" s="114" t="s">
        <v>81</v>
      </c>
      <c r="M64" s="119">
        <v>46072</v>
      </c>
      <c r="N64" s="128">
        <v>46072</v>
      </c>
      <c r="O64" s="120">
        <f>NETWORKDAYS.INTL(K64,N64,1,$AM$2:$AM$10)-1</f>
        <v>2</v>
      </c>
      <c r="P64" s="114" t="s">
        <v>81</v>
      </c>
      <c r="Q64" s="114" t="s">
        <v>79</v>
      </c>
      <c r="R64" s="115" t="s">
        <v>95</v>
      </c>
      <c r="S64" s="145">
        <v>653</v>
      </c>
      <c r="T64" s="148" t="s">
        <v>399</v>
      </c>
      <c r="U64" s="147">
        <v>1</v>
      </c>
      <c r="V64" s="121">
        <v>110</v>
      </c>
      <c r="W64" s="121">
        <v>565</v>
      </c>
      <c r="X64" s="114" t="s">
        <v>84</v>
      </c>
      <c r="Y64" s="115" t="s">
        <v>85</v>
      </c>
      <c r="Z64" s="115" t="s">
        <v>222</v>
      </c>
      <c r="AA64" s="113" t="s">
        <v>87</v>
      </c>
      <c r="AB64" s="122">
        <v>202.83</v>
      </c>
      <c r="AC64" s="122">
        <f>IF(C64="DENALI", AB64*0.495, IF(C64="SCHNEIDER ELECTRIC", AB64*1.136, IF(C64="WWT", AB64*1.2, AC64)))+AB64</f>
        <v>303.23085000000003</v>
      </c>
      <c r="AD64" s="129">
        <f>AC64-AB64</f>
        <v>100.40085000000002</v>
      </c>
      <c r="AE64" s="122">
        <v>13577.23</v>
      </c>
      <c r="AF64" s="130">
        <f>AB64/U64</f>
        <v>202.83</v>
      </c>
      <c r="AG64" s="130">
        <f>AB64/V64</f>
        <v>1.8439090909090909</v>
      </c>
      <c r="AH64" s="123">
        <f>AB64/S64</f>
        <v>0.31061255742725885</v>
      </c>
      <c r="AI64" s="124" t="s">
        <v>97</v>
      </c>
      <c r="AJ64" s="125" t="s">
        <v>349</v>
      </c>
      <c r="AK64"/>
      <c r="AM64" s="80"/>
    </row>
    <row r="65" spans="1:39" ht="28.5" customHeight="1">
      <c r="A65" s="113" t="s">
        <v>73</v>
      </c>
      <c r="B65" s="114" t="s">
        <v>74</v>
      </c>
      <c r="C65" s="113" t="s">
        <v>35</v>
      </c>
      <c r="D65" s="113" t="s">
        <v>218</v>
      </c>
      <c r="E65" s="115" t="s">
        <v>400</v>
      </c>
      <c r="F65" s="113" t="s">
        <v>401</v>
      </c>
      <c r="G65" s="116" t="s">
        <v>402</v>
      </c>
      <c r="H65" s="79">
        <v>46076</v>
      </c>
      <c r="I65" s="114" t="s">
        <v>79</v>
      </c>
      <c r="J65" s="117" t="s">
        <v>403</v>
      </c>
      <c r="K65" s="118">
        <v>46070</v>
      </c>
      <c r="L65" s="114" t="s">
        <v>81</v>
      </c>
      <c r="M65" s="119">
        <v>46073</v>
      </c>
      <c r="N65" s="128">
        <v>46073</v>
      </c>
      <c r="O65" s="120">
        <f>NETWORKDAYS.INTL(K65,N65,1,$AM$2:$AM$10)-1</f>
        <v>3</v>
      </c>
      <c r="P65" s="114" t="s">
        <v>81</v>
      </c>
      <c r="Q65" s="114" t="s">
        <v>79</v>
      </c>
      <c r="R65" s="115" t="s">
        <v>95</v>
      </c>
      <c r="S65" s="145">
        <v>859</v>
      </c>
      <c r="T65" s="148" t="s">
        <v>404</v>
      </c>
      <c r="U65" s="147">
        <v>1</v>
      </c>
      <c r="V65" s="121">
        <v>150</v>
      </c>
      <c r="W65" s="121">
        <v>585</v>
      </c>
      <c r="X65" s="114" t="s">
        <v>84</v>
      </c>
      <c r="Y65" s="115" t="s">
        <v>85</v>
      </c>
      <c r="Z65" s="115" t="s">
        <v>86</v>
      </c>
      <c r="AA65" s="113" t="s">
        <v>87</v>
      </c>
      <c r="AB65" s="122">
        <v>371.78</v>
      </c>
      <c r="AC65" s="122">
        <f>IF(C65="DENALI", AB65*0.495, IF(C65="SCHNEIDER ELECTRIC", AB65*1.136, IF(C65="WWT", AB65*1.2, AC65)))+AB65</f>
        <v>555.8110999999999</v>
      </c>
      <c r="AD65" s="129">
        <f>AC65-AB65</f>
        <v>184.03109999999992</v>
      </c>
      <c r="AE65" s="122">
        <v>13412.73</v>
      </c>
      <c r="AF65" s="130">
        <f>AB65/U65</f>
        <v>371.78</v>
      </c>
      <c r="AG65" s="130">
        <f>AB65/V65</f>
        <v>2.478533333333333</v>
      </c>
      <c r="AH65" s="123">
        <f>AB65/S65</f>
        <v>0.43280558789289869</v>
      </c>
      <c r="AI65" s="124" t="s">
        <v>147</v>
      </c>
      <c r="AJ65" s="125" t="s">
        <v>343</v>
      </c>
      <c r="AK65"/>
      <c r="AM65" s="80"/>
    </row>
    <row r="66" spans="1:39" ht="28.5" customHeight="1">
      <c r="A66" s="113" t="s">
        <v>73</v>
      </c>
      <c r="B66" s="114" t="s">
        <v>74</v>
      </c>
      <c r="C66" s="113" t="s">
        <v>35</v>
      </c>
      <c r="D66" s="113" t="s">
        <v>218</v>
      </c>
      <c r="E66" s="115" t="s">
        <v>405</v>
      </c>
      <c r="F66" s="113" t="s">
        <v>109</v>
      </c>
      <c r="G66" s="116" t="s">
        <v>406</v>
      </c>
      <c r="H66" s="79">
        <v>46076</v>
      </c>
      <c r="I66" s="114" t="s">
        <v>79</v>
      </c>
      <c r="J66" s="117" t="s">
        <v>407</v>
      </c>
      <c r="K66" s="118">
        <v>46070</v>
      </c>
      <c r="L66" s="114" t="s">
        <v>81</v>
      </c>
      <c r="M66" s="119">
        <v>46073</v>
      </c>
      <c r="N66" s="128">
        <v>46073</v>
      </c>
      <c r="O66" s="120">
        <f>NETWORKDAYS.INTL(K66,N66,1,$AM$2:$AM$10)-1</f>
        <v>3</v>
      </c>
      <c r="P66" s="114" t="s">
        <v>81</v>
      </c>
      <c r="Q66" s="114" t="s">
        <v>79</v>
      </c>
      <c r="R66" s="115" t="s">
        <v>95</v>
      </c>
      <c r="S66" s="145">
        <v>1037</v>
      </c>
      <c r="T66" s="148" t="s">
        <v>408</v>
      </c>
      <c r="U66" s="147">
        <v>1</v>
      </c>
      <c r="V66" s="121">
        <v>120</v>
      </c>
      <c r="W66" s="121">
        <v>565</v>
      </c>
      <c r="X66" s="114" t="s">
        <v>84</v>
      </c>
      <c r="Y66" s="115" t="s">
        <v>85</v>
      </c>
      <c r="Z66" s="115" t="s">
        <v>86</v>
      </c>
      <c r="AA66" s="113" t="s">
        <v>87</v>
      </c>
      <c r="AB66" s="122">
        <v>336.99</v>
      </c>
      <c r="AC66" s="122">
        <f>IF(C66="DENALI", AB66*0.495, IF(C66="SCHNEIDER ELECTRIC", AB66*1.136, IF(C66="WWT", AB66*1.2, AC66)))+AB66</f>
        <v>503.80005</v>
      </c>
      <c r="AD66" s="129">
        <f>AC66-AB66</f>
        <v>166.81004999999999</v>
      </c>
      <c r="AE66" s="122">
        <v>13413.73</v>
      </c>
      <c r="AF66" s="130">
        <f>AB66/U66</f>
        <v>336.99</v>
      </c>
      <c r="AG66" s="130">
        <f>AB66/V66</f>
        <v>2.8082500000000001</v>
      </c>
      <c r="AH66" s="123">
        <f>AB66/S66</f>
        <v>0.32496624879459984</v>
      </c>
      <c r="AI66" s="124" t="s">
        <v>147</v>
      </c>
      <c r="AJ66" s="125" t="s">
        <v>343</v>
      </c>
      <c r="AK66"/>
      <c r="AM66" s="80"/>
    </row>
    <row r="67" spans="1:39" ht="28.5" customHeight="1">
      <c r="A67" s="113" t="s">
        <v>73</v>
      </c>
      <c r="B67" s="114" t="s">
        <v>140</v>
      </c>
      <c r="C67" s="113" t="s">
        <v>35</v>
      </c>
      <c r="D67" s="113" t="s">
        <v>218</v>
      </c>
      <c r="E67" s="115" t="s">
        <v>141</v>
      </c>
      <c r="F67" s="113" t="s">
        <v>142</v>
      </c>
      <c r="G67" s="116">
        <v>22271069</v>
      </c>
      <c r="H67" s="79">
        <v>46072</v>
      </c>
      <c r="I67" s="114" t="s">
        <v>79</v>
      </c>
      <c r="J67" s="117" t="s">
        <v>409</v>
      </c>
      <c r="K67" s="118">
        <v>46071</v>
      </c>
      <c r="L67" s="114" t="s">
        <v>81</v>
      </c>
      <c r="M67" s="119">
        <v>46072</v>
      </c>
      <c r="N67" s="128">
        <v>46072</v>
      </c>
      <c r="O67" s="120">
        <f>NETWORKDAYS.INTL(K67,N67,1,$AM$2:$AM$10)-1</f>
        <v>1</v>
      </c>
      <c r="P67" s="114" t="s">
        <v>81</v>
      </c>
      <c r="Q67" s="114" t="s">
        <v>79</v>
      </c>
      <c r="R67" s="115" t="s">
        <v>95</v>
      </c>
      <c r="S67" s="145">
        <v>439</v>
      </c>
      <c r="T67" s="148" t="s">
        <v>410</v>
      </c>
      <c r="U67" s="147">
        <v>20</v>
      </c>
      <c r="V67" s="121">
        <v>20</v>
      </c>
      <c r="W67" s="121">
        <v>7400</v>
      </c>
      <c r="X67" s="114" t="s">
        <v>113</v>
      </c>
      <c r="Y67" s="115" t="s">
        <v>85</v>
      </c>
      <c r="Z67" s="115" t="s">
        <v>411</v>
      </c>
      <c r="AA67" s="113" t="s">
        <v>87</v>
      </c>
      <c r="AB67" s="122">
        <v>2670.9</v>
      </c>
      <c r="AC67" s="122">
        <f>IF(C67="DENALI", AB67*0.495, IF(C67="SCHNEIDER ELECTRIC", AB67*1.136, IF(C67="WWT", AB67*1.2, AC67)))+AB67</f>
        <v>3992.9955</v>
      </c>
      <c r="AD67" s="129">
        <f>AC67-AB67</f>
        <v>1322.0954999999999</v>
      </c>
      <c r="AE67" s="122">
        <v>135673</v>
      </c>
      <c r="AF67" s="130">
        <f>AB67/U67</f>
        <v>133.54500000000002</v>
      </c>
      <c r="AG67" s="130">
        <f>AB67/V67</f>
        <v>133.54500000000002</v>
      </c>
      <c r="AH67" s="123">
        <f>AB67/S67</f>
        <v>6.0840546697038729</v>
      </c>
      <c r="AI67" s="124" t="s">
        <v>155</v>
      </c>
      <c r="AJ67" s="125" t="s">
        <v>121</v>
      </c>
      <c r="AK67"/>
      <c r="AM67" s="80"/>
    </row>
    <row r="68" spans="1:39" ht="28.5" customHeight="1">
      <c r="A68" s="113" t="s">
        <v>73</v>
      </c>
      <c r="B68" s="114" t="s">
        <v>140</v>
      </c>
      <c r="C68" s="113" t="s">
        <v>35</v>
      </c>
      <c r="D68" s="113" t="s">
        <v>218</v>
      </c>
      <c r="E68" s="115" t="s">
        <v>141</v>
      </c>
      <c r="F68" s="113" t="s">
        <v>142</v>
      </c>
      <c r="G68" s="116">
        <v>22270950</v>
      </c>
      <c r="H68" s="79">
        <v>46072</v>
      </c>
      <c r="I68" s="114" t="s">
        <v>79</v>
      </c>
      <c r="J68" s="117" t="s">
        <v>412</v>
      </c>
      <c r="K68" s="118">
        <v>46071</v>
      </c>
      <c r="L68" s="114" t="s">
        <v>81</v>
      </c>
      <c r="M68" s="119">
        <v>46072</v>
      </c>
      <c r="N68" s="128">
        <v>46072</v>
      </c>
      <c r="O68" s="120">
        <f>NETWORKDAYS.INTL(K68,N68,1,$AM$2:$AM$10)-1</f>
        <v>1</v>
      </c>
      <c r="P68" s="114" t="s">
        <v>81</v>
      </c>
      <c r="Q68" s="114" t="s">
        <v>79</v>
      </c>
      <c r="R68" s="115" t="s">
        <v>95</v>
      </c>
      <c r="S68" s="145">
        <v>439</v>
      </c>
      <c r="T68" s="148" t="s">
        <v>410</v>
      </c>
      <c r="U68" s="147">
        <v>20</v>
      </c>
      <c r="V68" s="121">
        <v>20</v>
      </c>
      <c r="W68" s="121">
        <v>7400</v>
      </c>
      <c r="X68" s="114" t="s">
        <v>113</v>
      </c>
      <c r="Y68" s="115" t="s">
        <v>85</v>
      </c>
      <c r="Z68" s="115" t="s">
        <v>413</v>
      </c>
      <c r="AA68" s="113" t="s">
        <v>87</v>
      </c>
      <c r="AB68" s="122">
        <v>2670.9</v>
      </c>
      <c r="AC68" s="122">
        <f>IF(C68="DENALI", AB68*0.495, IF(C68="SCHNEIDER ELECTRIC", AB68*1.136, IF(C68="WWT", AB68*1.2, AC68)))+AB68</f>
        <v>3992.9955</v>
      </c>
      <c r="AD68" s="129">
        <f>AC68-AB68</f>
        <v>1322.0954999999999</v>
      </c>
      <c r="AE68" s="122">
        <v>135674</v>
      </c>
      <c r="AF68" s="130">
        <f>AB68/U68</f>
        <v>133.54500000000002</v>
      </c>
      <c r="AG68" s="130">
        <f>AB68/V68</f>
        <v>133.54500000000002</v>
      </c>
      <c r="AH68" s="123">
        <f>AB68/S68</f>
        <v>6.0840546697038729</v>
      </c>
      <c r="AI68" s="124" t="s">
        <v>155</v>
      </c>
      <c r="AJ68" s="125" t="s">
        <v>121</v>
      </c>
      <c r="AK68"/>
      <c r="AM68" s="80"/>
    </row>
    <row r="69" spans="1:39" ht="28.5" customHeight="1">
      <c r="A69" s="113" t="s">
        <v>73</v>
      </c>
      <c r="B69" s="114" t="s">
        <v>74</v>
      </c>
      <c r="C69" s="113" t="s">
        <v>35</v>
      </c>
      <c r="D69" s="113" t="s">
        <v>218</v>
      </c>
      <c r="E69" s="115" t="s">
        <v>391</v>
      </c>
      <c r="F69" s="113" t="s">
        <v>365</v>
      </c>
      <c r="G69" s="116">
        <v>22288312</v>
      </c>
      <c r="H69" s="79">
        <v>46074</v>
      </c>
      <c r="I69" s="114" t="s">
        <v>79</v>
      </c>
      <c r="J69" s="117" t="s">
        <v>414</v>
      </c>
      <c r="K69" s="118">
        <v>46076</v>
      </c>
      <c r="L69" s="114" t="s">
        <v>81</v>
      </c>
      <c r="M69" s="119">
        <v>46077</v>
      </c>
      <c r="N69" s="128">
        <v>46077</v>
      </c>
      <c r="O69" s="120">
        <f>NETWORKDAYS.INTL(K69,N69,1,$AM$2:$AM$10)-1</f>
        <v>1</v>
      </c>
      <c r="P69" s="114" t="s">
        <v>81</v>
      </c>
      <c r="Q69" s="114" t="s">
        <v>79</v>
      </c>
      <c r="R69" s="115" t="s">
        <v>95</v>
      </c>
      <c r="S69" s="145">
        <v>413</v>
      </c>
      <c r="T69" s="148" t="s">
        <v>394</v>
      </c>
      <c r="U69" s="147">
        <v>14</v>
      </c>
      <c r="V69" s="121">
        <v>779</v>
      </c>
      <c r="W69" s="121">
        <v>9340</v>
      </c>
      <c r="X69" s="114" t="s">
        <v>113</v>
      </c>
      <c r="Y69" s="115" t="s">
        <v>85</v>
      </c>
      <c r="Z69" s="115" t="s">
        <v>415</v>
      </c>
      <c r="AA69" s="113" t="s">
        <v>87</v>
      </c>
      <c r="AB69" s="122">
        <v>3132.41</v>
      </c>
      <c r="AC69" s="122">
        <f>IF(C69="DENALI", AB69*0.495, IF(C69="SCHNEIDER ELECTRIC", AB69*1.136, IF(C69="WWT", AB69*1.2, AC69)))+AB69</f>
        <v>4682.9529499999999</v>
      </c>
      <c r="AD69" s="129">
        <f>AC69-AB69</f>
        <v>1550.54295</v>
      </c>
      <c r="AE69" s="122">
        <v>355308.85</v>
      </c>
      <c r="AF69" s="130">
        <f>AB69/U69</f>
        <v>223.74357142857141</v>
      </c>
      <c r="AG69" s="130">
        <f>AB69/V69</f>
        <v>4.0210654685494225</v>
      </c>
      <c r="AH69" s="123">
        <f>AB69/S69</f>
        <v>7.5845278450363196</v>
      </c>
      <c r="AI69" s="124" t="s">
        <v>97</v>
      </c>
      <c r="AJ69" s="125" t="s">
        <v>349</v>
      </c>
      <c r="AK69"/>
      <c r="AM69" s="80"/>
    </row>
    <row r="70" spans="1:39" ht="28.5" customHeight="1">
      <c r="A70" s="113" t="s">
        <v>73</v>
      </c>
      <c r="B70" s="114" t="s">
        <v>140</v>
      </c>
      <c r="C70" s="113" t="s">
        <v>35</v>
      </c>
      <c r="D70" s="113" t="s">
        <v>218</v>
      </c>
      <c r="E70" s="115" t="s">
        <v>416</v>
      </c>
      <c r="F70" s="113" t="s">
        <v>90</v>
      </c>
      <c r="G70" s="116" t="s">
        <v>417</v>
      </c>
      <c r="H70" s="79">
        <v>46076</v>
      </c>
      <c r="I70" s="114" t="s">
        <v>79</v>
      </c>
      <c r="J70" s="117" t="s">
        <v>418</v>
      </c>
      <c r="K70" s="118">
        <v>46073</v>
      </c>
      <c r="L70" s="114" t="s">
        <v>81</v>
      </c>
      <c r="M70" s="119">
        <v>46079</v>
      </c>
      <c r="N70" s="128">
        <v>46079</v>
      </c>
      <c r="O70" s="120">
        <f>NETWORKDAYS.INTL(K70,N70,1,$AM$2:$AM$10)-1</f>
        <v>4</v>
      </c>
      <c r="P70" s="114" t="s">
        <v>81</v>
      </c>
      <c r="Q70" s="114" t="s">
        <v>79</v>
      </c>
      <c r="R70" s="115" t="s">
        <v>95</v>
      </c>
      <c r="S70" s="145">
        <v>2257</v>
      </c>
      <c r="T70" s="148" t="s">
        <v>419</v>
      </c>
      <c r="U70" s="147">
        <v>1</v>
      </c>
      <c r="V70" s="121">
        <v>64</v>
      </c>
      <c r="W70" s="121">
        <v>310</v>
      </c>
      <c r="X70" s="114" t="s">
        <v>84</v>
      </c>
      <c r="Y70" s="115" t="s">
        <v>85</v>
      </c>
      <c r="Z70" s="115" t="s">
        <v>86</v>
      </c>
      <c r="AA70" s="113" t="s">
        <v>87</v>
      </c>
      <c r="AB70" s="122">
        <v>279.47000000000003</v>
      </c>
      <c r="AC70" s="122">
        <f>IF(C70="DENALI", AB70*0.495, IF(C70="SCHNEIDER ELECTRIC", AB70*1.136, IF(C70="WWT", AB70*1.2, AC70)))+AB70</f>
        <v>417.80765000000008</v>
      </c>
      <c r="AD70" s="129">
        <f>AC70-AB70</f>
        <v>138.33765000000005</v>
      </c>
      <c r="AE70" s="122">
        <v>12907.4</v>
      </c>
      <c r="AF70" s="130">
        <f>AB70/U70</f>
        <v>279.47000000000003</v>
      </c>
      <c r="AG70" s="130">
        <f>AB70/V70</f>
        <v>4.3667187500000004</v>
      </c>
      <c r="AH70" s="123">
        <f>AB70/S70</f>
        <v>0.12382365972529909</v>
      </c>
      <c r="AI70" s="124" t="s">
        <v>147</v>
      </c>
      <c r="AJ70" s="125" t="s">
        <v>343</v>
      </c>
      <c r="AK70"/>
      <c r="AM70" s="80"/>
    </row>
    <row r="71" spans="1:39" ht="28.5" customHeight="1">
      <c r="A71" s="113" t="s">
        <v>73</v>
      </c>
      <c r="B71" s="114" t="s">
        <v>74</v>
      </c>
      <c r="C71" s="113" t="s">
        <v>35</v>
      </c>
      <c r="D71" s="113" t="s">
        <v>99</v>
      </c>
      <c r="E71" s="115" t="s">
        <v>420</v>
      </c>
      <c r="F71" s="113" t="s">
        <v>90</v>
      </c>
      <c r="G71" s="116" t="s">
        <v>421</v>
      </c>
      <c r="H71" s="79">
        <v>46076</v>
      </c>
      <c r="I71" s="114" t="s">
        <v>79</v>
      </c>
      <c r="J71" s="117" t="s">
        <v>422</v>
      </c>
      <c r="K71" s="118">
        <v>46073</v>
      </c>
      <c r="L71" s="114" t="s">
        <v>81</v>
      </c>
      <c r="M71" s="119">
        <v>46077</v>
      </c>
      <c r="N71" s="128">
        <v>46077</v>
      </c>
      <c r="O71" s="120">
        <f>NETWORKDAYS.INTL(K71,N71,1,$AM$2:$AM$10)-1</f>
        <v>2</v>
      </c>
      <c r="P71" s="114" t="s">
        <v>81</v>
      </c>
      <c r="Q71" s="114" t="s">
        <v>79</v>
      </c>
      <c r="R71" s="115" t="s">
        <v>95</v>
      </c>
      <c r="S71" s="145">
        <v>1208</v>
      </c>
      <c r="T71" s="148" t="s">
        <v>423</v>
      </c>
      <c r="U71" s="147">
        <v>1</v>
      </c>
      <c r="V71" s="121">
        <v>2</v>
      </c>
      <c r="W71" s="121">
        <v>110</v>
      </c>
      <c r="X71" s="114" t="s">
        <v>84</v>
      </c>
      <c r="Y71" s="115" t="s">
        <v>85</v>
      </c>
      <c r="Z71" s="115" t="s">
        <v>424</v>
      </c>
      <c r="AA71" s="113" t="s">
        <v>87</v>
      </c>
      <c r="AB71" s="122">
        <v>246.15</v>
      </c>
      <c r="AC71" s="122">
        <f>IF(C71="DENALI", AB71*0.495, IF(C71="SCHNEIDER ELECTRIC", AB71*1.136, IF(C71="WWT", AB71*1.2, AC71)))+AB71</f>
        <v>367.99425000000002</v>
      </c>
      <c r="AD71" s="129">
        <f>AC71-AB71</f>
        <v>121.84425000000002</v>
      </c>
      <c r="AE71" s="122">
        <v>755.7</v>
      </c>
      <c r="AF71" s="130">
        <f>AB71/U71</f>
        <v>246.15</v>
      </c>
      <c r="AG71" s="130">
        <f>AB71/V71</f>
        <v>123.075</v>
      </c>
      <c r="AH71" s="123">
        <f>AB71/S71</f>
        <v>0.20376655629139073</v>
      </c>
      <c r="AI71" s="124" t="s">
        <v>425</v>
      </c>
      <c r="AJ71" s="125" t="s">
        <v>349</v>
      </c>
      <c r="AK71"/>
      <c r="AM71" s="80"/>
    </row>
    <row r="72" spans="1:39" ht="60.75">
      <c r="A72" s="113" t="s">
        <v>73</v>
      </c>
      <c r="B72" s="114" t="s">
        <v>140</v>
      </c>
      <c r="C72" s="113" t="s">
        <v>36</v>
      </c>
      <c r="D72" s="113" t="s">
        <v>75</v>
      </c>
      <c r="E72" s="115" t="s">
        <v>141</v>
      </c>
      <c r="F72" s="113" t="s">
        <v>142</v>
      </c>
      <c r="G72" s="116" t="s">
        <v>426</v>
      </c>
      <c r="H72" s="79">
        <v>46077</v>
      </c>
      <c r="I72" s="114" t="s">
        <v>79</v>
      </c>
      <c r="J72" s="117" t="s">
        <v>427</v>
      </c>
      <c r="K72" s="118">
        <v>46076</v>
      </c>
      <c r="L72" s="114" t="s">
        <v>81</v>
      </c>
      <c r="M72" s="119">
        <v>46079</v>
      </c>
      <c r="N72" s="128">
        <v>46079</v>
      </c>
      <c r="O72" s="120">
        <f>NETWORKDAYS.INTL(K72,N72,1,$AM$2:$AM$10)-1</f>
        <v>3</v>
      </c>
      <c r="P72" s="114" t="s">
        <v>81</v>
      </c>
      <c r="Q72" s="114" t="s">
        <v>79</v>
      </c>
      <c r="R72" s="115" t="s">
        <v>95</v>
      </c>
      <c r="S72" s="145">
        <v>728</v>
      </c>
      <c r="T72" s="148" t="s">
        <v>428</v>
      </c>
      <c r="U72" s="147">
        <v>3</v>
      </c>
      <c r="V72" s="121">
        <v>29</v>
      </c>
      <c r="W72" s="121">
        <v>1802</v>
      </c>
      <c r="X72" s="114" t="s">
        <v>84</v>
      </c>
      <c r="Y72" s="115" t="s">
        <v>85</v>
      </c>
      <c r="Z72" s="115" t="s">
        <v>86</v>
      </c>
      <c r="AA72" s="113" t="s">
        <v>87</v>
      </c>
      <c r="AB72" s="122">
        <v>420.77</v>
      </c>
      <c r="AC72" s="122">
        <f>IF(C72="DENALI", AB72*0.495, IF(C72="SCHNEIDER ELECTRIC", AB72*1.136, IF(C72="WWT", AB72*1.2, AC72)))+AB72</f>
        <v>898.7647199999999</v>
      </c>
      <c r="AD72" s="129">
        <f>AC72-AB72</f>
        <v>477.99471999999992</v>
      </c>
      <c r="AE72" s="122">
        <v>37601.120000000003</v>
      </c>
      <c r="AF72" s="130">
        <f>AB72/U72</f>
        <v>140.25666666666666</v>
      </c>
      <c r="AG72" s="130">
        <f>AB72/V72</f>
        <v>14.509310344827586</v>
      </c>
      <c r="AH72" s="123">
        <f>AB72/S72</f>
        <v>0.57798076923076924</v>
      </c>
      <c r="AI72" s="124" t="s">
        <v>155</v>
      </c>
      <c r="AJ72" s="125" t="s">
        <v>121</v>
      </c>
      <c r="AK72"/>
      <c r="AM72" s="80"/>
    </row>
    <row r="73" spans="1:39" ht="28.5" customHeight="1">
      <c r="A73" s="113" t="s">
        <v>73</v>
      </c>
      <c r="B73" s="114" t="s">
        <v>74</v>
      </c>
      <c r="C73" s="113" t="s">
        <v>36</v>
      </c>
      <c r="D73" s="113" t="s">
        <v>90</v>
      </c>
      <c r="E73" s="115" t="s">
        <v>429</v>
      </c>
      <c r="F73" s="113" t="s">
        <v>92</v>
      </c>
      <c r="G73" s="116" t="s">
        <v>430</v>
      </c>
      <c r="H73" s="79">
        <v>46077</v>
      </c>
      <c r="I73" s="114" t="s">
        <v>79</v>
      </c>
      <c r="J73" s="117" t="s">
        <v>431</v>
      </c>
      <c r="K73" s="118">
        <v>46073</v>
      </c>
      <c r="L73" s="114" t="s">
        <v>81</v>
      </c>
      <c r="M73" s="119">
        <v>46077</v>
      </c>
      <c r="N73" s="128">
        <v>46077</v>
      </c>
      <c r="O73" s="120">
        <f>NETWORKDAYS.INTL(K73,N73,1,$AM$2:$AM$10)-1</f>
        <v>2</v>
      </c>
      <c r="P73" s="114" t="s">
        <v>81</v>
      </c>
      <c r="Q73" s="114" t="s">
        <v>79</v>
      </c>
      <c r="R73" s="115" t="s">
        <v>95</v>
      </c>
      <c r="S73" s="145">
        <v>1320</v>
      </c>
      <c r="T73" s="148" t="s">
        <v>432</v>
      </c>
      <c r="U73" s="147">
        <v>1</v>
      </c>
      <c r="V73" s="121">
        <v>4</v>
      </c>
      <c r="W73" s="121">
        <v>195</v>
      </c>
      <c r="X73" s="114" t="s">
        <v>84</v>
      </c>
      <c r="Y73" s="115" t="s">
        <v>85</v>
      </c>
      <c r="Z73" s="115" t="s">
        <v>342</v>
      </c>
      <c r="AA73" s="113" t="s">
        <v>87</v>
      </c>
      <c r="AB73" s="122">
        <v>346.45</v>
      </c>
      <c r="AC73" s="122">
        <f>IF(C73="DENALI", AB73*0.495, IF(C73="SCHNEIDER ELECTRIC", AB73*1.136, IF(C73="WWT", AB73*1.2, AC73)))+AB73</f>
        <v>740.0172</v>
      </c>
      <c r="AD73" s="129">
        <f>AC73-AB73</f>
        <v>393.56720000000001</v>
      </c>
      <c r="AE73" s="122">
        <v>1131.2</v>
      </c>
      <c r="AF73" s="130">
        <f>AB73/U73</f>
        <v>346.45</v>
      </c>
      <c r="AG73" s="130">
        <f>AB73/V73</f>
        <v>86.612499999999997</v>
      </c>
      <c r="AH73" s="123">
        <f>AB73/S73</f>
        <v>0.2624621212121212</v>
      </c>
      <c r="AI73" s="124" t="s">
        <v>240</v>
      </c>
      <c r="AJ73" s="125" t="s">
        <v>121</v>
      </c>
      <c r="AK73"/>
      <c r="AM73" s="80"/>
    </row>
    <row r="74" spans="1:39" ht="28.5" customHeight="1">
      <c r="A74" s="113" t="s">
        <v>73</v>
      </c>
      <c r="B74" s="114" t="s">
        <v>74</v>
      </c>
      <c r="C74" s="113" t="s">
        <v>35</v>
      </c>
      <c r="D74" s="113" t="s">
        <v>218</v>
      </c>
      <c r="E74" s="115" t="s">
        <v>433</v>
      </c>
      <c r="F74" s="113" t="s">
        <v>131</v>
      </c>
      <c r="G74" s="116" t="s">
        <v>434</v>
      </c>
      <c r="H74" s="79">
        <v>46078</v>
      </c>
      <c r="I74" s="114" t="s">
        <v>79</v>
      </c>
      <c r="J74" s="117" t="s">
        <v>435</v>
      </c>
      <c r="K74" s="118">
        <v>46073</v>
      </c>
      <c r="L74" s="114" t="s">
        <v>81</v>
      </c>
      <c r="M74" s="119">
        <v>46080</v>
      </c>
      <c r="N74" s="128">
        <v>46080</v>
      </c>
      <c r="O74" s="120">
        <f>NETWORKDAYS.INTL(K74,N74,1,$AM$2:$AM$10)-1</f>
        <v>5</v>
      </c>
      <c r="P74" s="114" t="s">
        <v>81</v>
      </c>
      <c r="Q74" s="114" t="s">
        <v>79</v>
      </c>
      <c r="R74" s="115" t="s">
        <v>95</v>
      </c>
      <c r="S74" s="145">
        <v>772</v>
      </c>
      <c r="T74" s="148" t="s">
        <v>436</v>
      </c>
      <c r="U74" s="147">
        <v>1</v>
      </c>
      <c r="V74" s="121">
        <v>32</v>
      </c>
      <c r="W74" s="121">
        <v>435</v>
      </c>
      <c r="X74" s="114" t="s">
        <v>84</v>
      </c>
      <c r="Y74" s="115" t="s">
        <v>85</v>
      </c>
      <c r="Z74" s="115" t="s">
        <v>342</v>
      </c>
      <c r="AA74" s="113" t="s">
        <v>87</v>
      </c>
      <c r="AB74" s="122">
        <v>363.04</v>
      </c>
      <c r="AC74" s="122">
        <f>IF(C74="DENALI", AB74*0.495, IF(C74="SCHNEIDER ELECTRIC", AB74*1.136, IF(C74="WWT", AB74*1.2, AC74)))+AB74</f>
        <v>542.74480000000005</v>
      </c>
      <c r="AD74" s="129">
        <f>AC74-AB74</f>
        <v>179.70480000000003</v>
      </c>
      <c r="AE74" s="122">
        <v>35453.449999999997</v>
      </c>
      <c r="AF74" s="130">
        <f>AB74/U74</f>
        <v>363.04</v>
      </c>
      <c r="AG74" s="130">
        <f>AB74/V74</f>
        <v>11.345000000000001</v>
      </c>
      <c r="AH74" s="123">
        <f>AB74/S74</f>
        <v>0.47025906735751299</v>
      </c>
      <c r="AI74" s="124" t="s">
        <v>437</v>
      </c>
      <c r="AJ74" s="125" t="s">
        <v>349</v>
      </c>
      <c r="AK74"/>
      <c r="AM74" s="80"/>
    </row>
    <row r="75" spans="1:39" ht="28.5" customHeight="1">
      <c r="A75" s="113" t="s">
        <v>73</v>
      </c>
      <c r="B75" s="114" t="s">
        <v>74</v>
      </c>
      <c r="C75" s="113" t="s">
        <v>36</v>
      </c>
      <c r="D75" s="113" t="s">
        <v>90</v>
      </c>
      <c r="E75" s="115" t="s">
        <v>438</v>
      </c>
      <c r="F75" s="113" t="s">
        <v>92</v>
      </c>
      <c r="G75" s="116" t="s">
        <v>439</v>
      </c>
      <c r="H75" s="79">
        <v>46078</v>
      </c>
      <c r="I75" s="114" t="s">
        <v>79</v>
      </c>
      <c r="J75" s="117" t="s">
        <v>440</v>
      </c>
      <c r="K75" s="118">
        <v>46073</v>
      </c>
      <c r="L75" s="114" t="s">
        <v>81</v>
      </c>
      <c r="M75" s="119">
        <v>46078</v>
      </c>
      <c r="N75" s="128">
        <v>46078</v>
      </c>
      <c r="O75" s="120">
        <f>NETWORKDAYS.INTL(K75,N75,1,$AM$2:$AM$10)-1</f>
        <v>3</v>
      </c>
      <c r="P75" s="114" t="s">
        <v>81</v>
      </c>
      <c r="Q75" s="114" t="s">
        <v>79</v>
      </c>
      <c r="R75" s="115" t="s">
        <v>95</v>
      </c>
      <c r="S75" s="145">
        <v>1528</v>
      </c>
      <c r="T75" s="148" t="s">
        <v>441</v>
      </c>
      <c r="U75" s="147">
        <v>1</v>
      </c>
      <c r="V75" s="121">
        <v>2</v>
      </c>
      <c r="W75" s="121">
        <v>216</v>
      </c>
      <c r="X75" s="114" t="s">
        <v>84</v>
      </c>
      <c r="Y75" s="115" t="s">
        <v>85</v>
      </c>
      <c r="Z75" s="115" t="s">
        <v>86</v>
      </c>
      <c r="AA75" s="113" t="s">
        <v>87</v>
      </c>
      <c r="AB75" s="122">
        <v>237.27</v>
      </c>
      <c r="AC75" s="122">
        <f>IF(C75="DENALI", AB75*0.495, IF(C75="SCHNEIDER ELECTRIC", AB75*1.136, IF(C75="WWT", AB75*1.2, AC75)))+AB75</f>
        <v>506.80871999999999</v>
      </c>
      <c r="AD75" s="129">
        <f>AC75-AB75</f>
        <v>269.53872000000001</v>
      </c>
      <c r="AE75" s="122">
        <v>6084.08</v>
      </c>
      <c r="AF75" s="130">
        <f>AB75/U75</f>
        <v>237.27</v>
      </c>
      <c r="AG75" s="130">
        <f>AB75/V75</f>
        <v>118.63500000000001</v>
      </c>
      <c r="AH75" s="123">
        <f>AB75/S75</f>
        <v>0.15528141361256545</v>
      </c>
      <c r="AI75" s="124" t="s">
        <v>97</v>
      </c>
      <c r="AJ75" s="125" t="s">
        <v>98</v>
      </c>
      <c r="AK75"/>
      <c r="AM75" s="80"/>
    </row>
    <row r="76" spans="1:39" ht="28.5" customHeight="1">
      <c r="A76" s="113" t="s">
        <v>73</v>
      </c>
      <c r="B76" s="114" t="s">
        <v>74</v>
      </c>
      <c r="C76" s="113" t="s">
        <v>35</v>
      </c>
      <c r="D76" s="113" t="s">
        <v>218</v>
      </c>
      <c r="E76" s="115" t="s">
        <v>442</v>
      </c>
      <c r="F76" s="113" t="s">
        <v>77</v>
      </c>
      <c r="G76" s="116" t="s">
        <v>443</v>
      </c>
      <c r="H76" s="79">
        <v>46079</v>
      </c>
      <c r="I76" s="114" t="s">
        <v>79</v>
      </c>
      <c r="J76" s="117" t="s">
        <v>444</v>
      </c>
      <c r="K76" s="118">
        <v>46077</v>
      </c>
      <c r="L76" s="114" t="s">
        <v>81</v>
      </c>
      <c r="M76" s="119">
        <v>46080</v>
      </c>
      <c r="N76" s="128">
        <v>46080</v>
      </c>
      <c r="O76" s="120">
        <f>NETWORKDAYS.INTL(K76,N76,1,$AM$2:$AM$10)-1</f>
        <v>3</v>
      </c>
      <c r="P76" s="114" t="s">
        <v>81</v>
      </c>
      <c r="Q76" s="114" t="s">
        <v>79</v>
      </c>
      <c r="R76" s="115" t="s">
        <v>95</v>
      </c>
      <c r="S76" s="145">
        <v>619</v>
      </c>
      <c r="T76" s="148" t="s">
        <v>445</v>
      </c>
      <c r="U76" s="147">
        <v>1</v>
      </c>
      <c r="V76" s="121">
        <v>3</v>
      </c>
      <c r="W76" s="121">
        <v>355</v>
      </c>
      <c r="X76" s="114" t="s">
        <v>84</v>
      </c>
      <c r="Y76" s="115" t="s">
        <v>85</v>
      </c>
      <c r="Z76" s="115" t="s">
        <v>222</v>
      </c>
      <c r="AA76" s="113" t="s">
        <v>87</v>
      </c>
      <c r="AB76" s="122">
        <v>168.76</v>
      </c>
      <c r="AC76" s="122">
        <f>IF(C76="DENALI", AB76*0.495, IF(C76="SCHNEIDER ELECTRIC", AB76*1.136, IF(C76="WWT", AB76*1.2, AC76)))+AB76</f>
        <v>252.2962</v>
      </c>
      <c r="AD76" s="129">
        <f>AC76-AB76</f>
        <v>83.536200000000008</v>
      </c>
      <c r="AE76" s="122">
        <v>3105.42</v>
      </c>
      <c r="AF76" s="130">
        <f>AB76/U76</f>
        <v>168.76</v>
      </c>
      <c r="AG76" s="130">
        <f>AB76/V76</f>
        <v>56.25333333333333</v>
      </c>
      <c r="AH76" s="123">
        <f>AB76/S76</f>
        <v>0.27263327948303712</v>
      </c>
      <c r="AI76" s="124" t="s">
        <v>155</v>
      </c>
      <c r="AJ76" s="125" t="s">
        <v>89</v>
      </c>
      <c r="AK76"/>
      <c r="AM76" s="80"/>
    </row>
    <row r="77" spans="1:39" ht="28.5" customHeight="1">
      <c r="A77" s="113" t="s">
        <v>73</v>
      </c>
      <c r="B77" s="114" t="s">
        <v>74</v>
      </c>
      <c r="C77" s="113" t="s">
        <v>35</v>
      </c>
      <c r="D77" s="113" t="s">
        <v>218</v>
      </c>
      <c r="E77" s="115" t="s">
        <v>446</v>
      </c>
      <c r="F77" s="113" t="s">
        <v>75</v>
      </c>
      <c r="G77" s="116" t="s">
        <v>447</v>
      </c>
      <c r="H77" s="79">
        <v>46079</v>
      </c>
      <c r="I77" s="114" t="s">
        <v>79</v>
      </c>
      <c r="J77" s="117" t="s">
        <v>448</v>
      </c>
      <c r="K77" s="118">
        <v>46077</v>
      </c>
      <c r="L77" s="114" t="s">
        <v>81</v>
      </c>
      <c r="M77" s="119">
        <v>46079</v>
      </c>
      <c r="N77" s="128">
        <v>46079</v>
      </c>
      <c r="O77" s="120">
        <f>NETWORKDAYS.INTL(K77,N77,1,$AM$2:$AM$10)-1</f>
        <v>2</v>
      </c>
      <c r="P77" s="114" t="s">
        <v>81</v>
      </c>
      <c r="Q77" s="114" t="s">
        <v>79</v>
      </c>
      <c r="R77" s="115" t="s">
        <v>95</v>
      </c>
      <c r="S77" s="145">
        <v>624</v>
      </c>
      <c r="T77" s="148" t="s">
        <v>449</v>
      </c>
      <c r="U77" s="147">
        <v>1</v>
      </c>
      <c r="V77" s="121">
        <v>6</v>
      </c>
      <c r="W77" s="121">
        <v>700</v>
      </c>
      <c r="X77" s="114" t="s">
        <v>84</v>
      </c>
      <c r="Y77" s="115" t="s">
        <v>85</v>
      </c>
      <c r="Z77" s="115" t="s">
        <v>222</v>
      </c>
      <c r="AA77" s="113" t="s">
        <v>87</v>
      </c>
      <c r="AB77" s="122">
        <v>161.72999999999999</v>
      </c>
      <c r="AC77" s="122">
        <f>IF(C77="DENALI", AB77*0.495, IF(C77="SCHNEIDER ELECTRIC", AB77*1.136, IF(C77="WWT", AB77*1.2, AC77)))+AB77</f>
        <v>241.78634999999997</v>
      </c>
      <c r="AD77" s="129">
        <f>AC77-AB77</f>
        <v>80.056349999999981</v>
      </c>
      <c r="AE77" s="122">
        <v>6210.84</v>
      </c>
      <c r="AF77" s="130">
        <f>AB77/U77</f>
        <v>161.72999999999999</v>
      </c>
      <c r="AG77" s="130">
        <f>AB77/V77</f>
        <v>26.954999999999998</v>
      </c>
      <c r="AH77" s="123">
        <f>AB77/S77</f>
        <v>0.25918269230769231</v>
      </c>
      <c r="AI77" s="124" t="s">
        <v>155</v>
      </c>
      <c r="AJ77" s="125" t="s">
        <v>89</v>
      </c>
      <c r="AK77"/>
      <c r="AM77" s="80"/>
    </row>
    <row r="78" spans="1:39" ht="28.5" customHeight="1">
      <c r="A78" s="113" t="s">
        <v>73</v>
      </c>
      <c r="B78" s="114" t="s">
        <v>74</v>
      </c>
      <c r="C78" s="113" t="s">
        <v>35</v>
      </c>
      <c r="D78" s="113" t="s">
        <v>99</v>
      </c>
      <c r="E78" s="115" t="s">
        <v>450</v>
      </c>
      <c r="F78" s="113" t="s">
        <v>265</v>
      </c>
      <c r="G78" s="116">
        <v>22318423</v>
      </c>
      <c r="H78" s="79">
        <v>46080</v>
      </c>
      <c r="I78" s="114" t="s">
        <v>79</v>
      </c>
      <c r="J78" s="117" t="s">
        <v>451</v>
      </c>
      <c r="K78" s="118">
        <v>46077</v>
      </c>
      <c r="L78" s="114" t="s">
        <v>81</v>
      </c>
      <c r="M78" s="119">
        <v>46080</v>
      </c>
      <c r="N78" s="128">
        <v>46080</v>
      </c>
      <c r="O78" s="120">
        <f>NETWORKDAYS.INTL(K78,N78,1,$AM$2:$AM$10)-1</f>
        <v>3</v>
      </c>
      <c r="P78" s="114" t="s">
        <v>81</v>
      </c>
      <c r="Q78" s="114" t="s">
        <v>79</v>
      </c>
      <c r="R78" s="115" t="s">
        <v>95</v>
      </c>
      <c r="S78" s="145">
        <v>2927</v>
      </c>
      <c r="T78" s="148" t="s">
        <v>452</v>
      </c>
      <c r="U78" s="147">
        <v>20</v>
      </c>
      <c r="V78" s="121">
        <v>476</v>
      </c>
      <c r="W78" s="121">
        <v>17000</v>
      </c>
      <c r="X78" s="114" t="s">
        <v>113</v>
      </c>
      <c r="Y78" s="115" t="s">
        <v>85</v>
      </c>
      <c r="Z78" s="115" t="s">
        <v>453</v>
      </c>
      <c r="AA78" s="113" t="s">
        <v>87</v>
      </c>
      <c r="AB78" s="122">
        <v>9934.92</v>
      </c>
      <c r="AC78" s="122">
        <f>IF(C78="DENALI", AB78*0.495, IF(C78="SCHNEIDER ELECTRIC", AB78*1.136, IF(C78="WWT", AB78*1.2, AC78)))+AB78</f>
        <v>14852.705399999999</v>
      </c>
      <c r="AD78" s="129">
        <f>AC78-AB78</f>
        <v>4917.7853999999988</v>
      </c>
      <c r="AE78" s="122">
        <v>260563.82</v>
      </c>
      <c r="AF78" s="130">
        <f>AB78/U78</f>
        <v>496.74599999999998</v>
      </c>
      <c r="AG78" s="130">
        <f>AB78/V78</f>
        <v>20.871680672268909</v>
      </c>
      <c r="AH78" s="123">
        <f>AB78/S78</f>
        <v>3.3942330030748207</v>
      </c>
      <c r="AI78" s="124" t="s">
        <v>97</v>
      </c>
      <c r="AJ78" s="125" t="s">
        <v>349</v>
      </c>
      <c r="AK78"/>
      <c r="AM78" s="80"/>
    </row>
    <row r="79" spans="1:39" ht="28.5" customHeight="1">
      <c r="A79" s="113" t="s">
        <v>73</v>
      </c>
      <c r="B79" s="114" t="s">
        <v>74</v>
      </c>
      <c r="C79" s="113" t="s">
        <v>35</v>
      </c>
      <c r="D79" s="113" t="s">
        <v>99</v>
      </c>
      <c r="E79" s="115" t="s">
        <v>450</v>
      </c>
      <c r="F79" s="113" t="s">
        <v>265</v>
      </c>
      <c r="G79" s="116">
        <v>22318435</v>
      </c>
      <c r="H79" s="79">
        <v>46080</v>
      </c>
      <c r="I79" s="114" t="s">
        <v>79</v>
      </c>
      <c r="J79" s="117" t="s">
        <v>454</v>
      </c>
      <c r="K79" s="118">
        <v>46077</v>
      </c>
      <c r="L79" s="114" t="s">
        <v>81</v>
      </c>
      <c r="M79" s="119">
        <v>46080</v>
      </c>
      <c r="N79" s="128">
        <v>46080</v>
      </c>
      <c r="O79" s="120">
        <f>NETWORKDAYS.INTL(K79,N79,1,$AM$2:$AM$10)-1</f>
        <v>3</v>
      </c>
      <c r="P79" s="114" t="s">
        <v>81</v>
      </c>
      <c r="Q79" s="114" t="s">
        <v>79</v>
      </c>
      <c r="R79" s="115" t="s">
        <v>95</v>
      </c>
      <c r="S79" s="145">
        <v>2927</v>
      </c>
      <c r="T79" s="148" t="s">
        <v>452</v>
      </c>
      <c r="U79" s="147">
        <v>21</v>
      </c>
      <c r="V79" s="121">
        <v>477</v>
      </c>
      <c r="W79" s="121">
        <v>17035</v>
      </c>
      <c r="X79" s="114" t="s">
        <v>113</v>
      </c>
      <c r="Y79" s="115" t="s">
        <v>85</v>
      </c>
      <c r="Z79" s="115" t="s">
        <v>455</v>
      </c>
      <c r="AA79" s="113" t="s">
        <v>87</v>
      </c>
      <c r="AB79" s="122">
        <v>9934.92</v>
      </c>
      <c r="AC79" s="122">
        <f>IF(C79="DENALI", AB79*0.495, IF(C79="SCHNEIDER ELECTRIC", AB79*1.136, IF(C79="WWT", AB79*1.2, AC79)))+AB79</f>
        <v>14852.705399999999</v>
      </c>
      <c r="AD79" s="129">
        <f>AC79-AB79</f>
        <v>4917.7853999999988</v>
      </c>
      <c r="AE79" s="122">
        <v>269978.82</v>
      </c>
      <c r="AF79" s="130">
        <f>AB79/U79</f>
        <v>473.09142857142859</v>
      </c>
      <c r="AG79" s="130">
        <f>AB79/V79</f>
        <v>20.827924528301885</v>
      </c>
      <c r="AH79" s="123">
        <f>AB79/S79</f>
        <v>3.3942330030748207</v>
      </c>
      <c r="AI79" s="124" t="s">
        <v>97</v>
      </c>
      <c r="AJ79" s="125" t="s">
        <v>349</v>
      </c>
      <c r="AK79"/>
      <c r="AM79" s="80"/>
    </row>
    <row r="80" spans="1:39" ht="28.5" customHeight="1">
      <c r="A80" s="113" t="s">
        <v>73</v>
      </c>
      <c r="B80" s="114" t="s">
        <v>74</v>
      </c>
      <c r="C80" s="113" t="s">
        <v>35</v>
      </c>
      <c r="D80" s="113" t="s">
        <v>218</v>
      </c>
      <c r="E80" s="115" t="s">
        <v>456</v>
      </c>
      <c r="F80" s="113" t="s">
        <v>457</v>
      </c>
      <c r="G80" s="116" t="s">
        <v>458</v>
      </c>
      <c r="H80" s="79">
        <v>46083</v>
      </c>
      <c r="I80" s="114" t="s">
        <v>79</v>
      </c>
      <c r="J80" s="117" t="s">
        <v>459</v>
      </c>
      <c r="K80" s="118">
        <v>46077</v>
      </c>
      <c r="L80" s="114" t="s">
        <v>81</v>
      </c>
      <c r="M80" s="119">
        <v>46080</v>
      </c>
      <c r="N80" s="128">
        <v>46080</v>
      </c>
      <c r="O80" s="120">
        <f>NETWORKDAYS.INTL(K80,N80,1,$AM$2:$AM$10)-1</f>
        <v>3</v>
      </c>
      <c r="P80" s="114" t="s">
        <v>81</v>
      </c>
      <c r="Q80" s="114" t="s">
        <v>79</v>
      </c>
      <c r="R80" s="115" t="s">
        <v>460</v>
      </c>
      <c r="S80" s="145">
        <v>656</v>
      </c>
      <c r="T80" s="148" t="s">
        <v>461</v>
      </c>
      <c r="U80" s="147">
        <v>2</v>
      </c>
      <c r="V80" s="121">
        <v>50</v>
      </c>
      <c r="W80" s="121">
        <v>485</v>
      </c>
      <c r="X80" s="114" t="s">
        <v>84</v>
      </c>
      <c r="Y80" s="115" t="s">
        <v>85</v>
      </c>
      <c r="Z80" s="115" t="s">
        <v>154</v>
      </c>
      <c r="AA80" s="113" t="s">
        <v>87</v>
      </c>
      <c r="AB80" s="122">
        <v>400.77</v>
      </c>
      <c r="AC80" s="122">
        <f>IF(C80="DENALI", AB80*0.495, IF(C80="SCHNEIDER ELECTRIC", AB80*1.136, IF(C80="WWT", AB80*1.2, AC80)))+AB80</f>
        <v>599.15114999999992</v>
      </c>
      <c r="AD80" s="129">
        <f>AC80-AB80</f>
        <v>198.38114999999993</v>
      </c>
      <c r="AE80" s="122">
        <v>17503.400000000001</v>
      </c>
      <c r="AF80" s="130">
        <f>AB80/U80</f>
        <v>200.38499999999999</v>
      </c>
      <c r="AG80" s="130">
        <f>AB80/V80</f>
        <v>8.0153999999999996</v>
      </c>
      <c r="AH80" s="123">
        <f>AB80/S80</f>
        <v>0.61092987804878041</v>
      </c>
      <c r="AI80" s="124" t="s">
        <v>97</v>
      </c>
      <c r="AJ80" s="125" t="s">
        <v>349</v>
      </c>
      <c r="AK80"/>
      <c r="AM80" s="80"/>
    </row>
    <row r="81" spans="1:39" ht="28.5" customHeight="1">
      <c r="A81" s="113" t="s">
        <v>73</v>
      </c>
      <c r="B81" s="114" t="s">
        <v>74</v>
      </c>
      <c r="C81" s="113" t="s">
        <v>35</v>
      </c>
      <c r="D81" s="113" t="s">
        <v>218</v>
      </c>
      <c r="E81" s="115" t="s">
        <v>462</v>
      </c>
      <c r="F81" s="113" t="s">
        <v>90</v>
      </c>
      <c r="G81" s="116" t="s">
        <v>463</v>
      </c>
      <c r="H81" s="79">
        <v>46083</v>
      </c>
      <c r="I81" s="114" t="s">
        <v>79</v>
      </c>
      <c r="J81" s="117" t="s">
        <v>464</v>
      </c>
      <c r="K81" s="118">
        <v>46077</v>
      </c>
      <c r="L81" s="114" t="s">
        <v>81</v>
      </c>
      <c r="M81" s="119">
        <v>46083</v>
      </c>
      <c r="N81" s="128">
        <v>46083</v>
      </c>
      <c r="O81" s="120">
        <f>NETWORKDAYS.INTL(K81,N81,1,$AM$2:$AM$10)-1</f>
        <v>4</v>
      </c>
      <c r="P81" s="114" t="s">
        <v>81</v>
      </c>
      <c r="Q81" s="114" t="s">
        <v>79</v>
      </c>
      <c r="R81" s="115" t="s">
        <v>95</v>
      </c>
      <c r="S81" s="145">
        <v>2139</v>
      </c>
      <c r="T81" s="148" t="s">
        <v>465</v>
      </c>
      <c r="U81" s="147">
        <v>1</v>
      </c>
      <c r="V81" s="121">
        <v>80</v>
      </c>
      <c r="W81" s="121">
        <v>610</v>
      </c>
      <c r="X81" s="114" t="s">
        <v>84</v>
      </c>
      <c r="Y81" s="115" t="s">
        <v>85</v>
      </c>
      <c r="Z81" s="115" t="s">
        <v>86</v>
      </c>
      <c r="AA81" s="113" t="s">
        <v>87</v>
      </c>
      <c r="AB81" s="122">
        <v>322.06</v>
      </c>
      <c r="AC81" s="122">
        <f>IF(C81="DENALI", AB81*0.495, IF(C81="SCHNEIDER ELECTRIC", AB81*1.136, IF(C81="WWT", AB81*1.2, AC81)))+AB81</f>
        <v>481.47969999999998</v>
      </c>
      <c r="AD81" s="129">
        <f>AC81-AB81</f>
        <v>159.41969999999998</v>
      </c>
      <c r="AE81" s="122">
        <v>27332.799999999999</v>
      </c>
      <c r="AF81" s="130">
        <f>AB81/U81</f>
        <v>322.06</v>
      </c>
      <c r="AG81" s="130">
        <f>AB81/V81</f>
        <v>4.0257500000000004</v>
      </c>
      <c r="AH81" s="123">
        <f>AB81/S81</f>
        <v>0.15056568489948574</v>
      </c>
      <c r="AI81" s="124" t="s">
        <v>97</v>
      </c>
      <c r="AJ81" s="125" t="s">
        <v>349</v>
      </c>
      <c r="AK81"/>
      <c r="AM81" s="80"/>
    </row>
    <row r="82" spans="1:39" ht="45.75">
      <c r="A82" s="113" t="s">
        <v>73</v>
      </c>
      <c r="B82" s="114" t="s">
        <v>140</v>
      </c>
      <c r="C82" s="113" t="s">
        <v>35</v>
      </c>
      <c r="D82" s="113" t="s">
        <v>218</v>
      </c>
      <c r="E82" s="115" t="s">
        <v>141</v>
      </c>
      <c r="F82" s="113" t="s">
        <v>142</v>
      </c>
      <c r="G82" s="116" t="s">
        <v>466</v>
      </c>
      <c r="H82" s="79">
        <v>46083</v>
      </c>
      <c r="I82" s="114" t="s">
        <v>79</v>
      </c>
      <c r="J82" s="117" t="s">
        <v>467</v>
      </c>
      <c r="K82" s="118">
        <v>46077</v>
      </c>
      <c r="L82" s="114" t="s">
        <v>81</v>
      </c>
      <c r="M82" s="119">
        <v>46079</v>
      </c>
      <c r="N82" s="128">
        <v>46079</v>
      </c>
      <c r="O82" s="120">
        <f>NETWORKDAYS.INTL(K82,N82,1,$AM$2:$AM$10)-1</f>
        <v>2</v>
      </c>
      <c r="P82" s="114" t="s">
        <v>81</v>
      </c>
      <c r="Q82" s="114" t="s">
        <v>79</v>
      </c>
      <c r="R82" s="115" t="s">
        <v>95</v>
      </c>
      <c r="S82" s="145">
        <v>441</v>
      </c>
      <c r="T82" s="148" t="s">
        <v>468</v>
      </c>
      <c r="U82" s="147">
        <v>3</v>
      </c>
      <c r="V82" s="121">
        <v>84</v>
      </c>
      <c r="W82" s="121">
        <v>990</v>
      </c>
      <c r="X82" s="114" t="s">
        <v>84</v>
      </c>
      <c r="Y82" s="115" t="s">
        <v>85</v>
      </c>
      <c r="Z82" s="115" t="s">
        <v>234</v>
      </c>
      <c r="AA82" s="113" t="s">
        <v>87</v>
      </c>
      <c r="AB82" s="122">
        <v>268.64</v>
      </c>
      <c r="AC82" s="122">
        <f>IF(C82="DENALI", AB82*0.495, IF(C82="SCHNEIDER ELECTRIC", AB82*1.136, IF(C82="WWT", AB82*1.2, AC82)))+AB82</f>
        <v>401.61680000000001</v>
      </c>
      <c r="AD82" s="129">
        <f>AC82-AB82</f>
        <v>132.97680000000003</v>
      </c>
      <c r="AE82" s="122">
        <v>5541.5</v>
      </c>
      <c r="AF82" s="130">
        <f>AB82/U82</f>
        <v>89.546666666666667</v>
      </c>
      <c r="AG82" s="130">
        <f>AB82/V82</f>
        <v>3.1980952380952381</v>
      </c>
      <c r="AH82" s="123">
        <f>AB82/S82</f>
        <v>0.60916099773242627</v>
      </c>
      <c r="AI82" s="124" t="s">
        <v>97</v>
      </c>
      <c r="AJ82" s="125" t="s">
        <v>379</v>
      </c>
      <c r="AK82"/>
      <c r="AM82" s="80"/>
    </row>
    <row r="83" spans="1:39" ht="28.5" customHeight="1">
      <c r="A83" s="113" t="s">
        <v>73</v>
      </c>
      <c r="B83" s="114" t="s">
        <v>74</v>
      </c>
      <c r="C83" s="113" t="s">
        <v>35</v>
      </c>
      <c r="D83" s="113" t="s">
        <v>218</v>
      </c>
      <c r="E83" s="115" t="s">
        <v>469</v>
      </c>
      <c r="F83" s="113" t="s">
        <v>457</v>
      </c>
      <c r="G83" s="116" t="s">
        <v>470</v>
      </c>
      <c r="H83" s="79">
        <v>46083</v>
      </c>
      <c r="I83" s="114" t="s">
        <v>79</v>
      </c>
      <c r="J83" s="117" t="s">
        <v>471</v>
      </c>
      <c r="K83" s="118">
        <v>46077</v>
      </c>
      <c r="L83" s="114" t="s">
        <v>81</v>
      </c>
      <c r="M83" s="119">
        <v>46083</v>
      </c>
      <c r="N83" s="128">
        <v>46097</v>
      </c>
      <c r="O83" s="120">
        <f>NETWORKDAYS.INTL(K83,N83,1,$AM$2:$AM$10)-1</f>
        <v>14</v>
      </c>
      <c r="P83" s="114" t="s">
        <v>79</v>
      </c>
      <c r="Q83" s="114" t="s">
        <v>81</v>
      </c>
      <c r="R83" s="115" t="s">
        <v>472</v>
      </c>
      <c r="S83" s="145">
        <v>378</v>
      </c>
      <c r="T83" s="148" t="s">
        <v>473</v>
      </c>
      <c r="U83" s="147">
        <v>1</v>
      </c>
      <c r="V83" s="121">
        <v>250</v>
      </c>
      <c r="W83" s="121">
        <v>710</v>
      </c>
      <c r="X83" s="114" t="s">
        <v>84</v>
      </c>
      <c r="Y83" s="115" t="s">
        <v>85</v>
      </c>
      <c r="Z83" s="115" t="s">
        <v>474</v>
      </c>
      <c r="AA83" s="113" t="s">
        <v>87</v>
      </c>
      <c r="AB83" s="122">
        <v>202.05</v>
      </c>
      <c r="AC83" s="122">
        <f>IF(C83="DENALI", AB83*0.495, IF(C83="SCHNEIDER ELECTRIC", AB83*1.136, IF(C83="WWT", AB83*1.2, AC83)))+AB83</f>
        <v>302.06475</v>
      </c>
      <c r="AD83" s="129">
        <f>AC83-AB83</f>
        <v>100.01474999999999</v>
      </c>
      <c r="AE83" s="122">
        <v>5470</v>
      </c>
      <c r="AF83" s="130">
        <f>AB83/U83</f>
        <v>202.05</v>
      </c>
      <c r="AG83" s="130">
        <f>AB83/V83</f>
        <v>0.80820000000000003</v>
      </c>
      <c r="AH83" s="123">
        <f>AB83/S83</f>
        <v>0.53452380952380951</v>
      </c>
      <c r="AI83" s="124" t="s">
        <v>97</v>
      </c>
      <c r="AJ83" s="125" t="s">
        <v>349</v>
      </c>
      <c r="AK83"/>
      <c r="AM83" s="80"/>
    </row>
    <row r="84" spans="1:39" ht="28.5" customHeight="1">
      <c r="A84" s="113" t="s">
        <v>73</v>
      </c>
      <c r="B84" s="114" t="s">
        <v>74</v>
      </c>
      <c r="C84" s="113" t="s">
        <v>35</v>
      </c>
      <c r="D84" s="113" t="s">
        <v>218</v>
      </c>
      <c r="E84" s="115" t="s">
        <v>475</v>
      </c>
      <c r="F84" s="113" t="s">
        <v>92</v>
      </c>
      <c r="G84" s="116" t="s">
        <v>476</v>
      </c>
      <c r="H84" s="79">
        <v>46083</v>
      </c>
      <c r="I84" s="114" t="s">
        <v>79</v>
      </c>
      <c r="J84" s="117" t="s">
        <v>477</v>
      </c>
      <c r="K84" s="118">
        <v>46077</v>
      </c>
      <c r="L84" s="114" t="s">
        <v>81</v>
      </c>
      <c r="M84" s="119">
        <v>46079</v>
      </c>
      <c r="N84" s="128">
        <v>46079</v>
      </c>
      <c r="O84" s="120">
        <f>NETWORKDAYS.INTL(K84,N84,1,$AM$2:$AM$10)-1</f>
        <v>2</v>
      </c>
      <c r="P84" s="114" t="s">
        <v>81</v>
      </c>
      <c r="Q84" s="114" t="s">
        <v>79</v>
      </c>
      <c r="R84" s="115" t="s">
        <v>95</v>
      </c>
      <c r="S84" s="145">
        <v>1036</v>
      </c>
      <c r="T84" s="148" t="s">
        <v>478</v>
      </c>
      <c r="U84" s="147">
        <v>1</v>
      </c>
      <c r="V84" s="121">
        <v>200</v>
      </c>
      <c r="W84" s="121">
        <v>240</v>
      </c>
      <c r="X84" s="114" t="s">
        <v>84</v>
      </c>
      <c r="Y84" s="115" t="s">
        <v>85</v>
      </c>
      <c r="Z84" s="115" t="s">
        <v>86</v>
      </c>
      <c r="AA84" s="113" t="s">
        <v>87</v>
      </c>
      <c r="AB84" s="122">
        <v>275.89999999999998</v>
      </c>
      <c r="AC84" s="122">
        <f>IF(C84="DENALI", AB84*0.495, IF(C84="SCHNEIDER ELECTRIC", AB84*1.136, IF(C84="WWT", AB84*1.2, AC84)))+AB84</f>
        <v>412.47049999999996</v>
      </c>
      <c r="AD84" s="129">
        <f>AC84-AB84</f>
        <v>136.57049999999998</v>
      </c>
      <c r="AE84" s="122">
        <v>27028</v>
      </c>
      <c r="AF84" s="130">
        <f>AB84/U84</f>
        <v>275.89999999999998</v>
      </c>
      <c r="AG84" s="130">
        <f>AB84/V84</f>
        <v>1.3794999999999999</v>
      </c>
      <c r="AH84" s="123">
        <f>AB84/S84</f>
        <v>0.2663127413127413</v>
      </c>
      <c r="AI84" s="124" t="s">
        <v>479</v>
      </c>
      <c r="AJ84" s="125" t="s">
        <v>343</v>
      </c>
      <c r="AK84"/>
      <c r="AM84" s="80"/>
    </row>
    <row r="85" spans="1:39" ht="28.5" customHeight="1">
      <c r="A85" s="113" t="s">
        <v>73</v>
      </c>
      <c r="B85" s="114" t="s">
        <v>74</v>
      </c>
      <c r="C85" s="113" t="s">
        <v>35</v>
      </c>
      <c r="D85" s="113" t="s">
        <v>218</v>
      </c>
      <c r="E85" s="115" t="s">
        <v>480</v>
      </c>
      <c r="F85" s="113" t="s">
        <v>131</v>
      </c>
      <c r="G85" s="116" t="s">
        <v>481</v>
      </c>
      <c r="H85" s="79">
        <v>46080</v>
      </c>
      <c r="I85" s="114" t="s">
        <v>79</v>
      </c>
      <c r="J85" s="117" t="s">
        <v>482</v>
      </c>
      <c r="K85" s="118">
        <v>46077</v>
      </c>
      <c r="L85" s="114" t="s">
        <v>81</v>
      </c>
      <c r="M85" s="119">
        <v>46080</v>
      </c>
      <c r="N85" s="128">
        <v>46080</v>
      </c>
      <c r="O85" s="120">
        <f>NETWORKDAYS.INTL(K85,N85,1,$AM$2:$AM$10)-1</f>
        <v>3</v>
      </c>
      <c r="P85" s="114" t="s">
        <v>81</v>
      </c>
      <c r="Q85" s="114" t="s">
        <v>79</v>
      </c>
      <c r="R85" s="115" t="s">
        <v>95</v>
      </c>
      <c r="S85" s="145">
        <v>824</v>
      </c>
      <c r="T85" s="148" t="s">
        <v>483</v>
      </c>
      <c r="U85" s="147">
        <v>3</v>
      </c>
      <c r="V85" s="121">
        <v>190</v>
      </c>
      <c r="W85" s="121">
        <v>2070</v>
      </c>
      <c r="X85" s="114" t="s">
        <v>84</v>
      </c>
      <c r="Y85" s="115" t="s">
        <v>85</v>
      </c>
      <c r="Z85" s="115" t="s">
        <v>342</v>
      </c>
      <c r="AA85" s="113" t="s">
        <v>87</v>
      </c>
      <c r="AB85" s="122">
        <v>698.26</v>
      </c>
      <c r="AC85" s="122">
        <f>IF(C85="DENALI", AB85*0.495, IF(C85="SCHNEIDER ELECTRIC", AB85*1.136, IF(C85="WWT", AB85*1.2, AC85)))+AB85</f>
        <v>1043.8987</v>
      </c>
      <c r="AD85" s="129">
        <f>AC85-AB85</f>
        <v>345.63869999999997</v>
      </c>
      <c r="AE85" s="122">
        <v>195761.26</v>
      </c>
      <c r="AF85" s="130">
        <f>AB85/U85</f>
        <v>232.75333333333333</v>
      </c>
      <c r="AG85" s="130">
        <f>AB85/V85</f>
        <v>3.6750526315789473</v>
      </c>
      <c r="AH85" s="123">
        <f>AB85/S85</f>
        <v>0.84740291262135925</v>
      </c>
      <c r="AI85" s="124" t="s">
        <v>484</v>
      </c>
      <c r="AJ85" s="125" t="s">
        <v>349</v>
      </c>
      <c r="AK85"/>
      <c r="AM85" s="80"/>
    </row>
    <row r="86" spans="1:39" ht="28.5" customHeight="1">
      <c r="A86" s="113" t="s">
        <v>73</v>
      </c>
      <c r="B86" s="114" t="s">
        <v>74</v>
      </c>
      <c r="C86" s="113" t="s">
        <v>35</v>
      </c>
      <c r="D86" s="113" t="s">
        <v>218</v>
      </c>
      <c r="E86" s="115" t="s">
        <v>395</v>
      </c>
      <c r="F86" s="113" t="s">
        <v>396</v>
      </c>
      <c r="G86" s="116" t="s">
        <v>485</v>
      </c>
      <c r="H86" s="79">
        <v>46080</v>
      </c>
      <c r="I86" s="114" t="s">
        <v>79</v>
      </c>
      <c r="J86" s="117" t="s">
        <v>486</v>
      </c>
      <c r="K86" s="118">
        <v>46077</v>
      </c>
      <c r="L86" s="114" t="s">
        <v>81</v>
      </c>
      <c r="M86" s="119">
        <v>46079</v>
      </c>
      <c r="N86" s="128">
        <v>46079</v>
      </c>
      <c r="O86" s="120">
        <f>NETWORKDAYS.INTL(K86,N86,1,$AM$2:$AM$10)-1</f>
        <v>2</v>
      </c>
      <c r="P86" s="114" t="s">
        <v>81</v>
      </c>
      <c r="Q86" s="114" t="s">
        <v>79</v>
      </c>
      <c r="R86" s="115" t="s">
        <v>95</v>
      </c>
      <c r="S86" s="145">
        <v>631</v>
      </c>
      <c r="T86" s="148" t="s">
        <v>487</v>
      </c>
      <c r="U86" s="147">
        <v>1</v>
      </c>
      <c r="V86" s="121">
        <v>2</v>
      </c>
      <c r="W86" s="121">
        <v>330</v>
      </c>
      <c r="X86" s="114" t="s">
        <v>84</v>
      </c>
      <c r="Y86" s="115" t="s">
        <v>85</v>
      </c>
      <c r="Z86" s="115" t="s">
        <v>342</v>
      </c>
      <c r="AA86" s="113" t="s">
        <v>87</v>
      </c>
      <c r="AB86" s="122">
        <v>334.2</v>
      </c>
      <c r="AC86" s="122">
        <f>IF(C86="DENALI", AB86*0.495, IF(C86="SCHNEIDER ELECTRIC", AB86*1.136, IF(C86="WWT", AB86*1.2, AC86)))+AB86</f>
        <v>499.62900000000002</v>
      </c>
      <c r="AD86" s="129">
        <f>AC86-AB86</f>
        <v>165.42900000000003</v>
      </c>
      <c r="AE86" s="122">
        <v>864.74</v>
      </c>
      <c r="AF86" s="130">
        <f>AB86/U86</f>
        <v>334.2</v>
      </c>
      <c r="AG86" s="130">
        <f>AB86/V86</f>
        <v>167.1</v>
      </c>
      <c r="AH86" s="123">
        <f>AB86/S86</f>
        <v>0.529635499207607</v>
      </c>
      <c r="AI86" s="124" t="s">
        <v>97</v>
      </c>
      <c r="AJ86" s="125" t="s">
        <v>349</v>
      </c>
      <c r="AK86"/>
      <c r="AM86" s="80"/>
    </row>
    <row r="87" spans="1:39" ht="28.5" customHeight="1">
      <c r="A87" s="113" t="s">
        <v>73</v>
      </c>
      <c r="B87" s="114" t="s">
        <v>74</v>
      </c>
      <c r="C87" s="113" t="s">
        <v>35</v>
      </c>
      <c r="D87" s="113" t="s">
        <v>218</v>
      </c>
      <c r="E87" s="115" t="s">
        <v>488</v>
      </c>
      <c r="F87" s="113" t="s">
        <v>243</v>
      </c>
      <c r="G87" s="116" t="s">
        <v>489</v>
      </c>
      <c r="H87" s="79">
        <v>46080</v>
      </c>
      <c r="I87" s="114" t="s">
        <v>79</v>
      </c>
      <c r="J87" s="117" t="s">
        <v>490</v>
      </c>
      <c r="K87" s="118">
        <v>46077</v>
      </c>
      <c r="L87" s="114" t="s">
        <v>81</v>
      </c>
      <c r="M87" s="119">
        <v>46079</v>
      </c>
      <c r="N87" s="128">
        <v>46079</v>
      </c>
      <c r="O87" s="120">
        <f>NETWORKDAYS.INTL(K87,N87,1,$AM$2:$AM$10)-1</f>
        <v>2</v>
      </c>
      <c r="P87" s="114" t="s">
        <v>81</v>
      </c>
      <c r="Q87" s="114" t="s">
        <v>79</v>
      </c>
      <c r="R87" s="115" t="s">
        <v>95</v>
      </c>
      <c r="S87" s="145">
        <v>645</v>
      </c>
      <c r="T87" s="148" t="s">
        <v>491</v>
      </c>
      <c r="U87" s="147">
        <v>1</v>
      </c>
      <c r="V87" s="121">
        <v>90</v>
      </c>
      <c r="W87" s="121">
        <v>445</v>
      </c>
      <c r="X87" s="114" t="s">
        <v>84</v>
      </c>
      <c r="Y87" s="115" t="s">
        <v>85</v>
      </c>
      <c r="Z87" s="115" t="s">
        <v>222</v>
      </c>
      <c r="AA87" s="113" t="s">
        <v>87</v>
      </c>
      <c r="AB87" s="122">
        <v>173.53</v>
      </c>
      <c r="AC87" s="122">
        <f>IF(C87="DENALI", AB87*0.495, IF(C87="SCHNEIDER ELECTRIC", AB87*1.136, IF(C87="WWT", AB87*1.2, AC87)))+AB87</f>
        <v>259.42734999999999</v>
      </c>
      <c r="AD87" s="129">
        <f>AC87-AB87</f>
        <v>85.897349999999989</v>
      </c>
      <c r="AE87" s="122">
        <v>48122.1</v>
      </c>
      <c r="AF87" s="130">
        <f>AB87/U87</f>
        <v>173.53</v>
      </c>
      <c r="AG87" s="130">
        <f>AB87/V87</f>
        <v>1.9281111111111111</v>
      </c>
      <c r="AH87" s="123">
        <f>AB87/S87</f>
        <v>0.26903875968992247</v>
      </c>
      <c r="AI87" s="124" t="s">
        <v>97</v>
      </c>
      <c r="AJ87" s="125" t="s">
        <v>349</v>
      </c>
      <c r="AK87"/>
      <c r="AM87" s="80"/>
    </row>
    <row r="88" spans="1:39" ht="28.5" customHeight="1">
      <c r="A88" s="113" t="s">
        <v>73</v>
      </c>
      <c r="B88" s="114" t="s">
        <v>74</v>
      </c>
      <c r="C88" s="113" t="s">
        <v>35</v>
      </c>
      <c r="D88" s="113" t="s">
        <v>218</v>
      </c>
      <c r="E88" s="115" t="s">
        <v>433</v>
      </c>
      <c r="F88" s="113" t="s">
        <v>131</v>
      </c>
      <c r="G88" s="116" t="s">
        <v>492</v>
      </c>
      <c r="H88" s="79">
        <v>46083</v>
      </c>
      <c r="I88" s="114" t="s">
        <v>79</v>
      </c>
      <c r="J88" s="117" t="s">
        <v>493</v>
      </c>
      <c r="K88" s="118">
        <v>46077</v>
      </c>
      <c r="L88" s="114" t="s">
        <v>81</v>
      </c>
      <c r="M88" s="119">
        <v>46080</v>
      </c>
      <c r="N88" s="128">
        <v>46080</v>
      </c>
      <c r="O88" s="120">
        <f>NETWORKDAYS.INTL(K88,N88,1,$AM$2:$AM$10)-1</f>
        <v>3</v>
      </c>
      <c r="P88" s="114" t="s">
        <v>81</v>
      </c>
      <c r="Q88" s="114" t="s">
        <v>79</v>
      </c>
      <c r="R88" s="115" t="s">
        <v>95</v>
      </c>
      <c r="S88" s="145">
        <v>866</v>
      </c>
      <c r="T88" s="148" t="s">
        <v>494</v>
      </c>
      <c r="U88" s="147">
        <v>1</v>
      </c>
      <c r="V88" s="121">
        <v>82</v>
      </c>
      <c r="W88" s="121">
        <v>845</v>
      </c>
      <c r="X88" s="114" t="s">
        <v>84</v>
      </c>
      <c r="Y88" s="115" t="s">
        <v>85</v>
      </c>
      <c r="Z88" s="115" t="s">
        <v>342</v>
      </c>
      <c r="AA88" s="113" t="s">
        <v>87</v>
      </c>
      <c r="AB88" s="122">
        <v>464.82</v>
      </c>
      <c r="AC88" s="122">
        <f>IF(C88="DENALI", AB88*0.495, IF(C88="SCHNEIDER ELECTRIC", AB88*1.136, IF(C88="WWT", AB88*1.2, AC88)))+AB88</f>
        <v>694.90589999999997</v>
      </c>
      <c r="AD88" s="129">
        <f>AC88-AB88</f>
        <v>230.08589999999998</v>
      </c>
      <c r="AE88" s="122">
        <v>63612.41</v>
      </c>
      <c r="AF88" s="130">
        <f>AB88/U88</f>
        <v>464.82</v>
      </c>
      <c r="AG88" s="130">
        <f>AB88/V88</f>
        <v>5.6685365853658531</v>
      </c>
      <c r="AH88" s="123">
        <f>AB88/S88</f>
        <v>0.53674364896073901</v>
      </c>
      <c r="AI88" s="124" t="s">
        <v>437</v>
      </c>
      <c r="AJ88" s="125" t="s">
        <v>98</v>
      </c>
      <c r="AK88"/>
      <c r="AM88" s="80"/>
    </row>
    <row r="89" spans="1:39" ht="28.5" customHeight="1">
      <c r="A89" s="113" t="s">
        <v>73</v>
      </c>
      <c r="B89" s="114" t="s">
        <v>74</v>
      </c>
      <c r="C89" s="113" t="s">
        <v>35</v>
      </c>
      <c r="D89" s="113" t="s">
        <v>218</v>
      </c>
      <c r="E89" s="115" t="s">
        <v>400</v>
      </c>
      <c r="F89" s="113" t="s">
        <v>401</v>
      </c>
      <c r="G89" s="116" t="s">
        <v>495</v>
      </c>
      <c r="H89" s="79">
        <v>46083</v>
      </c>
      <c r="I89" s="114" t="s">
        <v>79</v>
      </c>
      <c r="J89" s="117" t="s">
        <v>496</v>
      </c>
      <c r="K89" s="118">
        <v>46077</v>
      </c>
      <c r="L89" s="114" t="s">
        <v>81</v>
      </c>
      <c r="M89" s="119">
        <v>46079</v>
      </c>
      <c r="N89" s="128">
        <v>46079</v>
      </c>
      <c r="O89" s="120">
        <f>NETWORKDAYS.INTL(K89,N89,1,$AM$2:$AM$10)-1</f>
        <v>2</v>
      </c>
      <c r="P89" s="114" t="s">
        <v>81</v>
      </c>
      <c r="Q89" s="114" t="s">
        <v>79</v>
      </c>
      <c r="R89" s="115" t="s">
        <v>95</v>
      </c>
      <c r="S89" s="145">
        <v>865</v>
      </c>
      <c r="T89" s="148" t="s">
        <v>497</v>
      </c>
      <c r="U89" s="147">
        <v>1</v>
      </c>
      <c r="V89" s="121">
        <v>61</v>
      </c>
      <c r="W89" s="121">
        <v>355</v>
      </c>
      <c r="X89" s="114" t="s">
        <v>84</v>
      </c>
      <c r="Y89" s="115" t="s">
        <v>85</v>
      </c>
      <c r="Z89" s="115" t="s">
        <v>342</v>
      </c>
      <c r="AA89" s="113" t="s">
        <v>87</v>
      </c>
      <c r="AB89" s="122">
        <v>330.22</v>
      </c>
      <c r="AC89" s="122">
        <f>IF(C89="DENALI", AB89*0.495, IF(C89="SCHNEIDER ELECTRIC", AB89*1.136, IF(C89="WWT", AB89*1.2, AC89)))+AB89</f>
        <v>493.6789</v>
      </c>
      <c r="AD89" s="129">
        <f>AC89-AB89</f>
        <v>163.45889999999997</v>
      </c>
      <c r="AE89" s="122">
        <v>39957.5</v>
      </c>
      <c r="AF89" s="130">
        <f>AB89/U89</f>
        <v>330.22</v>
      </c>
      <c r="AG89" s="130">
        <f>AB89/V89</f>
        <v>5.4134426229508197</v>
      </c>
      <c r="AH89" s="123">
        <f>AB89/S89</f>
        <v>0.38175722543352603</v>
      </c>
      <c r="AI89" s="124" t="s">
        <v>147</v>
      </c>
      <c r="AJ89" s="125" t="s">
        <v>343</v>
      </c>
      <c r="AK89"/>
      <c r="AM89" s="80"/>
    </row>
    <row r="90" spans="1:39" ht="28.5" customHeight="1">
      <c r="A90" s="113" t="s">
        <v>73</v>
      </c>
      <c r="B90" s="114" t="s">
        <v>74</v>
      </c>
      <c r="C90" s="113" t="s">
        <v>35</v>
      </c>
      <c r="D90" s="113" t="s">
        <v>218</v>
      </c>
      <c r="E90" s="115" t="s">
        <v>498</v>
      </c>
      <c r="F90" s="113" t="s">
        <v>228</v>
      </c>
      <c r="G90" s="116" t="s">
        <v>499</v>
      </c>
      <c r="H90" s="79">
        <v>46083</v>
      </c>
      <c r="I90" s="114" t="s">
        <v>79</v>
      </c>
      <c r="J90" s="117" t="s">
        <v>500</v>
      </c>
      <c r="K90" s="118">
        <v>46077</v>
      </c>
      <c r="L90" s="114" t="s">
        <v>81</v>
      </c>
      <c r="M90" s="119">
        <v>46078</v>
      </c>
      <c r="N90" s="128">
        <v>46078</v>
      </c>
      <c r="O90" s="120">
        <f>NETWORKDAYS.INTL(K90,N90,1,$AM$2:$AM$10)-1</f>
        <v>1</v>
      </c>
      <c r="P90" s="114" t="s">
        <v>81</v>
      </c>
      <c r="Q90" s="114" t="s">
        <v>79</v>
      </c>
      <c r="R90" s="115" t="s">
        <v>95</v>
      </c>
      <c r="S90" s="145">
        <v>166</v>
      </c>
      <c r="T90" s="148" t="s">
        <v>501</v>
      </c>
      <c r="U90" s="147">
        <v>1</v>
      </c>
      <c r="V90" s="121">
        <v>12</v>
      </c>
      <c r="W90" s="121">
        <v>680</v>
      </c>
      <c r="X90" s="114" t="s">
        <v>84</v>
      </c>
      <c r="Y90" s="115" t="s">
        <v>85</v>
      </c>
      <c r="Z90" s="115" t="s">
        <v>234</v>
      </c>
      <c r="AA90" s="113" t="s">
        <v>87</v>
      </c>
      <c r="AB90" s="122">
        <v>149.06</v>
      </c>
      <c r="AC90" s="122">
        <f>IF(C90="DENALI", AB90*0.495, IF(C90="SCHNEIDER ELECTRIC", AB90*1.136, IF(C90="WWT", AB90*1.2, AC90)))+AB90</f>
        <v>222.84469999999999</v>
      </c>
      <c r="AD90" s="129">
        <f>AC90-AB90</f>
        <v>73.784699999999987</v>
      </c>
      <c r="AE90" s="122">
        <v>15237.48</v>
      </c>
      <c r="AF90" s="130">
        <f>AB90/U90</f>
        <v>149.06</v>
      </c>
      <c r="AG90" s="130">
        <f>AB90/V90</f>
        <v>12.421666666666667</v>
      </c>
      <c r="AH90" s="123">
        <f>AB90/S90</f>
        <v>0.89795180722891565</v>
      </c>
      <c r="AI90" s="124" t="s">
        <v>97</v>
      </c>
      <c r="AJ90" s="125" t="s">
        <v>349</v>
      </c>
      <c r="AK90"/>
      <c r="AM90" s="80"/>
    </row>
    <row r="91" spans="1:39" ht="28.5" customHeight="1">
      <c r="A91" s="113" t="s">
        <v>73</v>
      </c>
      <c r="B91" s="114" t="s">
        <v>74</v>
      </c>
      <c r="C91" s="113" t="s">
        <v>35</v>
      </c>
      <c r="D91" s="113" t="s">
        <v>218</v>
      </c>
      <c r="E91" s="115" t="s">
        <v>502</v>
      </c>
      <c r="F91" s="113" t="s">
        <v>243</v>
      </c>
      <c r="G91" s="116" t="s">
        <v>503</v>
      </c>
      <c r="H91" s="79">
        <v>46083</v>
      </c>
      <c r="I91" s="114" t="s">
        <v>79</v>
      </c>
      <c r="J91" s="117" t="s">
        <v>504</v>
      </c>
      <c r="K91" s="118">
        <v>46077</v>
      </c>
      <c r="L91" s="114" t="s">
        <v>81</v>
      </c>
      <c r="M91" s="119">
        <v>46080</v>
      </c>
      <c r="N91" s="128">
        <v>46080</v>
      </c>
      <c r="O91" s="120">
        <f>NETWORKDAYS.INTL(K91,N91,1,$AM$2:$AM$10)-1</f>
        <v>3</v>
      </c>
      <c r="P91" s="114" t="s">
        <v>81</v>
      </c>
      <c r="Q91" s="114" t="s">
        <v>79</v>
      </c>
      <c r="R91" s="115" t="s">
        <v>95</v>
      </c>
      <c r="S91" s="145">
        <v>660</v>
      </c>
      <c r="T91" s="148" t="s">
        <v>505</v>
      </c>
      <c r="U91" s="147">
        <v>2</v>
      </c>
      <c r="V91" s="121">
        <v>125</v>
      </c>
      <c r="W91" s="121">
        <v>575</v>
      </c>
      <c r="X91" s="114" t="s">
        <v>84</v>
      </c>
      <c r="Y91" s="115" t="s">
        <v>85</v>
      </c>
      <c r="Z91" s="115" t="s">
        <v>222</v>
      </c>
      <c r="AA91" s="113" t="s">
        <v>87</v>
      </c>
      <c r="AB91" s="122">
        <v>255.89</v>
      </c>
      <c r="AC91" s="122">
        <f>IF(C91="DENALI", AB91*0.495, IF(C91="SCHNEIDER ELECTRIC", AB91*1.136, IF(C91="WWT", AB91*1.2, AC91)))+AB91</f>
        <v>382.55554999999998</v>
      </c>
      <c r="AD91" s="129">
        <f>AC91-AB91</f>
        <v>126.66555</v>
      </c>
      <c r="AE91" s="122">
        <v>25579.89</v>
      </c>
      <c r="AF91" s="130">
        <f>AB91/U91</f>
        <v>127.94499999999999</v>
      </c>
      <c r="AG91" s="130">
        <f>AB91/V91</f>
        <v>2.0471200000000001</v>
      </c>
      <c r="AH91" s="123">
        <f>AB91/S91</f>
        <v>0.38771212121212117</v>
      </c>
      <c r="AI91" s="124" t="s">
        <v>147</v>
      </c>
      <c r="AJ91" s="125" t="s">
        <v>343</v>
      </c>
      <c r="AK91"/>
      <c r="AM91" s="80"/>
    </row>
    <row r="92" spans="1:39" ht="28.5" customHeight="1">
      <c r="A92" s="113" t="s">
        <v>73</v>
      </c>
      <c r="B92" s="114" t="s">
        <v>74</v>
      </c>
      <c r="C92" s="113" t="s">
        <v>35</v>
      </c>
      <c r="D92" s="113" t="s">
        <v>99</v>
      </c>
      <c r="E92" s="115" t="s">
        <v>287</v>
      </c>
      <c r="F92" s="113" t="s">
        <v>90</v>
      </c>
      <c r="G92" s="116" t="s">
        <v>506</v>
      </c>
      <c r="H92" s="79">
        <v>46080</v>
      </c>
      <c r="I92" s="114" t="s">
        <v>79</v>
      </c>
      <c r="J92" s="117" t="s">
        <v>507</v>
      </c>
      <c r="K92" s="118">
        <v>46078</v>
      </c>
      <c r="L92" s="114" t="s">
        <v>81</v>
      </c>
      <c r="M92" s="119">
        <v>46086</v>
      </c>
      <c r="N92" s="128">
        <v>46086</v>
      </c>
      <c r="O92" s="120">
        <f>NETWORKDAYS.INTL(K92,N92,1,$AM$2:$AM$10)-1</f>
        <v>6</v>
      </c>
      <c r="P92" s="114" t="s">
        <v>81</v>
      </c>
      <c r="Q92" s="114" t="s">
        <v>79</v>
      </c>
      <c r="R92" s="115" t="s">
        <v>95</v>
      </c>
      <c r="S92" s="145">
        <v>1179</v>
      </c>
      <c r="T92" s="148" t="s">
        <v>318</v>
      </c>
      <c r="U92" s="147">
        <v>2</v>
      </c>
      <c r="V92" s="121">
        <v>44</v>
      </c>
      <c r="W92" s="121">
        <v>1370</v>
      </c>
      <c r="X92" s="114" t="s">
        <v>84</v>
      </c>
      <c r="Y92" s="115" t="s">
        <v>85</v>
      </c>
      <c r="Z92" s="115" t="s">
        <v>86</v>
      </c>
      <c r="AA92" s="113" t="s">
        <v>87</v>
      </c>
      <c r="AB92" s="122">
        <v>673.37</v>
      </c>
      <c r="AC92" s="122">
        <f>IF(C92="DENALI", AB92*0.495, IF(C92="SCHNEIDER ELECTRIC", AB92*1.136, IF(C92="WWT", AB92*1.2, AC92)))+AB92</f>
        <v>1006.68815</v>
      </c>
      <c r="AD92" s="129">
        <f>AC92-AB92</f>
        <v>333.31814999999995</v>
      </c>
      <c r="AE92" s="122">
        <v>99861.08</v>
      </c>
      <c r="AF92" s="130">
        <f>AB92/U92</f>
        <v>336.685</v>
      </c>
      <c r="AG92" s="130">
        <f>AB92/V92</f>
        <v>15.303863636363637</v>
      </c>
      <c r="AH92" s="123">
        <f>AB92/S92</f>
        <v>0.57113655640373195</v>
      </c>
      <c r="AI92" s="124" t="s">
        <v>115</v>
      </c>
      <c r="AJ92" s="125" t="s">
        <v>107</v>
      </c>
      <c r="AK92"/>
      <c r="AM92" s="80"/>
    </row>
    <row r="93" spans="1:39" ht="28.5" customHeight="1">
      <c r="A93" s="113" t="s">
        <v>73</v>
      </c>
      <c r="B93" s="114" t="s">
        <v>74</v>
      </c>
      <c r="C93" s="113" t="s">
        <v>35</v>
      </c>
      <c r="D93" s="113" t="s">
        <v>99</v>
      </c>
      <c r="E93" s="115" t="s">
        <v>400</v>
      </c>
      <c r="F93" s="113" t="s">
        <v>401</v>
      </c>
      <c r="G93" s="116">
        <v>22332602</v>
      </c>
      <c r="H93" s="79">
        <v>46083</v>
      </c>
      <c r="I93" s="114" t="s">
        <v>79</v>
      </c>
      <c r="J93" s="117" t="s">
        <v>508</v>
      </c>
      <c r="K93" s="118">
        <v>46079</v>
      </c>
      <c r="L93" s="114" t="s">
        <v>81</v>
      </c>
      <c r="M93" s="119">
        <v>46083</v>
      </c>
      <c r="N93" s="128">
        <v>46083</v>
      </c>
      <c r="O93" s="120">
        <f>NETWORKDAYS.INTL(K93,N93,1,$AM$2:$AM$10)-1</f>
        <v>2</v>
      </c>
      <c r="P93" s="114" t="s">
        <v>81</v>
      </c>
      <c r="Q93" s="114" t="s">
        <v>79</v>
      </c>
      <c r="R93" s="115" t="s">
        <v>95</v>
      </c>
      <c r="S93" s="145">
        <v>2744</v>
      </c>
      <c r="T93" s="148" t="s">
        <v>509</v>
      </c>
      <c r="U93" s="147">
        <v>6</v>
      </c>
      <c r="V93" s="121">
        <v>6</v>
      </c>
      <c r="W93" s="121">
        <v>5100</v>
      </c>
      <c r="X93" s="114" t="s">
        <v>113</v>
      </c>
      <c r="Y93" s="115" t="s">
        <v>85</v>
      </c>
      <c r="Z93" s="115" t="s">
        <v>510</v>
      </c>
      <c r="AA93" s="113" t="s">
        <v>87</v>
      </c>
      <c r="AB93" s="122">
        <v>6178.31</v>
      </c>
      <c r="AC93" s="122">
        <f>IF(C93="DENALI", AB93*0.495, IF(C93="SCHNEIDER ELECTRIC", AB93*1.136, IF(C93="WWT", AB93*1.2, AC93)))+AB93</f>
        <v>9236.5734499999999</v>
      </c>
      <c r="AD93" s="129">
        <f>AC93-AB93</f>
        <v>3058.2634499999995</v>
      </c>
      <c r="AE93" s="122">
        <v>80615.34</v>
      </c>
      <c r="AF93" s="130">
        <f>AB93/U93</f>
        <v>1029.7183333333335</v>
      </c>
      <c r="AG93" s="130">
        <f>AB93/V93</f>
        <v>1029.7183333333335</v>
      </c>
      <c r="AH93" s="123">
        <f>AB93/S93</f>
        <v>2.2515706997084548</v>
      </c>
      <c r="AI93" s="124" t="s">
        <v>147</v>
      </c>
      <c r="AJ93" s="125" t="s">
        <v>343</v>
      </c>
      <c r="AK93"/>
      <c r="AM93" s="80"/>
    </row>
    <row r="94" spans="1:39" ht="28.5" customHeight="1">
      <c r="A94" s="113" t="s">
        <v>73</v>
      </c>
      <c r="B94" s="114" t="s">
        <v>140</v>
      </c>
      <c r="C94" s="113" t="s">
        <v>35</v>
      </c>
      <c r="D94" s="113" t="s">
        <v>218</v>
      </c>
      <c r="E94" s="115" t="s">
        <v>141</v>
      </c>
      <c r="F94" s="113" t="s">
        <v>142</v>
      </c>
      <c r="G94" s="116">
        <v>22344236</v>
      </c>
      <c r="H94" s="79">
        <v>46080</v>
      </c>
      <c r="I94" s="114" t="s">
        <v>79</v>
      </c>
      <c r="J94" s="117" t="s">
        <v>511</v>
      </c>
      <c r="K94" s="118">
        <v>46079</v>
      </c>
      <c r="L94" s="114" t="s">
        <v>81</v>
      </c>
      <c r="M94" s="119">
        <v>46080</v>
      </c>
      <c r="N94" s="128">
        <v>46080</v>
      </c>
      <c r="O94" s="120">
        <f>NETWORKDAYS.INTL(K94,N94,1,$AM$2:$AM$10)-1</f>
        <v>1</v>
      </c>
      <c r="P94" s="114" t="s">
        <v>81</v>
      </c>
      <c r="Q94" s="114" t="s">
        <v>79</v>
      </c>
      <c r="R94" s="115" t="s">
        <v>95</v>
      </c>
      <c r="S94" s="145">
        <v>439</v>
      </c>
      <c r="T94" s="148" t="s">
        <v>410</v>
      </c>
      <c r="U94" s="147">
        <v>20</v>
      </c>
      <c r="V94" s="121">
        <v>20</v>
      </c>
      <c r="W94" s="121">
        <v>7400</v>
      </c>
      <c r="X94" s="114" t="s">
        <v>113</v>
      </c>
      <c r="Y94" s="115" t="s">
        <v>85</v>
      </c>
      <c r="Z94" s="115" t="s">
        <v>512</v>
      </c>
      <c r="AA94" s="113" t="s">
        <v>87</v>
      </c>
      <c r="AB94" s="122">
        <v>2634.15</v>
      </c>
      <c r="AC94" s="122">
        <f>IF(C94="DENALI", AB94*0.495, IF(C94="SCHNEIDER ELECTRIC", AB94*1.136, IF(C94="WWT", AB94*1.2, AC94)))+AB94</f>
        <v>3938.0542500000001</v>
      </c>
      <c r="AD94" s="129">
        <f>AC94-AB94</f>
        <v>1303.90425</v>
      </c>
      <c r="AE94" s="122">
        <v>135673</v>
      </c>
      <c r="AF94" s="130">
        <f>AB94/U94</f>
        <v>131.70750000000001</v>
      </c>
      <c r="AG94" s="130">
        <f>AB94/V94</f>
        <v>131.70750000000001</v>
      </c>
      <c r="AH94" s="123">
        <f>AB94/S94</f>
        <v>6.0003416856492029</v>
      </c>
      <c r="AI94" s="124" t="s">
        <v>155</v>
      </c>
      <c r="AJ94" s="125" t="s">
        <v>89</v>
      </c>
      <c r="AK94"/>
      <c r="AM94" s="80"/>
    </row>
    <row r="95" spans="1:39" ht="28.5" customHeight="1">
      <c r="A95" s="113" t="s">
        <v>73</v>
      </c>
      <c r="B95" s="114" t="s">
        <v>74</v>
      </c>
      <c r="C95" s="113" t="s">
        <v>36</v>
      </c>
      <c r="D95" s="113" t="s">
        <v>90</v>
      </c>
      <c r="E95" s="115" t="s">
        <v>513</v>
      </c>
      <c r="F95" s="113" t="s">
        <v>189</v>
      </c>
      <c r="G95" s="116" t="s">
        <v>514</v>
      </c>
      <c r="H95" s="79">
        <v>46083</v>
      </c>
      <c r="I95" s="114" t="s">
        <v>79</v>
      </c>
      <c r="J95" s="117" t="s">
        <v>515</v>
      </c>
      <c r="K95" s="118">
        <v>46078</v>
      </c>
      <c r="L95" s="114" t="s">
        <v>81</v>
      </c>
      <c r="M95" s="119">
        <v>46086</v>
      </c>
      <c r="N95" s="128">
        <v>46086</v>
      </c>
      <c r="O95" s="120">
        <f>NETWORKDAYS.INTL(K95,N95,1,$AM$2:$AM$10)-1</f>
        <v>6</v>
      </c>
      <c r="P95" s="114" t="s">
        <v>81</v>
      </c>
      <c r="Q95" s="114" t="s">
        <v>79</v>
      </c>
      <c r="R95" s="115" t="s">
        <v>95</v>
      </c>
      <c r="S95" s="145">
        <v>699</v>
      </c>
      <c r="T95" s="148" t="s">
        <v>516</v>
      </c>
      <c r="U95" s="147">
        <v>1</v>
      </c>
      <c r="V95" s="121">
        <v>6</v>
      </c>
      <c r="W95" s="121">
        <v>304</v>
      </c>
      <c r="X95" s="114" t="s">
        <v>84</v>
      </c>
      <c r="Y95" s="115" t="s">
        <v>85</v>
      </c>
      <c r="Z95" s="115" t="s">
        <v>86</v>
      </c>
      <c r="AA95" s="113" t="s">
        <v>87</v>
      </c>
      <c r="AB95" s="122">
        <v>429.95</v>
      </c>
      <c r="AC95" s="122">
        <f>IF(C95="DENALI", AB95*0.495, IF(C95="SCHNEIDER ELECTRIC", AB95*1.136, IF(C95="WWT", AB95*1.2, AC95)))+AB95</f>
        <v>918.3732</v>
      </c>
      <c r="AD95" s="129">
        <f>AC95-AB95</f>
        <v>488.42320000000001</v>
      </c>
      <c r="AE95" s="122">
        <v>2990.56</v>
      </c>
      <c r="AF95" s="130">
        <f>AB95/U95</f>
        <v>429.95</v>
      </c>
      <c r="AG95" s="130">
        <f>AB95/V95</f>
        <v>71.658333333333331</v>
      </c>
      <c r="AH95" s="123">
        <f>AB95/S95</f>
        <v>0.61509298998569384</v>
      </c>
      <c r="AI95" s="124" t="s">
        <v>155</v>
      </c>
      <c r="AJ95" s="125" t="s">
        <v>121</v>
      </c>
      <c r="AK95"/>
      <c r="AM95" s="80"/>
    </row>
    <row r="96" spans="1:39" ht="28.5" customHeight="1">
      <c r="A96" s="113" t="s">
        <v>73</v>
      </c>
      <c r="B96" s="114" t="s">
        <v>74</v>
      </c>
      <c r="C96" s="113" t="s">
        <v>35</v>
      </c>
      <c r="D96" s="113" t="s">
        <v>99</v>
      </c>
      <c r="E96" s="115" t="s">
        <v>517</v>
      </c>
      <c r="F96" s="113" t="s">
        <v>207</v>
      </c>
      <c r="G96" s="116">
        <v>22344631</v>
      </c>
      <c r="H96" s="79">
        <v>46083</v>
      </c>
      <c r="I96" s="114" t="s">
        <v>79</v>
      </c>
      <c r="J96" s="117" t="s">
        <v>518</v>
      </c>
      <c r="K96" s="118">
        <v>46079</v>
      </c>
      <c r="L96" s="114" t="s">
        <v>81</v>
      </c>
      <c r="M96" s="119">
        <v>46083</v>
      </c>
      <c r="N96" s="128">
        <v>46083</v>
      </c>
      <c r="O96" s="120">
        <f>NETWORKDAYS.INTL(K96,N96,1,$AM$2:$AM$10)-1</f>
        <v>2</v>
      </c>
      <c r="P96" s="114" t="s">
        <v>81</v>
      </c>
      <c r="Q96" s="114" t="s">
        <v>79</v>
      </c>
      <c r="R96" s="115" t="s">
        <v>95</v>
      </c>
      <c r="S96" s="145">
        <v>2302</v>
      </c>
      <c r="T96" s="148" t="s">
        <v>519</v>
      </c>
      <c r="U96" s="147">
        <v>5</v>
      </c>
      <c r="V96" s="121">
        <v>5</v>
      </c>
      <c r="W96" s="121">
        <v>4250</v>
      </c>
      <c r="X96" s="114" t="s">
        <v>113</v>
      </c>
      <c r="Y96" s="115" t="s">
        <v>85</v>
      </c>
      <c r="Z96" s="115" t="s">
        <v>520</v>
      </c>
      <c r="AA96" s="113" t="s">
        <v>87</v>
      </c>
      <c r="AB96" s="122">
        <v>4580.04</v>
      </c>
      <c r="AC96" s="122">
        <f>IF(C96="DENALI", AB96*0.495, IF(C96="SCHNEIDER ELECTRIC", AB96*1.136, IF(C96="WWT", AB96*1.2, AC96)))+AB96</f>
        <v>6847.1597999999994</v>
      </c>
      <c r="AD96" s="129">
        <f>AC96-AB96</f>
        <v>2267.1197999999995</v>
      </c>
      <c r="AE96" s="122">
        <v>71736.7</v>
      </c>
      <c r="AF96" s="130">
        <f>AB96/U96</f>
        <v>916.00800000000004</v>
      </c>
      <c r="AG96" s="130">
        <f>AB96/V96</f>
        <v>916.00800000000004</v>
      </c>
      <c r="AH96" s="123">
        <f>AB96/S96</f>
        <v>1.9895916594265857</v>
      </c>
      <c r="AI96" s="124" t="s">
        <v>147</v>
      </c>
      <c r="AJ96" s="125" t="s">
        <v>343</v>
      </c>
      <c r="AK96"/>
      <c r="AM96" s="80"/>
    </row>
    <row r="97" spans="1:39" ht="28.5" customHeight="1">
      <c r="A97" s="113" t="s">
        <v>73</v>
      </c>
      <c r="B97" s="114" t="s">
        <v>74</v>
      </c>
      <c r="C97" s="113" t="s">
        <v>35</v>
      </c>
      <c r="D97" s="113" t="s">
        <v>99</v>
      </c>
      <c r="E97" s="115" t="s">
        <v>391</v>
      </c>
      <c r="F97" s="113" t="s">
        <v>365</v>
      </c>
      <c r="G97" s="116">
        <v>22357825</v>
      </c>
      <c r="H97" s="79">
        <v>46083</v>
      </c>
      <c r="I97" s="114" t="s">
        <v>79</v>
      </c>
      <c r="J97" s="117" t="s">
        <v>521</v>
      </c>
      <c r="K97" s="118">
        <v>46080</v>
      </c>
      <c r="L97" s="114" t="s">
        <v>81</v>
      </c>
      <c r="M97" s="119">
        <v>46083</v>
      </c>
      <c r="N97" s="128">
        <v>46083</v>
      </c>
      <c r="O97" s="120">
        <f>NETWORKDAYS.INTL(K97,N97,1,$AM$2:$AM$10)-1</f>
        <v>1</v>
      </c>
      <c r="P97" s="114" t="s">
        <v>81</v>
      </c>
      <c r="Q97" s="114" t="s">
        <v>79</v>
      </c>
      <c r="R97" s="115" t="s">
        <v>95</v>
      </c>
      <c r="S97" s="145">
        <v>2588</v>
      </c>
      <c r="T97" s="148" t="s">
        <v>522</v>
      </c>
      <c r="U97" s="147">
        <v>9</v>
      </c>
      <c r="V97" s="121">
        <v>195</v>
      </c>
      <c r="W97" s="121">
        <v>6330</v>
      </c>
      <c r="X97" s="114" t="s">
        <v>113</v>
      </c>
      <c r="Y97" s="115" t="s">
        <v>85</v>
      </c>
      <c r="Z97" s="115" t="s">
        <v>523</v>
      </c>
      <c r="AA97" s="113" t="s">
        <v>87</v>
      </c>
      <c r="AB97" s="122">
        <v>7820.73</v>
      </c>
      <c r="AC97" s="122">
        <f>IF(C97="DENALI", AB97*0.495, IF(C97="SCHNEIDER ELECTRIC", AB97*1.136, IF(C97="WWT", AB97*1.2, AC97)))+AB97</f>
        <v>11691.99135</v>
      </c>
      <c r="AD97" s="129">
        <f>AC97-AB97</f>
        <v>3871.2613500000007</v>
      </c>
      <c r="AE97" s="122">
        <v>489401.25</v>
      </c>
      <c r="AF97" s="130">
        <f>AB97/U97</f>
        <v>868.96999999999991</v>
      </c>
      <c r="AG97" s="130">
        <f>AB97/V97</f>
        <v>40.106307692307688</v>
      </c>
      <c r="AH97" s="123">
        <f>AB97/S97</f>
        <v>3.0219204018547141</v>
      </c>
      <c r="AI97" s="124" t="s">
        <v>97</v>
      </c>
      <c r="AJ97" s="125" t="s">
        <v>349</v>
      </c>
      <c r="AK97"/>
      <c r="AM97" s="80"/>
    </row>
    <row r="98" spans="1:39" ht="28.5" customHeight="1">
      <c r="A98" s="113" t="s">
        <v>73</v>
      </c>
      <c r="B98" s="114" t="s">
        <v>74</v>
      </c>
      <c r="C98" s="113" t="s">
        <v>36</v>
      </c>
      <c r="D98" s="113" t="s">
        <v>90</v>
      </c>
      <c r="E98" s="115" t="s">
        <v>524</v>
      </c>
      <c r="F98" s="113" t="s">
        <v>292</v>
      </c>
      <c r="G98" s="116" t="s">
        <v>525</v>
      </c>
      <c r="H98" s="79">
        <v>46085</v>
      </c>
      <c r="I98" s="114" t="s">
        <v>79</v>
      </c>
      <c r="J98" s="117" t="s">
        <v>526</v>
      </c>
      <c r="K98" s="118">
        <v>46085</v>
      </c>
      <c r="L98" s="114" t="s">
        <v>81</v>
      </c>
      <c r="M98" s="119">
        <v>46090</v>
      </c>
      <c r="N98" s="128">
        <v>46090</v>
      </c>
      <c r="O98" s="120">
        <f>NETWORKDAYS.INTL(K98,N98,1,$AM$2:$AM$10)-1</f>
        <v>3</v>
      </c>
      <c r="P98" s="114" t="s">
        <v>81</v>
      </c>
      <c r="Q98" s="114" t="s">
        <v>79</v>
      </c>
      <c r="R98" s="115" t="s">
        <v>95</v>
      </c>
      <c r="S98" s="145">
        <v>1038</v>
      </c>
      <c r="T98" s="148" t="s">
        <v>527</v>
      </c>
      <c r="U98" s="147">
        <v>1</v>
      </c>
      <c r="V98" s="121">
        <v>10</v>
      </c>
      <c r="W98" s="121">
        <v>545</v>
      </c>
      <c r="X98" s="114" t="s">
        <v>84</v>
      </c>
      <c r="Y98" s="115" t="s">
        <v>85</v>
      </c>
      <c r="Z98" s="115" t="s">
        <v>86</v>
      </c>
      <c r="AA98" s="113" t="s">
        <v>87</v>
      </c>
      <c r="AB98" s="122">
        <v>297.45999999999998</v>
      </c>
      <c r="AC98" s="122">
        <f>IF(C98="DENALI", AB98*0.495, IF(C98="SCHNEIDER ELECTRIC", AB98*1.136, IF(C98="WWT", AB98*1.2, AC98)))+AB98</f>
        <v>635.37455999999997</v>
      </c>
      <c r="AD98" s="129">
        <f>AC98-AB98</f>
        <v>337.91455999999999</v>
      </c>
      <c r="AE98" s="122">
        <v>489402.25</v>
      </c>
      <c r="AF98" s="130">
        <f>AB98/U98</f>
        <v>297.45999999999998</v>
      </c>
      <c r="AG98" s="130">
        <f>AB98/V98</f>
        <v>29.745999999999999</v>
      </c>
      <c r="AH98" s="123">
        <f>AB98/S98</f>
        <v>0.2865703275529865</v>
      </c>
      <c r="AI98" s="124" t="s">
        <v>155</v>
      </c>
      <c r="AJ98" s="125" t="s">
        <v>89</v>
      </c>
      <c r="AK98"/>
      <c r="AM98" s="80"/>
    </row>
    <row r="99" spans="1:39" ht="28.5" customHeight="1">
      <c r="A99" s="113" t="s">
        <v>73</v>
      </c>
      <c r="B99" s="114" t="s">
        <v>74</v>
      </c>
      <c r="C99" s="113" t="s">
        <v>36</v>
      </c>
      <c r="D99" s="113" t="s">
        <v>90</v>
      </c>
      <c r="E99" s="115" t="s">
        <v>528</v>
      </c>
      <c r="F99" s="113" t="s">
        <v>292</v>
      </c>
      <c r="G99" s="116" t="s">
        <v>529</v>
      </c>
      <c r="H99" s="79">
        <v>46085</v>
      </c>
      <c r="I99" s="114" t="s">
        <v>79</v>
      </c>
      <c r="J99" s="117" t="s">
        <v>530</v>
      </c>
      <c r="K99" s="118">
        <v>46085</v>
      </c>
      <c r="L99" s="114" t="s">
        <v>81</v>
      </c>
      <c r="M99" s="119">
        <v>46091</v>
      </c>
      <c r="N99" s="128">
        <v>46091</v>
      </c>
      <c r="O99" s="120">
        <f>NETWORKDAYS.INTL(K99,N99,1,$AM$2:$AM$10)-1</f>
        <v>4</v>
      </c>
      <c r="P99" s="114" t="s">
        <v>81</v>
      </c>
      <c r="Q99" s="114" t="s">
        <v>79</v>
      </c>
      <c r="R99" s="115" t="s">
        <v>95</v>
      </c>
      <c r="S99" s="145">
        <v>1007</v>
      </c>
      <c r="T99" s="148" t="s">
        <v>531</v>
      </c>
      <c r="U99" s="147">
        <v>1</v>
      </c>
      <c r="V99" s="121">
        <v>7</v>
      </c>
      <c r="W99" s="121">
        <v>579</v>
      </c>
      <c r="X99" s="114" t="s">
        <v>84</v>
      </c>
      <c r="Y99" s="115" t="s">
        <v>85</v>
      </c>
      <c r="Z99" s="115" t="s">
        <v>86</v>
      </c>
      <c r="AA99" s="113" t="s">
        <v>87</v>
      </c>
      <c r="AB99" s="122">
        <v>268.44</v>
      </c>
      <c r="AC99" s="122">
        <f>IF(C99="DENALI", AB99*0.495, IF(C99="SCHNEIDER ELECTRIC", AB99*1.136, IF(C99="WWT", AB99*1.2, AC99)))+AB99</f>
        <v>573.38783999999998</v>
      </c>
      <c r="AD99" s="129">
        <f>AC99-AB99</f>
        <v>304.94783999999999</v>
      </c>
      <c r="AE99" s="122">
        <v>3649.24</v>
      </c>
      <c r="AF99" s="130">
        <f>AB99/U99</f>
        <v>268.44</v>
      </c>
      <c r="AG99" s="130">
        <f>AB99/V99</f>
        <v>38.348571428571425</v>
      </c>
      <c r="AH99" s="123">
        <f>AB99/S99</f>
        <v>0.26657398212512412</v>
      </c>
      <c r="AI99" s="124" t="s">
        <v>88</v>
      </c>
      <c r="AJ99" s="125" t="s">
        <v>89</v>
      </c>
      <c r="AK99"/>
      <c r="AM99" s="80"/>
    </row>
    <row r="100" spans="1:39" ht="28.5" customHeight="1">
      <c r="A100" s="113" t="s">
        <v>73</v>
      </c>
      <c r="B100" s="114" t="s">
        <v>74</v>
      </c>
      <c r="C100" s="113" t="s">
        <v>36</v>
      </c>
      <c r="D100" s="113" t="s">
        <v>90</v>
      </c>
      <c r="E100" s="115" t="s">
        <v>532</v>
      </c>
      <c r="F100" s="113" t="s">
        <v>92</v>
      </c>
      <c r="G100" s="116" t="s">
        <v>533</v>
      </c>
      <c r="H100" s="79">
        <v>46085</v>
      </c>
      <c r="I100" s="114" t="s">
        <v>79</v>
      </c>
      <c r="J100" s="117" t="s">
        <v>534</v>
      </c>
      <c r="K100" s="118">
        <v>46084</v>
      </c>
      <c r="L100" s="114" t="s">
        <v>81</v>
      </c>
      <c r="M100" s="119">
        <v>46090</v>
      </c>
      <c r="N100" s="128">
        <v>46090</v>
      </c>
      <c r="O100" s="120">
        <f>NETWORKDAYS.INTL(K100,N100,1,$AM$2:$AM$10)-1</f>
        <v>4</v>
      </c>
      <c r="P100" s="114" t="s">
        <v>81</v>
      </c>
      <c r="Q100" s="114" t="s">
        <v>79</v>
      </c>
      <c r="R100" s="115" t="s">
        <v>95</v>
      </c>
      <c r="S100" s="145">
        <v>1345</v>
      </c>
      <c r="T100" s="148" t="s">
        <v>535</v>
      </c>
      <c r="U100" s="147">
        <v>1</v>
      </c>
      <c r="V100" s="121">
        <v>7</v>
      </c>
      <c r="W100" s="121">
        <v>311</v>
      </c>
      <c r="X100" s="114" t="s">
        <v>84</v>
      </c>
      <c r="Y100" s="115" t="s">
        <v>85</v>
      </c>
      <c r="Z100" s="115" t="s">
        <v>342</v>
      </c>
      <c r="AA100" s="113" t="s">
        <v>87</v>
      </c>
      <c r="AB100" s="122">
        <v>451.02</v>
      </c>
      <c r="AC100" s="122">
        <f>IF(C100="DENALI", AB100*0.495, IF(C100="SCHNEIDER ELECTRIC", AB100*1.136, IF(C100="WWT", AB100*1.2, AC100)))+AB100</f>
        <v>963.37871999999993</v>
      </c>
      <c r="AD100" s="129">
        <f>AC100-AB100</f>
        <v>512.35871999999995</v>
      </c>
      <c r="AE100" s="122">
        <v>1979.6</v>
      </c>
      <c r="AF100" s="130">
        <f>AB100/U100</f>
        <v>451.02</v>
      </c>
      <c r="AG100" s="130">
        <f>AB100/V100</f>
        <v>64.431428571428569</v>
      </c>
      <c r="AH100" s="123">
        <f>AB100/S100</f>
        <v>0.33533085501858734</v>
      </c>
      <c r="AI100" s="124" t="s">
        <v>97</v>
      </c>
      <c r="AJ100" s="125" t="s">
        <v>98</v>
      </c>
      <c r="AK100"/>
      <c r="AM100" s="80"/>
    </row>
    <row r="101" spans="1:39" ht="121.5">
      <c r="A101" s="113" t="s">
        <v>73</v>
      </c>
      <c r="B101" s="114" t="s">
        <v>140</v>
      </c>
      <c r="C101" s="113" t="s">
        <v>35</v>
      </c>
      <c r="D101" s="113" t="s">
        <v>218</v>
      </c>
      <c r="E101" s="115" t="s">
        <v>141</v>
      </c>
      <c r="F101" s="113" t="s">
        <v>142</v>
      </c>
      <c r="G101" s="116">
        <v>22378599</v>
      </c>
      <c r="H101" s="79">
        <v>46085</v>
      </c>
      <c r="I101" s="114" t="s">
        <v>79</v>
      </c>
      <c r="J101" s="117" t="s">
        <v>536</v>
      </c>
      <c r="K101" s="118">
        <v>46084</v>
      </c>
      <c r="L101" s="114" t="s">
        <v>81</v>
      </c>
      <c r="M101" s="119">
        <v>46085</v>
      </c>
      <c r="N101" s="128">
        <v>46085</v>
      </c>
      <c r="O101" s="120">
        <f>NETWORKDAYS.INTL(K101,N101,1,$AM$2:$AM$10)-1</f>
        <v>1</v>
      </c>
      <c r="P101" s="114" t="s">
        <v>81</v>
      </c>
      <c r="Q101" s="114" t="s">
        <v>79</v>
      </c>
      <c r="R101" s="115" t="s">
        <v>95</v>
      </c>
      <c r="S101" s="145">
        <v>439</v>
      </c>
      <c r="T101" s="148" t="s">
        <v>537</v>
      </c>
      <c r="U101" s="147">
        <v>10</v>
      </c>
      <c r="V101" s="121">
        <v>2306</v>
      </c>
      <c r="W101" s="121">
        <v>6070</v>
      </c>
      <c r="X101" s="114" t="s">
        <v>113</v>
      </c>
      <c r="Y101" s="115" t="s">
        <v>85</v>
      </c>
      <c r="Z101" s="115" t="s">
        <v>538</v>
      </c>
      <c r="AA101" s="113" t="s">
        <v>87</v>
      </c>
      <c r="AB101" s="122">
        <v>2389.4</v>
      </c>
      <c r="AC101" s="122">
        <f>IF(C101="DENALI", AB101*0.495, IF(C101="SCHNEIDER ELECTRIC", AB101*1.136, IF(C101="WWT", AB101*1.2, AC101)))+AB101</f>
        <v>3572.1530000000002</v>
      </c>
      <c r="AD101" s="129">
        <f>AC101-AB101</f>
        <v>1182.7530000000002</v>
      </c>
      <c r="AE101" s="122">
        <v>231279.92</v>
      </c>
      <c r="AF101" s="130">
        <f>AB101/U101</f>
        <v>238.94</v>
      </c>
      <c r="AG101" s="130">
        <f>AB101/V101</f>
        <v>1.0361665221162186</v>
      </c>
      <c r="AH101" s="123">
        <f>AB101/S101</f>
        <v>5.442824601366743</v>
      </c>
      <c r="AI101" s="124" t="s">
        <v>97</v>
      </c>
      <c r="AJ101" s="125" t="s">
        <v>89</v>
      </c>
      <c r="AK101"/>
      <c r="AM101" s="80"/>
    </row>
    <row r="102" spans="1:39" ht="28.5" customHeight="1">
      <c r="A102" s="113" t="s">
        <v>73</v>
      </c>
      <c r="B102" s="114" t="s">
        <v>74</v>
      </c>
      <c r="C102" s="113" t="s">
        <v>35</v>
      </c>
      <c r="D102" s="113" t="s">
        <v>218</v>
      </c>
      <c r="E102" s="115" t="s">
        <v>539</v>
      </c>
      <c r="F102" s="113" t="s">
        <v>292</v>
      </c>
      <c r="G102" s="116">
        <v>22379403</v>
      </c>
      <c r="H102" s="79">
        <v>46085</v>
      </c>
      <c r="I102" s="114" t="s">
        <v>79</v>
      </c>
      <c r="J102" s="117" t="s">
        <v>540</v>
      </c>
      <c r="K102" s="118">
        <v>46084</v>
      </c>
      <c r="L102" s="114" t="s">
        <v>81</v>
      </c>
      <c r="M102" s="119">
        <v>46085</v>
      </c>
      <c r="N102" s="128">
        <v>46085</v>
      </c>
      <c r="O102" s="120">
        <f>NETWORKDAYS.INTL(K102,N102,1,$AM$2:$AM$10)-1</f>
        <v>1</v>
      </c>
      <c r="P102" s="114" t="s">
        <v>81</v>
      </c>
      <c r="Q102" s="114" t="s">
        <v>79</v>
      </c>
      <c r="R102" s="115" t="s">
        <v>95</v>
      </c>
      <c r="S102" s="145">
        <v>1143</v>
      </c>
      <c r="T102" s="148" t="s">
        <v>541</v>
      </c>
      <c r="U102" s="147">
        <v>11</v>
      </c>
      <c r="V102" s="121">
        <v>2930</v>
      </c>
      <c r="W102" s="121">
        <v>7135</v>
      </c>
      <c r="X102" s="114" t="s">
        <v>113</v>
      </c>
      <c r="Y102" s="115" t="s">
        <v>85</v>
      </c>
      <c r="Z102" s="115" t="s">
        <v>542</v>
      </c>
      <c r="AA102" s="113" t="s">
        <v>87</v>
      </c>
      <c r="AB102" s="122">
        <v>4315.82</v>
      </c>
      <c r="AC102" s="122">
        <f>IF(C102="DENALI", AB102*0.495, IF(C102="SCHNEIDER ELECTRIC", AB102*1.136, IF(C102="WWT", AB102*1.2, AC102)))+AB102</f>
        <v>6452.1508999999996</v>
      </c>
      <c r="AD102" s="129">
        <f>AC102-AB102</f>
        <v>2136.3308999999999</v>
      </c>
      <c r="AE102" s="122">
        <v>239129.18</v>
      </c>
      <c r="AF102" s="130">
        <f>AB102/U102</f>
        <v>392.3472727272727</v>
      </c>
      <c r="AG102" s="130">
        <f>AB102/V102</f>
        <v>1.4729761092150169</v>
      </c>
      <c r="AH102" s="123">
        <f>AB102/S102</f>
        <v>3.7758705161854764</v>
      </c>
      <c r="AI102" s="124" t="s">
        <v>97</v>
      </c>
      <c r="AJ102" s="125" t="s">
        <v>349</v>
      </c>
      <c r="AK102"/>
      <c r="AM102" s="80"/>
    </row>
    <row r="103" spans="1:39" ht="28.5" customHeight="1">
      <c r="A103" s="113" t="s">
        <v>73</v>
      </c>
      <c r="B103" s="114" t="s">
        <v>74</v>
      </c>
      <c r="C103" s="113" t="s">
        <v>35</v>
      </c>
      <c r="D103" s="113" t="s">
        <v>218</v>
      </c>
      <c r="E103" s="115" t="s">
        <v>543</v>
      </c>
      <c r="F103" s="113" t="s">
        <v>92</v>
      </c>
      <c r="G103" s="116" t="s">
        <v>544</v>
      </c>
      <c r="H103" s="79">
        <v>46087</v>
      </c>
      <c r="I103" s="114" t="s">
        <v>79</v>
      </c>
      <c r="J103" s="117" t="s">
        <v>545</v>
      </c>
      <c r="K103" s="118">
        <v>46083</v>
      </c>
      <c r="L103" s="114" t="s">
        <v>81</v>
      </c>
      <c r="M103" s="119">
        <v>46085</v>
      </c>
      <c r="N103" s="128">
        <v>46085</v>
      </c>
      <c r="O103" s="120">
        <f>NETWORKDAYS.INTL(K103,N103,1,$AM$2:$AM$10)-1</f>
        <v>2</v>
      </c>
      <c r="P103" s="114" t="s">
        <v>81</v>
      </c>
      <c r="Q103" s="114" t="s">
        <v>79</v>
      </c>
      <c r="R103" s="115" t="s">
        <v>95</v>
      </c>
      <c r="S103" s="145">
        <v>1101</v>
      </c>
      <c r="T103" s="148" t="s">
        <v>546</v>
      </c>
      <c r="U103" s="147">
        <v>1</v>
      </c>
      <c r="V103" s="121">
        <v>123</v>
      </c>
      <c r="W103" s="121">
        <v>545</v>
      </c>
      <c r="X103" s="114" t="s">
        <v>84</v>
      </c>
      <c r="Y103" s="115" t="s">
        <v>85</v>
      </c>
      <c r="Z103" s="115" t="s">
        <v>86</v>
      </c>
      <c r="AA103" s="113" t="s">
        <v>87</v>
      </c>
      <c r="AB103" s="122">
        <v>247.54</v>
      </c>
      <c r="AC103" s="122">
        <f>IF(C103="DENALI", AB103*0.495, IF(C103="SCHNEIDER ELECTRIC", AB103*1.136, IF(C103="WWT", AB103*1.2, AC103)))+AB103</f>
        <v>370.07229999999998</v>
      </c>
      <c r="AD103" s="129">
        <f>AC103-AB103</f>
        <v>122.53229999999999</v>
      </c>
      <c r="AE103" s="122">
        <v>13252.62</v>
      </c>
      <c r="AF103" s="130">
        <f>AB103/U103</f>
        <v>247.54</v>
      </c>
      <c r="AG103" s="130">
        <f>AB103/V103</f>
        <v>2.0125203252032517</v>
      </c>
      <c r="AH103" s="123">
        <f>AB103/S103</f>
        <v>0.22483197093551316</v>
      </c>
      <c r="AI103" s="124" t="s">
        <v>115</v>
      </c>
      <c r="AJ103" s="125" t="s">
        <v>107</v>
      </c>
      <c r="AK103"/>
      <c r="AM103" s="80"/>
    </row>
    <row r="104" spans="1:39" ht="28.5" customHeight="1">
      <c r="A104" s="113" t="s">
        <v>73</v>
      </c>
      <c r="B104" s="114" t="s">
        <v>74</v>
      </c>
      <c r="C104" s="113" t="s">
        <v>35</v>
      </c>
      <c r="D104" s="113" t="s">
        <v>218</v>
      </c>
      <c r="E104" s="115" t="s">
        <v>547</v>
      </c>
      <c r="F104" s="113" t="s">
        <v>150</v>
      </c>
      <c r="G104" s="116" t="s">
        <v>548</v>
      </c>
      <c r="H104" s="79">
        <v>46087</v>
      </c>
      <c r="I104" s="114" t="s">
        <v>79</v>
      </c>
      <c r="J104" s="117" t="s">
        <v>549</v>
      </c>
      <c r="K104" s="118">
        <v>46083</v>
      </c>
      <c r="L104" s="114" t="s">
        <v>81</v>
      </c>
      <c r="M104" s="119">
        <v>46086</v>
      </c>
      <c r="N104" s="128">
        <v>46086</v>
      </c>
      <c r="O104" s="120">
        <f>NETWORKDAYS.INTL(K104,N104,1,$AM$2:$AM$10)-1</f>
        <v>3</v>
      </c>
      <c r="P104" s="114" t="s">
        <v>81</v>
      </c>
      <c r="Q104" s="114" t="s">
        <v>79</v>
      </c>
      <c r="R104" s="115" t="s">
        <v>95</v>
      </c>
      <c r="S104" s="145">
        <v>2271</v>
      </c>
      <c r="T104" s="148" t="s">
        <v>550</v>
      </c>
      <c r="U104" s="147">
        <v>2</v>
      </c>
      <c r="V104" s="121">
        <v>29</v>
      </c>
      <c r="W104" s="121">
        <v>1585</v>
      </c>
      <c r="X104" s="114" t="s">
        <v>84</v>
      </c>
      <c r="Y104" s="115" t="s">
        <v>85</v>
      </c>
      <c r="Z104" s="115" t="s">
        <v>86</v>
      </c>
      <c r="AA104" s="113" t="s">
        <v>87</v>
      </c>
      <c r="AB104" s="122">
        <v>956.23</v>
      </c>
      <c r="AC104" s="122">
        <f>IF(C104="DENALI", AB104*0.495, IF(C104="SCHNEIDER ELECTRIC", AB104*1.136, IF(C104="WWT", AB104*1.2, AC104)))+AB104</f>
        <v>1429.56385</v>
      </c>
      <c r="AD104" s="129">
        <f>AC104-AB104</f>
        <v>473.33384999999998</v>
      </c>
      <c r="AE104" s="122">
        <v>36823.910000000003</v>
      </c>
      <c r="AF104" s="130">
        <f>AB104/U104</f>
        <v>478.11500000000001</v>
      </c>
      <c r="AG104" s="130">
        <f>AB104/V104</f>
        <v>32.973448275862069</v>
      </c>
      <c r="AH104" s="123">
        <f>AB104/S104</f>
        <v>0.42106120651695289</v>
      </c>
      <c r="AI104" s="124" t="s">
        <v>97</v>
      </c>
      <c r="AJ104" s="125" t="s">
        <v>349</v>
      </c>
      <c r="AK104"/>
      <c r="AM104" s="80"/>
    </row>
    <row r="105" spans="1:39" ht="28.5" customHeight="1">
      <c r="A105" s="113" t="s">
        <v>73</v>
      </c>
      <c r="B105" s="114" t="s">
        <v>74</v>
      </c>
      <c r="C105" s="113" t="s">
        <v>35</v>
      </c>
      <c r="D105" s="113" t="s">
        <v>218</v>
      </c>
      <c r="E105" s="115" t="s">
        <v>551</v>
      </c>
      <c r="F105" s="113" t="s">
        <v>213</v>
      </c>
      <c r="G105" s="116" t="s">
        <v>552</v>
      </c>
      <c r="H105" s="79">
        <v>46087</v>
      </c>
      <c r="I105" s="114" t="s">
        <v>79</v>
      </c>
      <c r="J105" s="117" t="s">
        <v>553</v>
      </c>
      <c r="K105" s="118">
        <v>46084</v>
      </c>
      <c r="L105" s="114" t="s">
        <v>81</v>
      </c>
      <c r="M105" s="119">
        <v>46090</v>
      </c>
      <c r="N105" s="128">
        <v>46090</v>
      </c>
      <c r="O105" s="120">
        <f>NETWORKDAYS.INTL(K105,N105,1,$AM$2:$AM$10)-1</f>
        <v>4</v>
      </c>
      <c r="P105" s="114" t="s">
        <v>81</v>
      </c>
      <c r="Q105" s="114" t="s">
        <v>79</v>
      </c>
      <c r="R105" s="115" t="s">
        <v>95</v>
      </c>
      <c r="S105" s="145">
        <v>741</v>
      </c>
      <c r="T105" s="148" t="s">
        <v>554</v>
      </c>
      <c r="U105" s="147">
        <v>1</v>
      </c>
      <c r="V105" s="121">
        <v>3</v>
      </c>
      <c r="W105" s="121">
        <v>485</v>
      </c>
      <c r="X105" s="114" t="s">
        <v>84</v>
      </c>
      <c r="Y105" s="115" t="s">
        <v>85</v>
      </c>
      <c r="Z105" s="115" t="s">
        <v>86</v>
      </c>
      <c r="AA105" s="113" t="s">
        <v>87</v>
      </c>
      <c r="AB105" s="122">
        <v>205.48</v>
      </c>
      <c r="AC105" s="122">
        <f>IF(C105="DENALI", AB105*0.495, IF(C105="SCHNEIDER ELECTRIC", AB105*1.136, IF(C105="WWT", AB105*1.2, AC105)))+AB105</f>
        <v>307.19259999999997</v>
      </c>
      <c r="AD105" s="129">
        <f>AC105-AB105</f>
        <v>101.71259999999998</v>
      </c>
      <c r="AE105" s="122">
        <v>1297.1099999999999</v>
      </c>
      <c r="AF105" s="130">
        <f>AB105/U105</f>
        <v>205.48</v>
      </c>
      <c r="AG105" s="130">
        <f>AB105/V105</f>
        <v>68.493333333333325</v>
      </c>
      <c r="AH105" s="123">
        <f>AB105/S105</f>
        <v>0.27730094466936572</v>
      </c>
      <c r="AI105" s="124" t="s">
        <v>97</v>
      </c>
      <c r="AJ105" s="125" t="s">
        <v>349</v>
      </c>
      <c r="AK105"/>
      <c r="AM105" s="80"/>
    </row>
    <row r="106" spans="1:39" ht="28.5" customHeight="1">
      <c r="A106" s="113" t="s">
        <v>73</v>
      </c>
      <c r="B106" s="114" t="s">
        <v>74</v>
      </c>
      <c r="C106" s="113" t="s">
        <v>35</v>
      </c>
      <c r="D106" s="113" t="s">
        <v>218</v>
      </c>
      <c r="E106" s="115" t="s">
        <v>400</v>
      </c>
      <c r="F106" s="113" t="s">
        <v>401</v>
      </c>
      <c r="G106" s="116" t="s">
        <v>555</v>
      </c>
      <c r="H106" s="79">
        <v>46087</v>
      </c>
      <c r="I106" s="114" t="s">
        <v>79</v>
      </c>
      <c r="J106" s="117" t="s">
        <v>556</v>
      </c>
      <c r="K106" s="118">
        <v>46085</v>
      </c>
      <c r="L106" s="114" t="s">
        <v>81</v>
      </c>
      <c r="M106" s="119">
        <v>46090</v>
      </c>
      <c r="N106" s="128">
        <v>46090</v>
      </c>
      <c r="O106" s="120">
        <f>NETWORKDAYS.INTL(K106,N106,1,$AM$2:$AM$10)-1</f>
        <v>3</v>
      </c>
      <c r="P106" s="114" t="s">
        <v>81</v>
      </c>
      <c r="Q106" s="114" t="s">
        <v>79</v>
      </c>
      <c r="R106" s="115" t="s">
        <v>95</v>
      </c>
      <c r="S106" s="145">
        <v>865</v>
      </c>
      <c r="T106" s="148" t="s">
        <v>554</v>
      </c>
      <c r="U106" s="147">
        <v>1</v>
      </c>
      <c r="V106" s="121">
        <v>75</v>
      </c>
      <c r="W106" s="121">
        <v>505</v>
      </c>
      <c r="X106" s="114" t="s">
        <v>84</v>
      </c>
      <c r="Y106" s="115" t="s">
        <v>85</v>
      </c>
      <c r="Z106" s="115" t="s">
        <v>342</v>
      </c>
      <c r="AA106" s="113" t="s">
        <v>87</v>
      </c>
      <c r="AB106" s="122">
        <v>442.86</v>
      </c>
      <c r="AC106" s="122">
        <f>IF(C106="DENALI", AB106*0.495, IF(C106="SCHNEIDER ELECTRIC", AB106*1.136, IF(C106="WWT", AB106*1.2, AC106)))+AB106</f>
        <v>662.07569999999998</v>
      </c>
      <c r="AD106" s="129">
        <f>AC106-AB106</f>
        <v>219.21569999999997</v>
      </c>
      <c r="AE106" s="122">
        <v>15822.49</v>
      </c>
      <c r="AF106" s="130">
        <f>AB106/U106</f>
        <v>442.86</v>
      </c>
      <c r="AG106" s="130">
        <f>AB106/V106</f>
        <v>5.9047999999999998</v>
      </c>
      <c r="AH106" s="123">
        <f>AB106/S106</f>
        <v>0.51197687861271679</v>
      </c>
      <c r="AI106" s="124" t="s">
        <v>97</v>
      </c>
      <c r="AJ106" s="125" t="s">
        <v>343</v>
      </c>
      <c r="AK106"/>
      <c r="AM106" s="80"/>
    </row>
    <row r="107" spans="1:39" ht="28.5" customHeight="1">
      <c r="A107" s="113" t="s">
        <v>73</v>
      </c>
      <c r="B107" s="114" t="s">
        <v>74</v>
      </c>
      <c r="C107" s="113" t="s">
        <v>35</v>
      </c>
      <c r="D107" s="113" t="s">
        <v>218</v>
      </c>
      <c r="E107" s="115" t="s">
        <v>206</v>
      </c>
      <c r="F107" s="113" t="s">
        <v>207</v>
      </c>
      <c r="G107" s="116" t="s">
        <v>557</v>
      </c>
      <c r="H107" s="79">
        <v>46087</v>
      </c>
      <c r="I107" s="114" t="s">
        <v>79</v>
      </c>
      <c r="J107" s="117" t="s">
        <v>558</v>
      </c>
      <c r="K107" s="118">
        <v>46099</v>
      </c>
      <c r="L107" s="114" t="s">
        <v>79</v>
      </c>
      <c r="M107" s="119">
        <v>46100</v>
      </c>
      <c r="N107" s="128">
        <v>46100</v>
      </c>
      <c r="O107" s="120">
        <f>NETWORKDAYS.INTL(K107,N107,1,$AM$2:$AM$10)-1</f>
        <v>1</v>
      </c>
      <c r="P107" s="114" t="s">
        <v>79</v>
      </c>
      <c r="Q107" s="114" t="s">
        <v>81</v>
      </c>
      <c r="R107" s="115" t="s">
        <v>559</v>
      </c>
      <c r="S107" s="145">
        <v>193</v>
      </c>
      <c r="T107" s="148" t="s">
        <v>560</v>
      </c>
      <c r="U107" s="147">
        <v>2</v>
      </c>
      <c r="V107" s="121">
        <v>28</v>
      </c>
      <c r="W107" s="121">
        <v>1110</v>
      </c>
      <c r="X107" s="114" t="s">
        <v>84</v>
      </c>
      <c r="Y107" s="115" t="s">
        <v>85</v>
      </c>
      <c r="Z107" s="115" t="s">
        <v>222</v>
      </c>
      <c r="AA107" s="113" t="s">
        <v>87</v>
      </c>
      <c r="AB107" s="122">
        <v>188.58</v>
      </c>
      <c r="AC107" s="122">
        <f>IF(C107="DENALI", AB107*0.495, IF(C107="SCHNEIDER ELECTRIC", AB107*1.136, IF(C107="WWT", AB107*1.2, AC107)))+AB107</f>
        <v>281.9271</v>
      </c>
      <c r="AD107" s="129">
        <f>AC107-AB107</f>
        <v>93.347099999999983</v>
      </c>
      <c r="AE107" s="122">
        <v>113360.52</v>
      </c>
      <c r="AF107" s="130">
        <f>AB107/U107</f>
        <v>94.29</v>
      </c>
      <c r="AG107" s="130">
        <f>AB107/V107</f>
        <v>6.7350000000000003</v>
      </c>
      <c r="AH107" s="123">
        <f>AB107/S107</f>
        <v>0.97709844559585501</v>
      </c>
      <c r="AI107" s="124" t="s">
        <v>97</v>
      </c>
      <c r="AJ107" s="125" t="s">
        <v>349</v>
      </c>
      <c r="AK107"/>
      <c r="AM107" s="80"/>
    </row>
    <row r="108" spans="1:39" ht="28.5" customHeight="1">
      <c r="A108" s="113" t="s">
        <v>73</v>
      </c>
      <c r="B108" s="114" t="s">
        <v>74</v>
      </c>
      <c r="C108" s="113" t="s">
        <v>35</v>
      </c>
      <c r="D108" s="113" t="s">
        <v>218</v>
      </c>
      <c r="E108" s="115" t="s">
        <v>561</v>
      </c>
      <c r="F108" s="113" t="s">
        <v>562</v>
      </c>
      <c r="G108" s="116" t="s">
        <v>563</v>
      </c>
      <c r="H108" s="79">
        <v>46087</v>
      </c>
      <c r="I108" s="114" t="s">
        <v>79</v>
      </c>
      <c r="J108" s="117" t="s">
        <v>564</v>
      </c>
      <c r="K108" s="118">
        <v>46084</v>
      </c>
      <c r="L108" s="114" t="s">
        <v>81</v>
      </c>
      <c r="M108" s="119">
        <v>46086</v>
      </c>
      <c r="N108" s="128">
        <v>46086</v>
      </c>
      <c r="O108" s="120">
        <f>NETWORKDAYS.INTL(K108,N108,1,$AM$2:$AM$10)-1</f>
        <v>2</v>
      </c>
      <c r="P108" s="114" t="s">
        <v>81</v>
      </c>
      <c r="Q108" s="114" t="s">
        <v>79</v>
      </c>
      <c r="R108" s="115" t="s">
        <v>95</v>
      </c>
      <c r="S108" s="145">
        <v>556</v>
      </c>
      <c r="T108" s="148" t="s">
        <v>565</v>
      </c>
      <c r="U108" s="147">
        <v>1</v>
      </c>
      <c r="V108" s="121">
        <v>33</v>
      </c>
      <c r="W108" s="121">
        <v>355</v>
      </c>
      <c r="X108" s="114" t="s">
        <v>84</v>
      </c>
      <c r="Y108" s="115" t="s">
        <v>85</v>
      </c>
      <c r="Z108" s="115" t="s">
        <v>342</v>
      </c>
      <c r="AA108" s="113" t="s">
        <v>87</v>
      </c>
      <c r="AB108" s="122">
        <v>409</v>
      </c>
      <c r="AC108" s="122">
        <f>IF(C108="DENALI", AB108*0.495, IF(C108="SCHNEIDER ELECTRIC", AB108*1.136, IF(C108="WWT", AB108*1.2, AC108)))+AB108</f>
        <v>611.45499999999993</v>
      </c>
      <c r="AD108" s="129">
        <f>AC108-AB108</f>
        <v>202.45499999999993</v>
      </c>
      <c r="AE108" s="122">
        <v>6208.31</v>
      </c>
      <c r="AF108" s="130">
        <f>AB108/U108</f>
        <v>409</v>
      </c>
      <c r="AG108" s="130">
        <f>AB108/V108</f>
        <v>12.393939393939394</v>
      </c>
      <c r="AH108" s="123">
        <f>AB108/S108</f>
        <v>0.73561151079136688</v>
      </c>
      <c r="AI108" s="124" t="s">
        <v>155</v>
      </c>
      <c r="AJ108" s="125" t="s">
        <v>89</v>
      </c>
      <c r="AK108"/>
      <c r="AM108" s="80"/>
    </row>
    <row r="109" spans="1:39" ht="28.5" customHeight="1">
      <c r="A109" s="113" t="s">
        <v>73</v>
      </c>
      <c r="B109" s="114" t="s">
        <v>74</v>
      </c>
      <c r="C109" s="113" t="s">
        <v>35</v>
      </c>
      <c r="D109" s="113" t="s">
        <v>99</v>
      </c>
      <c r="E109" s="115" t="s">
        <v>566</v>
      </c>
      <c r="F109" s="113" t="s">
        <v>131</v>
      </c>
      <c r="G109" s="116" t="s">
        <v>567</v>
      </c>
      <c r="H109" s="79">
        <v>46087</v>
      </c>
      <c r="I109" s="114" t="s">
        <v>79</v>
      </c>
      <c r="J109" s="117" t="s">
        <v>568</v>
      </c>
      <c r="K109" s="118">
        <v>46084</v>
      </c>
      <c r="L109" s="114" t="s">
        <v>81</v>
      </c>
      <c r="M109" s="119">
        <v>46091</v>
      </c>
      <c r="N109" s="128">
        <v>46091</v>
      </c>
      <c r="O109" s="120">
        <f>NETWORKDAYS.INTL(K109,N109,1,$AM$2:$AM$10)-1</f>
        <v>5</v>
      </c>
      <c r="P109" s="114" t="s">
        <v>81</v>
      </c>
      <c r="Q109" s="114" t="s">
        <v>79</v>
      </c>
      <c r="R109" s="115" t="s">
        <v>95</v>
      </c>
      <c r="S109" s="145">
        <v>3026</v>
      </c>
      <c r="T109" s="148" t="s">
        <v>569</v>
      </c>
      <c r="U109" s="147">
        <v>1</v>
      </c>
      <c r="V109" s="121">
        <v>66</v>
      </c>
      <c r="W109" s="121">
        <v>375</v>
      </c>
      <c r="X109" s="114" t="s">
        <v>84</v>
      </c>
      <c r="Y109" s="115" t="s">
        <v>85</v>
      </c>
      <c r="Z109" s="115" t="s">
        <v>342</v>
      </c>
      <c r="AA109" s="113" t="s">
        <v>87</v>
      </c>
      <c r="AB109" s="122">
        <v>451.54</v>
      </c>
      <c r="AC109" s="122">
        <f>IF(C109="DENALI", AB109*0.495, IF(C109="SCHNEIDER ELECTRIC", AB109*1.136, IF(C109="WWT", AB109*1.2, AC109)))+AB109</f>
        <v>675.05230000000006</v>
      </c>
      <c r="AD109" s="129">
        <f>AC109-AB109</f>
        <v>223.51230000000004</v>
      </c>
      <c r="AE109" s="122">
        <v>27607.25</v>
      </c>
      <c r="AF109" s="130">
        <f>AB109/U109</f>
        <v>451.54</v>
      </c>
      <c r="AG109" s="130">
        <f>AB109/V109</f>
        <v>6.8415151515151518</v>
      </c>
      <c r="AH109" s="123">
        <f>AB109/S109</f>
        <v>0.14922009253139459</v>
      </c>
      <c r="AI109" s="124" t="s">
        <v>570</v>
      </c>
      <c r="AJ109" s="125" t="s">
        <v>349</v>
      </c>
      <c r="AK109"/>
      <c r="AM109" s="80"/>
    </row>
    <row r="110" spans="1:39" ht="28.5" customHeight="1">
      <c r="A110" s="113" t="s">
        <v>73</v>
      </c>
      <c r="B110" s="114" t="s">
        <v>74</v>
      </c>
      <c r="C110" s="113" t="s">
        <v>36</v>
      </c>
      <c r="D110" s="113" t="s">
        <v>75</v>
      </c>
      <c r="E110" s="115" t="s">
        <v>571</v>
      </c>
      <c r="F110" s="113" t="s">
        <v>75</v>
      </c>
      <c r="G110" s="116" t="s">
        <v>572</v>
      </c>
      <c r="H110" s="79">
        <v>46087</v>
      </c>
      <c r="I110" s="114" t="s">
        <v>79</v>
      </c>
      <c r="J110" s="117" t="s">
        <v>573</v>
      </c>
      <c r="K110" s="118">
        <v>46086</v>
      </c>
      <c r="L110" s="114" t="s">
        <v>81</v>
      </c>
      <c r="M110" s="119">
        <v>46087</v>
      </c>
      <c r="N110" s="128">
        <v>46087</v>
      </c>
      <c r="O110" s="120">
        <f>NETWORKDAYS.INTL(K110,N110,1,$AM$2:$AM$10)-1</f>
        <v>1</v>
      </c>
      <c r="P110" s="114" t="s">
        <v>81</v>
      </c>
      <c r="Q110" s="114" t="s">
        <v>79</v>
      </c>
      <c r="R110" s="115" t="s">
        <v>95</v>
      </c>
      <c r="S110" s="145">
        <v>43</v>
      </c>
      <c r="T110" s="148" t="s">
        <v>574</v>
      </c>
      <c r="U110" s="147">
        <v>1</v>
      </c>
      <c r="V110" s="121">
        <v>6</v>
      </c>
      <c r="W110" s="121">
        <v>502</v>
      </c>
      <c r="X110" s="114" t="s">
        <v>84</v>
      </c>
      <c r="Y110" s="115" t="s">
        <v>85</v>
      </c>
      <c r="Z110" s="115" t="s">
        <v>222</v>
      </c>
      <c r="AA110" s="113" t="s">
        <v>87</v>
      </c>
      <c r="AB110" s="122">
        <v>143.05000000000001</v>
      </c>
      <c r="AC110" s="122">
        <f>IF(C110="DENALI", AB110*0.495, IF(C110="SCHNEIDER ELECTRIC", AB110*1.136, IF(C110="WWT", AB110*1.2, AC110)))+AB110</f>
        <v>305.5548</v>
      </c>
      <c r="AD110" s="129">
        <f>AC110-AB110</f>
        <v>162.50479999999999</v>
      </c>
      <c r="AE110" s="122">
        <v>3127.92</v>
      </c>
      <c r="AF110" s="130">
        <f>AB110/U110</f>
        <v>143.05000000000001</v>
      </c>
      <c r="AG110" s="130">
        <f>AB110/V110</f>
        <v>23.841666666666669</v>
      </c>
      <c r="AH110" s="123">
        <f>AB110/S110</f>
        <v>3.3267441860465117</v>
      </c>
      <c r="AI110" s="124" t="s">
        <v>575</v>
      </c>
      <c r="AJ110" s="125" t="s">
        <v>576</v>
      </c>
      <c r="AK110"/>
      <c r="AM110" s="80"/>
    </row>
    <row r="111" spans="1:39" ht="28.5" customHeight="1">
      <c r="A111" s="113" t="s">
        <v>73</v>
      </c>
      <c r="B111" s="114" t="s">
        <v>74</v>
      </c>
      <c r="C111" s="113" t="s">
        <v>35</v>
      </c>
      <c r="D111" s="113" t="s">
        <v>99</v>
      </c>
      <c r="E111" s="115" t="s">
        <v>282</v>
      </c>
      <c r="F111" s="113" t="s">
        <v>207</v>
      </c>
      <c r="G111" s="116" t="s">
        <v>577</v>
      </c>
      <c r="H111" s="79">
        <v>46093</v>
      </c>
      <c r="I111" s="114" t="s">
        <v>79</v>
      </c>
      <c r="J111" s="117" t="s">
        <v>578</v>
      </c>
      <c r="K111" s="118">
        <v>46086</v>
      </c>
      <c r="L111" s="114" t="s">
        <v>81</v>
      </c>
      <c r="M111" s="119">
        <v>46093</v>
      </c>
      <c r="N111" s="128">
        <v>46093</v>
      </c>
      <c r="O111" s="120">
        <f>NETWORKDAYS.INTL(K111,N111,1,$AM$2:$AM$10)-1</f>
        <v>5</v>
      </c>
      <c r="P111" s="114" t="s">
        <v>81</v>
      </c>
      <c r="Q111" s="114" t="s">
        <v>79</v>
      </c>
      <c r="R111" s="115" t="s">
        <v>95</v>
      </c>
      <c r="S111" s="145">
        <v>2309</v>
      </c>
      <c r="T111" s="148" t="s">
        <v>579</v>
      </c>
      <c r="U111" s="147">
        <v>1</v>
      </c>
      <c r="V111" s="121">
        <v>65</v>
      </c>
      <c r="W111" s="121">
        <v>265</v>
      </c>
      <c r="X111" s="114" t="s">
        <v>84</v>
      </c>
      <c r="Y111" s="115" t="s">
        <v>85</v>
      </c>
      <c r="Z111" s="115" t="s">
        <v>342</v>
      </c>
      <c r="AA111" s="113" t="s">
        <v>87</v>
      </c>
      <c r="AB111" s="122">
        <v>368.42</v>
      </c>
      <c r="AC111" s="122">
        <f>IF(C111="DENALI", AB111*0.495, IF(C111="SCHNEIDER ELECTRIC", AB111*1.136, IF(C111="WWT", AB111*1.2, AC111)))+AB111</f>
        <v>550.78790000000004</v>
      </c>
      <c r="AD111" s="129">
        <f>AC111-AB111</f>
        <v>182.36790000000002</v>
      </c>
      <c r="AE111" s="122">
        <v>70734.3</v>
      </c>
      <c r="AF111" s="130">
        <f>AB111/U111</f>
        <v>368.42</v>
      </c>
      <c r="AG111" s="130">
        <f>AB111/V111</f>
        <v>5.6680000000000001</v>
      </c>
      <c r="AH111" s="123">
        <f>AB111/S111</f>
        <v>0.15955825032481594</v>
      </c>
      <c r="AI111" s="124" t="s">
        <v>97</v>
      </c>
      <c r="AJ111" s="125" t="s">
        <v>349</v>
      </c>
      <c r="AK111"/>
      <c r="AM111" s="80"/>
    </row>
    <row r="112" spans="1:39" ht="28.5" customHeight="1">
      <c r="A112" s="113" t="s">
        <v>73</v>
      </c>
      <c r="B112" s="114" t="s">
        <v>74</v>
      </c>
      <c r="C112" s="113" t="s">
        <v>36</v>
      </c>
      <c r="D112" s="113" t="s">
        <v>90</v>
      </c>
      <c r="E112" s="115" t="s">
        <v>580</v>
      </c>
      <c r="F112" s="113" t="s">
        <v>92</v>
      </c>
      <c r="G112" s="116" t="s">
        <v>581</v>
      </c>
      <c r="H112" s="79">
        <v>46090</v>
      </c>
      <c r="I112" s="114" t="s">
        <v>79</v>
      </c>
      <c r="J112" s="117" t="s">
        <v>582</v>
      </c>
      <c r="K112" s="118">
        <v>46087</v>
      </c>
      <c r="L112" s="114" t="s">
        <v>81</v>
      </c>
      <c r="M112" s="119">
        <v>46093</v>
      </c>
      <c r="N112" s="128">
        <v>46093</v>
      </c>
      <c r="O112" s="120">
        <f>NETWORKDAYS.INTL(K112,N112,1,$AM$2:$AM$10)-1</f>
        <v>4</v>
      </c>
      <c r="P112" s="114" t="s">
        <v>81</v>
      </c>
      <c r="Q112" s="114" t="s">
        <v>79</v>
      </c>
      <c r="R112" s="115" t="s">
        <v>95</v>
      </c>
      <c r="S112" s="145">
        <v>1488</v>
      </c>
      <c r="T112" s="148" t="s">
        <v>583</v>
      </c>
      <c r="U112" s="147">
        <v>1</v>
      </c>
      <c r="V112" s="121">
        <v>16</v>
      </c>
      <c r="W112" s="121">
        <v>658</v>
      </c>
      <c r="X112" s="114" t="s">
        <v>84</v>
      </c>
      <c r="Y112" s="115" t="s">
        <v>85</v>
      </c>
      <c r="Z112" s="115" t="s">
        <v>86</v>
      </c>
      <c r="AA112" s="113" t="s">
        <v>87</v>
      </c>
      <c r="AB112" s="122">
        <v>253.41</v>
      </c>
      <c r="AC112" s="122">
        <f>IF(C112="DENALI", AB112*0.495, IF(C112="SCHNEIDER ELECTRIC", AB112*1.136, IF(C112="WWT", AB112*1.2, AC112)))+AB112</f>
        <v>541.28375999999992</v>
      </c>
      <c r="AD112" s="129">
        <f>AC112-AB112</f>
        <v>287.87375999999995</v>
      </c>
      <c r="AE112" s="122">
        <v>8679.52</v>
      </c>
      <c r="AF112" s="130">
        <f>AB112/U112</f>
        <v>253.41</v>
      </c>
      <c r="AG112" s="130">
        <f>AB112/V112</f>
        <v>15.838125</v>
      </c>
      <c r="AH112" s="123">
        <f>AB112/S112</f>
        <v>0.1703024193548387</v>
      </c>
      <c r="AI112" s="124" t="s">
        <v>97</v>
      </c>
      <c r="AJ112" s="125" t="s">
        <v>98</v>
      </c>
      <c r="AK112"/>
      <c r="AM112" s="80"/>
    </row>
    <row r="113" spans="1:39" ht="28.5" customHeight="1">
      <c r="A113" s="113" t="s">
        <v>73</v>
      </c>
      <c r="B113" s="114" t="s">
        <v>74</v>
      </c>
      <c r="C113" s="113" t="s">
        <v>35</v>
      </c>
      <c r="D113" s="113" t="s">
        <v>218</v>
      </c>
      <c r="E113" s="115" t="s">
        <v>584</v>
      </c>
      <c r="F113" s="113" t="s">
        <v>585</v>
      </c>
      <c r="G113" s="116" t="s">
        <v>586</v>
      </c>
      <c r="H113" s="79">
        <v>46092</v>
      </c>
      <c r="I113" s="114" t="s">
        <v>79</v>
      </c>
      <c r="J113" s="117" t="s">
        <v>587</v>
      </c>
      <c r="K113" s="118">
        <v>46086</v>
      </c>
      <c r="L113" s="114" t="s">
        <v>81</v>
      </c>
      <c r="M113" s="119">
        <v>46092</v>
      </c>
      <c r="N113" s="128">
        <v>46092</v>
      </c>
      <c r="O113" s="120">
        <f>NETWORKDAYS.INTL(K113,N113,1,$AM$2:$AM$10)-1</f>
        <v>4</v>
      </c>
      <c r="P113" s="114" t="s">
        <v>81</v>
      </c>
      <c r="Q113" s="114" t="s">
        <v>79</v>
      </c>
      <c r="R113" s="115" t="s">
        <v>95</v>
      </c>
      <c r="S113" s="145">
        <v>1906</v>
      </c>
      <c r="T113" s="148" t="s">
        <v>588</v>
      </c>
      <c r="U113" s="147">
        <v>1</v>
      </c>
      <c r="V113" s="121">
        <v>384</v>
      </c>
      <c r="W113" s="121">
        <v>555</v>
      </c>
      <c r="X113" s="114" t="s">
        <v>84</v>
      </c>
      <c r="Y113" s="115" t="s">
        <v>85</v>
      </c>
      <c r="Z113" s="115" t="s">
        <v>86</v>
      </c>
      <c r="AA113" s="113" t="s">
        <v>87</v>
      </c>
      <c r="AB113" s="122">
        <v>379.38</v>
      </c>
      <c r="AC113" s="122">
        <f>IF(C113="DENALI", AB113*0.495, IF(C113="SCHNEIDER ELECTRIC", AB113*1.136, IF(C113="WWT", AB113*1.2, AC113)))+AB113</f>
        <v>567.17309999999998</v>
      </c>
      <c r="AD113" s="129">
        <f>AC113-AB113</f>
        <v>187.79309999999998</v>
      </c>
      <c r="AE113" s="122">
        <v>174376.51</v>
      </c>
      <c r="AF113" s="130">
        <f>AB113/U113</f>
        <v>379.38</v>
      </c>
      <c r="AG113" s="130">
        <f>AB113/V113</f>
        <v>0.98796874999999995</v>
      </c>
      <c r="AH113" s="123">
        <f>AB113/S113</f>
        <v>0.19904512067156349</v>
      </c>
      <c r="AI113" s="124" t="s">
        <v>115</v>
      </c>
      <c r="AJ113" s="125" t="s">
        <v>107</v>
      </c>
      <c r="AK113"/>
      <c r="AM113" s="80"/>
    </row>
    <row r="114" spans="1:39" ht="28.5" customHeight="1">
      <c r="A114" s="113" t="s">
        <v>73</v>
      </c>
      <c r="B114" s="114" t="s">
        <v>74</v>
      </c>
      <c r="C114" s="113" t="s">
        <v>35</v>
      </c>
      <c r="D114" s="113" t="s">
        <v>218</v>
      </c>
      <c r="E114" s="115" t="s">
        <v>589</v>
      </c>
      <c r="F114" s="113" t="s">
        <v>292</v>
      </c>
      <c r="G114" s="116" t="s">
        <v>590</v>
      </c>
      <c r="H114" s="79">
        <v>46090</v>
      </c>
      <c r="I114" s="114" t="s">
        <v>79</v>
      </c>
      <c r="J114" s="117" t="s">
        <v>591</v>
      </c>
      <c r="K114" s="118">
        <v>46087</v>
      </c>
      <c r="L114" s="114" t="s">
        <v>81</v>
      </c>
      <c r="M114" s="119">
        <v>46090</v>
      </c>
      <c r="N114" s="128">
        <v>46090</v>
      </c>
      <c r="O114" s="120">
        <f>NETWORKDAYS.INTL(K114,N114,1,$AM$2:$AM$10)-1</f>
        <v>1</v>
      </c>
      <c r="P114" s="114" t="s">
        <v>81</v>
      </c>
      <c r="Q114" s="114" t="s">
        <v>79</v>
      </c>
      <c r="R114" s="115" t="s">
        <v>95</v>
      </c>
      <c r="S114" s="145">
        <v>1143</v>
      </c>
      <c r="T114" s="148" t="s">
        <v>592</v>
      </c>
      <c r="U114" s="147">
        <v>1</v>
      </c>
      <c r="V114" s="121">
        <v>3</v>
      </c>
      <c r="W114" s="121">
        <v>470</v>
      </c>
      <c r="X114" s="114" t="s">
        <v>84</v>
      </c>
      <c r="Y114" s="115" t="s">
        <v>85</v>
      </c>
      <c r="Z114" s="115" t="s">
        <v>86</v>
      </c>
      <c r="AA114" s="113" t="s">
        <v>87</v>
      </c>
      <c r="AB114" s="122">
        <v>336.14</v>
      </c>
      <c r="AC114" s="122">
        <f>IF(C114="DENALI", AB114*0.495, IF(C114="SCHNEIDER ELECTRIC", AB114*1.136, IF(C114="WWT", AB114*1.2, AC114)))+AB114</f>
        <v>502.52929999999998</v>
      </c>
      <c r="AD114" s="129">
        <f>AC114-AB114</f>
        <v>166.38929999999999</v>
      </c>
      <c r="AE114" s="122">
        <v>1297.1099999999999</v>
      </c>
      <c r="AF114" s="130">
        <f>AB114/U114</f>
        <v>336.14</v>
      </c>
      <c r="AG114" s="130">
        <f>AB114/V114</f>
        <v>112.04666666666667</v>
      </c>
      <c r="AH114" s="123">
        <f>AB114/S114</f>
        <v>0.29408573928258969</v>
      </c>
      <c r="AI114" s="124" t="s">
        <v>97</v>
      </c>
      <c r="AJ114" s="125" t="s">
        <v>349</v>
      </c>
      <c r="AK114"/>
      <c r="AM114" s="80"/>
    </row>
    <row r="115" spans="1:39" ht="28.5" customHeight="1">
      <c r="A115" s="113" t="s">
        <v>73</v>
      </c>
      <c r="B115" s="114" t="s">
        <v>140</v>
      </c>
      <c r="C115" s="113" t="s">
        <v>35</v>
      </c>
      <c r="D115" s="113" t="s">
        <v>218</v>
      </c>
      <c r="E115" s="115" t="s">
        <v>141</v>
      </c>
      <c r="F115" s="113" t="s">
        <v>142</v>
      </c>
      <c r="G115" s="116" t="s">
        <v>593</v>
      </c>
      <c r="H115" s="79">
        <v>46090</v>
      </c>
      <c r="I115" s="114" t="s">
        <v>79</v>
      </c>
      <c r="J115" s="117" t="s">
        <v>594</v>
      </c>
      <c r="K115" s="118">
        <v>46086</v>
      </c>
      <c r="L115" s="114" t="s">
        <v>81</v>
      </c>
      <c r="M115" s="119">
        <v>46092</v>
      </c>
      <c r="N115" s="128">
        <v>46092</v>
      </c>
      <c r="O115" s="120">
        <f>NETWORKDAYS.INTL(K115,N115,1,$AM$2:$AM$10)-1</f>
        <v>4</v>
      </c>
      <c r="P115" s="114" t="s">
        <v>81</v>
      </c>
      <c r="Q115" s="114" t="s">
        <v>79</v>
      </c>
      <c r="R115" s="115" t="s">
        <v>95</v>
      </c>
      <c r="S115" s="145">
        <v>441</v>
      </c>
      <c r="T115" s="148" t="s">
        <v>595</v>
      </c>
      <c r="U115" s="147">
        <v>1</v>
      </c>
      <c r="V115" s="121">
        <v>118</v>
      </c>
      <c r="W115" s="121">
        <v>520</v>
      </c>
      <c r="X115" s="114" t="s">
        <v>84</v>
      </c>
      <c r="Y115" s="115" t="s">
        <v>85</v>
      </c>
      <c r="Z115" s="115" t="s">
        <v>86</v>
      </c>
      <c r="AA115" s="113" t="s">
        <v>87</v>
      </c>
      <c r="AB115" s="122">
        <v>227.08</v>
      </c>
      <c r="AC115" s="122">
        <f>IF(C115="DENALI", AB115*0.495, IF(C115="SCHNEIDER ELECTRIC", AB115*1.136, IF(C115="WWT", AB115*1.2, AC115)))+AB115</f>
        <v>339.4846</v>
      </c>
      <c r="AD115" s="129">
        <f>AC115-AB115</f>
        <v>112.40459999999999</v>
      </c>
      <c r="AE115" s="122">
        <v>21125.08</v>
      </c>
      <c r="AF115" s="130">
        <f>AB115/U115</f>
        <v>227.08</v>
      </c>
      <c r="AG115" s="130">
        <f>AB115/V115</f>
        <v>1.9244067796610171</v>
      </c>
      <c r="AH115" s="123">
        <f>AB115/S115</f>
        <v>0.514920634920635</v>
      </c>
      <c r="AI115" s="124" t="s">
        <v>147</v>
      </c>
      <c r="AJ115" s="125" t="s">
        <v>343</v>
      </c>
      <c r="AK115"/>
      <c r="AM115" s="80"/>
    </row>
    <row r="116" spans="1:39" ht="28.5" customHeight="1">
      <c r="A116" s="113" t="s">
        <v>73</v>
      </c>
      <c r="B116" s="114" t="s">
        <v>74</v>
      </c>
      <c r="C116" s="113" t="s">
        <v>35</v>
      </c>
      <c r="D116" s="113" t="s">
        <v>218</v>
      </c>
      <c r="E116" s="115" t="s">
        <v>596</v>
      </c>
      <c r="F116" s="113" t="s">
        <v>92</v>
      </c>
      <c r="G116" s="116" t="s">
        <v>597</v>
      </c>
      <c r="H116" s="79">
        <v>46091</v>
      </c>
      <c r="I116" s="114" t="s">
        <v>79</v>
      </c>
      <c r="J116" s="117" t="s">
        <v>598</v>
      </c>
      <c r="K116" s="118">
        <v>46087</v>
      </c>
      <c r="L116" s="114" t="s">
        <v>81</v>
      </c>
      <c r="M116" s="119">
        <v>46092</v>
      </c>
      <c r="N116" s="128">
        <v>46092</v>
      </c>
      <c r="O116" s="120">
        <f>NETWORKDAYS.INTL(K116,N116,1,$AM$2:$AM$10)-1</f>
        <v>3</v>
      </c>
      <c r="P116" s="114" t="s">
        <v>81</v>
      </c>
      <c r="Q116" s="114" t="s">
        <v>79</v>
      </c>
      <c r="R116" s="115" t="s">
        <v>95</v>
      </c>
      <c r="S116" s="145">
        <v>1916</v>
      </c>
      <c r="T116" s="148" t="s">
        <v>599</v>
      </c>
      <c r="U116" s="147">
        <v>1</v>
      </c>
      <c r="V116" s="121">
        <v>13</v>
      </c>
      <c r="W116" s="121">
        <v>180</v>
      </c>
      <c r="X116" s="114" t="s">
        <v>84</v>
      </c>
      <c r="Y116" s="115" t="s">
        <v>85</v>
      </c>
      <c r="Z116" s="115" t="s">
        <v>86</v>
      </c>
      <c r="AA116" s="113" t="s">
        <v>87</v>
      </c>
      <c r="AB116" s="122">
        <v>238.69</v>
      </c>
      <c r="AC116" s="122">
        <f>IF(C116="DENALI", AB116*0.495, IF(C116="SCHNEIDER ELECTRIC", AB116*1.136, IF(C116="WWT", AB116*1.2, AC116)))+AB116</f>
        <v>356.84154999999998</v>
      </c>
      <c r="AD116" s="129">
        <f>AC116-AB116</f>
        <v>118.15154999999999</v>
      </c>
      <c r="AE116" s="122">
        <v>1049.94</v>
      </c>
      <c r="AF116" s="130">
        <f>AB116/U116</f>
        <v>238.69</v>
      </c>
      <c r="AG116" s="130">
        <f>AB116/V116</f>
        <v>18.360769230769229</v>
      </c>
      <c r="AH116" s="123">
        <f>AB116/S116</f>
        <v>0.12457724425887265</v>
      </c>
      <c r="AI116" s="124" t="s">
        <v>155</v>
      </c>
      <c r="AJ116" s="125" t="s">
        <v>89</v>
      </c>
      <c r="AK116"/>
      <c r="AM116" s="80"/>
    </row>
    <row r="117" spans="1:39" ht="28.5" customHeight="1">
      <c r="A117" s="113" t="s">
        <v>73</v>
      </c>
      <c r="B117" s="114" t="s">
        <v>74</v>
      </c>
      <c r="C117" s="113" t="s">
        <v>35</v>
      </c>
      <c r="D117" s="113" t="s">
        <v>218</v>
      </c>
      <c r="E117" s="115" t="s">
        <v>391</v>
      </c>
      <c r="F117" s="113" t="s">
        <v>365</v>
      </c>
      <c r="G117" s="116" t="s">
        <v>600</v>
      </c>
      <c r="H117" s="79">
        <v>46091</v>
      </c>
      <c r="I117" s="114" t="s">
        <v>79</v>
      </c>
      <c r="J117" s="117" t="s">
        <v>601</v>
      </c>
      <c r="K117" s="118">
        <v>46099</v>
      </c>
      <c r="L117" s="114" t="s">
        <v>79</v>
      </c>
      <c r="M117" s="119">
        <v>46100</v>
      </c>
      <c r="N117" s="128">
        <v>46100</v>
      </c>
      <c r="O117" s="120">
        <f>NETWORKDAYS.INTL(K117,N117,1,$AM$2:$AM$10)-1</f>
        <v>1</v>
      </c>
      <c r="P117" s="114" t="s">
        <v>79</v>
      </c>
      <c r="Q117" s="114" t="s">
        <v>81</v>
      </c>
      <c r="R117" s="115" t="s">
        <v>602</v>
      </c>
      <c r="S117" s="145">
        <v>418</v>
      </c>
      <c r="T117" s="148" t="s">
        <v>603</v>
      </c>
      <c r="U117" s="147">
        <v>2</v>
      </c>
      <c r="V117" s="121">
        <v>473</v>
      </c>
      <c r="W117" s="121">
        <v>1220</v>
      </c>
      <c r="X117" s="114" t="s">
        <v>84</v>
      </c>
      <c r="Y117" s="115" t="s">
        <v>85</v>
      </c>
      <c r="Z117" s="115" t="s">
        <v>342</v>
      </c>
      <c r="AA117" s="113" t="s">
        <v>87</v>
      </c>
      <c r="AB117" s="122">
        <v>391.88</v>
      </c>
      <c r="AC117" s="122">
        <f>IF(C117="DENALI", AB117*0.495, IF(C117="SCHNEIDER ELECTRIC", AB117*1.136, IF(C117="WWT", AB117*1.2, AC117)))+AB117</f>
        <v>585.86059999999998</v>
      </c>
      <c r="AD117" s="129">
        <f>AC117-AB117</f>
        <v>193.98059999999998</v>
      </c>
      <c r="AE117" s="122">
        <v>254539.39</v>
      </c>
      <c r="AF117" s="130">
        <f>AB117/U117</f>
        <v>195.94</v>
      </c>
      <c r="AG117" s="130">
        <f>AB117/V117</f>
        <v>0.82849894291754755</v>
      </c>
      <c r="AH117" s="123">
        <f>AB117/S117</f>
        <v>0.93751196172248807</v>
      </c>
      <c r="AI117" s="124" t="s">
        <v>97</v>
      </c>
      <c r="AJ117" s="125" t="s">
        <v>349</v>
      </c>
      <c r="AK117"/>
      <c r="AM117" s="80"/>
    </row>
    <row r="118" spans="1:39" ht="28.5" customHeight="1">
      <c r="A118" s="113" t="s">
        <v>73</v>
      </c>
      <c r="B118" s="114" t="s">
        <v>74</v>
      </c>
      <c r="C118" s="113" t="s">
        <v>35</v>
      </c>
      <c r="D118" s="113" t="s">
        <v>218</v>
      </c>
      <c r="E118" s="115" t="s">
        <v>604</v>
      </c>
      <c r="F118" s="113" t="s">
        <v>131</v>
      </c>
      <c r="G118" s="116" t="s">
        <v>605</v>
      </c>
      <c r="H118" s="79">
        <v>46091</v>
      </c>
      <c r="I118" s="114" t="s">
        <v>79</v>
      </c>
      <c r="J118" s="117" t="s">
        <v>606</v>
      </c>
      <c r="K118" s="118">
        <v>46087</v>
      </c>
      <c r="L118" s="114" t="s">
        <v>81</v>
      </c>
      <c r="M118" s="119">
        <v>46091</v>
      </c>
      <c r="N118" s="128">
        <v>46091</v>
      </c>
      <c r="O118" s="120">
        <f>NETWORKDAYS.INTL(K118,N118,1,$AM$2:$AM$10)-1</f>
        <v>2</v>
      </c>
      <c r="P118" s="114" t="s">
        <v>81</v>
      </c>
      <c r="Q118" s="114" t="s">
        <v>79</v>
      </c>
      <c r="R118" s="115" t="s">
        <v>95</v>
      </c>
      <c r="S118" s="145">
        <v>864</v>
      </c>
      <c r="T118" s="148" t="s">
        <v>607</v>
      </c>
      <c r="U118" s="147">
        <v>1</v>
      </c>
      <c r="V118" s="121">
        <v>204</v>
      </c>
      <c r="W118" s="121">
        <v>420</v>
      </c>
      <c r="X118" s="114" t="s">
        <v>84</v>
      </c>
      <c r="Y118" s="115" t="s">
        <v>85</v>
      </c>
      <c r="Z118" s="115" t="s">
        <v>342</v>
      </c>
      <c r="AA118" s="113" t="s">
        <v>87</v>
      </c>
      <c r="AB118" s="122">
        <v>266.72000000000003</v>
      </c>
      <c r="AC118" s="122">
        <f>IF(C118="DENALI", AB118*0.495, IF(C118="SCHNEIDER ELECTRIC", AB118*1.136, IF(C118="WWT", AB118*1.2, AC118)))+AB118</f>
        <v>398.74640000000005</v>
      </c>
      <c r="AD118" s="129">
        <f>AC118-AB118</f>
        <v>132.02640000000002</v>
      </c>
      <c r="AE118" s="122">
        <v>17389.87</v>
      </c>
      <c r="AF118" s="130">
        <f>AB118/U118</f>
        <v>266.72000000000003</v>
      </c>
      <c r="AG118" s="130">
        <f>AB118/V118</f>
        <v>1.307450980392157</v>
      </c>
      <c r="AH118" s="123">
        <f>AB118/S118</f>
        <v>0.30870370370370376</v>
      </c>
      <c r="AI118" s="124" t="s">
        <v>147</v>
      </c>
      <c r="AJ118" s="125" t="s">
        <v>343</v>
      </c>
      <c r="AK118"/>
      <c r="AM118" s="80"/>
    </row>
    <row r="119" spans="1:39" ht="28.5" customHeight="1">
      <c r="A119" s="113" t="s">
        <v>73</v>
      </c>
      <c r="B119" s="114" t="s">
        <v>74</v>
      </c>
      <c r="C119" s="113" t="s">
        <v>35</v>
      </c>
      <c r="D119" s="113" t="s">
        <v>218</v>
      </c>
      <c r="E119" s="115" t="s">
        <v>395</v>
      </c>
      <c r="F119" s="113" t="s">
        <v>396</v>
      </c>
      <c r="G119" s="116">
        <v>22422024</v>
      </c>
      <c r="H119" s="79">
        <v>46091</v>
      </c>
      <c r="I119" s="114" t="s">
        <v>79</v>
      </c>
      <c r="J119" s="117" t="s">
        <v>608</v>
      </c>
      <c r="K119" s="118">
        <v>46090</v>
      </c>
      <c r="L119" s="114" t="s">
        <v>81</v>
      </c>
      <c r="M119" s="119">
        <v>46091</v>
      </c>
      <c r="N119" s="128">
        <v>46091</v>
      </c>
      <c r="O119" s="120">
        <f>NETWORKDAYS.INTL(K119,N119,1,$AM$2:$AM$10)-1</f>
        <v>1</v>
      </c>
      <c r="P119" s="114" t="s">
        <v>81</v>
      </c>
      <c r="Q119" s="114" t="s">
        <v>79</v>
      </c>
      <c r="R119" s="115" t="s">
        <v>95</v>
      </c>
      <c r="S119" s="145">
        <v>653</v>
      </c>
      <c r="T119" s="148" t="s">
        <v>399</v>
      </c>
      <c r="U119" s="147">
        <v>8</v>
      </c>
      <c r="V119" s="121">
        <v>2790</v>
      </c>
      <c r="W119" s="121">
        <v>6520</v>
      </c>
      <c r="X119" s="114" t="s">
        <v>113</v>
      </c>
      <c r="Y119" s="115" t="s">
        <v>85</v>
      </c>
      <c r="Z119" s="115" t="s">
        <v>609</v>
      </c>
      <c r="AA119" s="113" t="s">
        <v>87</v>
      </c>
      <c r="AB119" s="122">
        <v>2595.5</v>
      </c>
      <c r="AC119" s="122">
        <f>IF(C119="DENALI", AB119*0.495, IF(C119="SCHNEIDER ELECTRIC", AB119*1.136, IF(C119="WWT", AB119*1.2, AC119)))+AB119</f>
        <v>3880.2725</v>
      </c>
      <c r="AD119" s="129">
        <f>AC119-AB119</f>
        <v>1284.7725</v>
      </c>
      <c r="AE119" s="122">
        <v>262611.8</v>
      </c>
      <c r="AF119" s="130">
        <f>AB119/U119</f>
        <v>324.4375</v>
      </c>
      <c r="AG119" s="130">
        <f>AB119/V119</f>
        <v>0.93028673835125453</v>
      </c>
      <c r="AH119" s="123">
        <f>AB119/S119</f>
        <v>3.9747320061255742</v>
      </c>
      <c r="AI119" s="124" t="s">
        <v>97</v>
      </c>
      <c r="AJ119" s="125" t="s">
        <v>349</v>
      </c>
      <c r="AK119"/>
      <c r="AM119" s="80"/>
    </row>
    <row r="120" spans="1:39" ht="28.5" customHeight="1">
      <c r="A120" s="113" t="s">
        <v>73</v>
      </c>
      <c r="B120" s="114" t="s">
        <v>140</v>
      </c>
      <c r="C120" s="113" t="s">
        <v>35</v>
      </c>
      <c r="D120" s="113" t="s">
        <v>99</v>
      </c>
      <c r="E120" s="115" t="s">
        <v>141</v>
      </c>
      <c r="F120" s="113" t="s">
        <v>142</v>
      </c>
      <c r="G120" s="116" t="s">
        <v>610</v>
      </c>
      <c r="H120" s="79">
        <v>46091</v>
      </c>
      <c r="I120" s="114" t="s">
        <v>79</v>
      </c>
      <c r="J120" s="117" t="s">
        <v>611</v>
      </c>
      <c r="K120" s="118">
        <v>46087</v>
      </c>
      <c r="L120" s="114" t="s">
        <v>81</v>
      </c>
      <c r="M120" s="119">
        <v>46094</v>
      </c>
      <c r="N120" s="128">
        <v>46094</v>
      </c>
      <c r="O120" s="120">
        <f>NETWORKDAYS.INTL(K120,N120,1,$AM$2:$AM$10)-1</f>
        <v>5</v>
      </c>
      <c r="P120" s="114" t="s">
        <v>81</v>
      </c>
      <c r="Q120" s="114" t="s">
        <v>79</v>
      </c>
      <c r="R120" s="115" t="s">
        <v>612</v>
      </c>
      <c r="S120" s="145">
        <v>2435</v>
      </c>
      <c r="T120" s="148" t="s">
        <v>613</v>
      </c>
      <c r="U120" s="147">
        <v>3</v>
      </c>
      <c r="V120" s="121">
        <v>1023</v>
      </c>
      <c r="W120" s="121">
        <v>1554</v>
      </c>
      <c r="X120" s="114" t="s">
        <v>84</v>
      </c>
      <c r="Y120" s="115" t="s">
        <v>85</v>
      </c>
      <c r="Z120" s="115" t="s">
        <v>342</v>
      </c>
      <c r="AA120" s="113" t="s">
        <v>87</v>
      </c>
      <c r="AB120" s="122">
        <v>817.21</v>
      </c>
      <c r="AC120" s="122">
        <f>IF(C120="DENALI", AB120*0.495, IF(C120="SCHNEIDER ELECTRIC", AB120*1.136, IF(C120="WWT", AB120*1.2, AC120)))+AB120</f>
        <v>1221.7289500000002</v>
      </c>
      <c r="AD120" s="129">
        <f>AC120-AB120</f>
        <v>404.51895000000013</v>
      </c>
      <c r="AE120" s="122">
        <v>190308.69</v>
      </c>
      <c r="AF120" s="130">
        <f>AB120/U120</f>
        <v>272.40333333333336</v>
      </c>
      <c r="AG120" s="130">
        <f>AB120/V120</f>
        <v>0.79883675464320625</v>
      </c>
      <c r="AH120" s="123">
        <f>AB120/S120</f>
        <v>0.33560985626283368</v>
      </c>
      <c r="AI120" s="124" t="s">
        <v>97</v>
      </c>
      <c r="AJ120" s="125" t="s">
        <v>349</v>
      </c>
      <c r="AK120"/>
      <c r="AM120" s="80"/>
    </row>
    <row r="121" spans="1:39" ht="60.75">
      <c r="A121" s="113" t="s">
        <v>73</v>
      </c>
      <c r="B121" s="114" t="s">
        <v>140</v>
      </c>
      <c r="C121" s="113" t="s">
        <v>35</v>
      </c>
      <c r="D121" s="113" t="s">
        <v>99</v>
      </c>
      <c r="E121" s="115" t="s">
        <v>141</v>
      </c>
      <c r="F121" s="113" t="s">
        <v>142</v>
      </c>
      <c r="G121" s="116">
        <v>22433819</v>
      </c>
      <c r="H121" s="79">
        <v>46091</v>
      </c>
      <c r="I121" s="114" t="s">
        <v>79</v>
      </c>
      <c r="J121" s="117" t="s">
        <v>614</v>
      </c>
      <c r="K121" s="118">
        <v>46090</v>
      </c>
      <c r="L121" s="114" t="s">
        <v>81</v>
      </c>
      <c r="M121" s="119">
        <v>46091</v>
      </c>
      <c r="N121" s="128">
        <v>46091</v>
      </c>
      <c r="O121" s="120">
        <f>NETWORKDAYS.INTL(K121,N121,1,$AM$2:$AM$10)-1</f>
        <v>1</v>
      </c>
      <c r="P121" s="114" t="s">
        <v>81</v>
      </c>
      <c r="Q121" s="114" t="s">
        <v>79</v>
      </c>
      <c r="R121" s="115" t="s">
        <v>95</v>
      </c>
      <c r="S121" s="145">
        <v>439</v>
      </c>
      <c r="T121" s="148" t="s">
        <v>615</v>
      </c>
      <c r="U121" s="147">
        <v>8</v>
      </c>
      <c r="V121" s="121">
        <v>1449</v>
      </c>
      <c r="W121" s="121">
        <v>2350</v>
      </c>
      <c r="X121" s="114" t="s">
        <v>113</v>
      </c>
      <c r="Y121" s="115" t="s">
        <v>85</v>
      </c>
      <c r="Z121" s="115" t="s">
        <v>616</v>
      </c>
      <c r="AA121" s="113" t="s">
        <v>87</v>
      </c>
      <c r="AB121" s="122">
        <v>2255.14</v>
      </c>
      <c r="AC121" s="122">
        <f>IF(C121="DENALI", AB121*0.495, IF(C121="SCHNEIDER ELECTRIC", AB121*1.136, IF(C121="WWT", AB121*1.2, AC121)))+AB121</f>
        <v>3371.4342999999999</v>
      </c>
      <c r="AD121" s="129">
        <f>AC121-AB121</f>
        <v>1116.2943</v>
      </c>
      <c r="AE121" s="122">
        <v>290835.64</v>
      </c>
      <c r="AF121" s="130">
        <f>AB121/U121</f>
        <v>281.89249999999998</v>
      </c>
      <c r="AG121" s="130">
        <f>AB121/V121</f>
        <v>1.5563423050379572</v>
      </c>
      <c r="AH121" s="123">
        <f>AB121/S121</f>
        <v>5.1369931662870156</v>
      </c>
      <c r="AI121" s="124" t="s">
        <v>147</v>
      </c>
      <c r="AJ121" s="125" t="s">
        <v>349</v>
      </c>
      <c r="AK121"/>
      <c r="AM121" s="80"/>
    </row>
    <row r="122" spans="1:39" ht="28.5" customHeight="1">
      <c r="A122" s="113" t="s">
        <v>73</v>
      </c>
      <c r="B122" s="114" t="s">
        <v>74</v>
      </c>
      <c r="C122" s="113" t="s">
        <v>36</v>
      </c>
      <c r="D122" s="113" t="s">
        <v>90</v>
      </c>
      <c r="E122" s="115" t="s">
        <v>617</v>
      </c>
      <c r="F122" s="113" t="s">
        <v>92</v>
      </c>
      <c r="G122" s="116" t="s">
        <v>618</v>
      </c>
      <c r="H122" s="79">
        <v>46094</v>
      </c>
      <c r="I122" s="114" t="s">
        <v>79</v>
      </c>
      <c r="J122" s="117" t="s">
        <v>619</v>
      </c>
      <c r="K122" s="118">
        <v>46090</v>
      </c>
      <c r="L122" s="114" t="s">
        <v>81</v>
      </c>
      <c r="M122" s="119">
        <v>46097</v>
      </c>
      <c r="N122" s="128">
        <v>46097</v>
      </c>
      <c r="O122" s="120">
        <f>NETWORKDAYS.INTL(K122,N122,1,$AM$2:$AM$10)-1</f>
        <v>5</v>
      </c>
      <c r="P122" s="114" t="s">
        <v>81</v>
      </c>
      <c r="Q122" s="114" t="s">
        <v>79</v>
      </c>
      <c r="R122" s="115" t="s">
        <v>95</v>
      </c>
      <c r="S122" s="145">
        <v>1371</v>
      </c>
      <c r="T122" s="148" t="s">
        <v>620</v>
      </c>
      <c r="U122" s="147">
        <v>1</v>
      </c>
      <c r="V122" s="121">
        <v>6</v>
      </c>
      <c r="W122" s="121">
        <v>502</v>
      </c>
      <c r="X122" s="114" t="s">
        <v>84</v>
      </c>
      <c r="Y122" s="115" t="s">
        <v>85</v>
      </c>
      <c r="Z122" s="115" t="s">
        <v>621</v>
      </c>
      <c r="AA122" s="113" t="s">
        <v>87</v>
      </c>
      <c r="AB122" s="122">
        <v>265.20999999999998</v>
      </c>
      <c r="AC122" s="122">
        <f>IF(C122="DENALI", AB122*0.495, IF(C122="SCHNEIDER ELECTRIC", AB122*1.136, IF(C122="WWT", AB122*1.2, AC122)))+AB122</f>
        <v>566.48856000000001</v>
      </c>
      <c r="AD122" s="129">
        <f>AC122-AB122</f>
        <v>301.27856000000003</v>
      </c>
      <c r="AE122" s="122">
        <v>2864.94</v>
      </c>
      <c r="AF122" s="130">
        <f>AB122/U122</f>
        <v>265.20999999999998</v>
      </c>
      <c r="AG122" s="130">
        <f>AB122/V122</f>
        <v>44.201666666666661</v>
      </c>
      <c r="AH122" s="123">
        <f>AB122/S122</f>
        <v>0.1934427425237053</v>
      </c>
      <c r="AI122" s="124" t="s">
        <v>622</v>
      </c>
      <c r="AJ122" s="125" t="s">
        <v>98</v>
      </c>
      <c r="AK122"/>
      <c r="AM122" s="80"/>
    </row>
    <row r="123" spans="1:39" ht="28.5" customHeight="1">
      <c r="A123" s="113" t="s">
        <v>73</v>
      </c>
      <c r="B123" s="114" t="s">
        <v>74</v>
      </c>
      <c r="C123" s="113" t="s">
        <v>35</v>
      </c>
      <c r="D123" s="113" t="s">
        <v>99</v>
      </c>
      <c r="E123" s="115" t="s">
        <v>623</v>
      </c>
      <c r="F123" s="113" t="s">
        <v>109</v>
      </c>
      <c r="G123" s="116">
        <v>22455840</v>
      </c>
      <c r="H123" s="79">
        <v>46097</v>
      </c>
      <c r="I123" s="114" t="s">
        <v>79</v>
      </c>
      <c r="J123" s="117" t="s">
        <v>624</v>
      </c>
      <c r="K123" s="118">
        <v>46094</v>
      </c>
      <c r="L123" s="114" t="s">
        <v>81</v>
      </c>
      <c r="M123" s="119">
        <v>46098</v>
      </c>
      <c r="N123" s="128">
        <v>46098</v>
      </c>
      <c r="O123" s="120">
        <f>NETWORKDAYS.INTL(K123,N123,1,$AM$2:$AM$10)-1</f>
        <v>2</v>
      </c>
      <c r="P123" s="114" t="s">
        <v>81</v>
      </c>
      <c r="Q123" s="114" t="s">
        <v>79</v>
      </c>
      <c r="R123" s="115" t="s">
        <v>95</v>
      </c>
      <c r="S123" s="145">
        <v>3108</v>
      </c>
      <c r="T123" s="148" t="s">
        <v>625</v>
      </c>
      <c r="U123" s="147">
        <v>5</v>
      </c>
      <c r="V123" s="121">
        <v>640</v>
      </c>
      <c r="W123" s="121">
        <v>3485</v>
      </c>
      <c r="X123" s="114" t="s">
        <v>113</v>
      </c>
      <c r="Y123" s="115" t="s">
        <v>85</v>
      </c>
      <c r="Z123" s="115" t="s">
        <v>626</v>
      </c>
      <c r="AA123" s="113" t="s">
        <v>87</v>
      </c>
      <c r="AB123" s="122">
        <v>6098.01</v>
      </c>
      <c r="AC123" s="122">
        <f>IF(C123="DENALI", AB123*0.495, IF(C123="SCHNEIDER ELECTRIC", AB123*1.136, IF(C123="WWT", AB123*1.2, AC123)))+AB123</f>
        <v>9116.5249500000009</v>
      </c>
      <c r="AD123" s="129">
        <f>AC123-AB123</f>
        <v>3018.5149500000007</v>
      </c>
      <c r="AE123" s="122">
        <v>59994.76</v>
      </c>
      <c r="AF123" s="130">
        <f>AB123/U123</f>
        <v>1219.6020000000001</v>
      </c>
      <c r="AG123" s="130">
        <f>AB123/V123</f>
        <v>9.5281406250000007</v>
      </c>
      <c r="AH123" s="123">
        <f>AB123/S123</f>
        <v>1.9620366795366797</v>
      </c>
      <c r="AI123" s="124" t="s">
        <v>147</v>
      </c>
      <c r="AJ123" s="125" t="s">
        <v>343</v>
      </c>
      <c r="AK123"/>
      <c r="AM123" s="80"/>
    </row>
    <row r="124" spans="1:39" ht="28.5" customHeight="1">
      <c r="A124" s="113" t="s">
        <v>73</v>
      </c>
      <c r="B124" s="114" t="s">
        <v>74</v>
      </c>
      <c r="C124" s="113" t="s">
        <v>35</v>
      </c>
      <c r="D124" s="113" t="s">
        <v>218</v>
      </c>
      <c r="E124" s="115" t="s">
        <v>627</v>
      </c>
      <c r="F124" s="113" t="s">
        <v>207</v>
      </c>
      <c r="G124" s="116" t="s">
        <v>628</v>
      </c>
      <c r="H124" s="79">
        <v>46094</v>
      </c>
      <c r="I124" s="114" t="s">
        <v>79</v>
      </c>
      <c r="J124" s="117" t="s">
        <v>629</v>
      </c>
      <c r="K124" s="118">
        <v>46093</v>
      </c>
      <c r="L124" s="114" t="s">
        <v>81</v>
      </c>
      <c r="M124" s="119">
        <v>46094</v>
      </c>
      <c r="N124" s="128">
        <v>46094</v>
      </c>
      <c r="O124" s="120">
        <f>NETWORKDAYS.INTL(K124,N124,1,$AM$2:$AM$10)-1</f>
        <v>1</v>
      </c>
      <c r="P124" s="114" t="s">
        <v>81</v>
      </c>
      <c r="Q124" s="114" t="s">
        <v>79</v>
      </c>
      <c r="R124" s="115" t="s">
        <v>95</v>
      </c>
      <c r="S124" s="145">
        <v>174</v>
      </c>
      <c r="T124" s="148" t="s">
        <v>630</v>
      </c>
      <c r="U124" s="147">
        <v>2</v>
      </c>
      <c r="V124" s="121">
        <v>95</v>
      </c>
      <c r="W124" s="121">
        <v>935</v>
      </c>
      <c r="X124" s="114" t="s">
        <v>84</v>
      </c>
      <c r="Y124" s="115" t="s">
        <v>85</v>
      </c>
      <c r="Z124" s="115" t="s">
        <v>222</v>
      </c>
      <c r="AA124" s="113" t="s">
        <v>87</v>
      </c>
      <c r="AB124" s="122">
        <v>216.03</v>
      </c>
      <c r="AC124" s="122">
        <f>IF(C124="DENALI", AB124*0.495, IF(C124="SCHNEIDER ELECTRIC", AB124*1.136, IF(C124="WWT", AB124*1.2, AC124)))+AB124</f>
        <v>322.96485000000001</v>
      </c>
      <c r="AD124" s="129">
        <f>AC124-AB124</f>
        <v>106.93485000000001</v>
      </c>
      <c r="AE124" s="122">
        <v>22526.400000000001</v>
      </c>
      <c r="AF124" s="130">
        <f>AB124/U124</f>
        <v>108.015</v>
      </c>
      <c r="AG124" s="130">
        <f>AB124/V124</f>
        <v>2.274</v>
      </c>
      <c r="AH124" s="123">
        <f>AB124/S124</f>
        <v>1.241551724137931</v>
      </c>
      <c r="AI124" s="124" t="s">
        <v>97</v>
      </c>
      <c r="AJ124" s="125" t="s">
        <v>349</v>
      </c>
      <c r="AK124"/>
      <c r="AM124" s="80"/>
    </row>
    <row r="125" spans="1:39" ht="28.5" customHeight="1">
      <c r="A125" s="113" t="s">
        <v>73</v>
      </c>
      <c r="B125" s="114" t="s">
        <v>74</v>
      </c>
      <c r="C125" s="113" t="s">
        <v>35</v>
      </c>
      <c r="D125" s="113" t="s">
        <v>218</v>
      </c>
      <c r="E125" s="115" t="s">
        <v>631</v>
      </c>
      <c r="F125" s="113" t="s">
        <v>218</v>
      </c>
      <c r="G125" s="116" t="s">
        <v>632</v>
      </c>
      <c r="H125" s="79">
        <v>46094</v>
      </c>
      <c r="I125" s="114" t="s">
        <v>79</v>
      </c>
      <c r="J125" s="117" t="s">
        <v>633</v>
      </c>
      <c r="K125" s="118">
        <v>46093</v>
      </c>
      <c r="L125" s="114" t="s">
        <v>81</v>
      </c>
      <c r="M125" s="119">
        <v>46094</v>
      </c>
      <c r="N125" s="128">
        <v>46094</v>
      </c>
      <c r="O125" s="120">
        <f>NETWORKDAYS.INTL(K125,N125,1,$AM$2:$AM$10)-1</f>
        <v>1</v>
      </c>
      <c r="P125" s="114" t="s">
        <v>81</v>
      </c>
      <c r="Q125" s="114" t="s">
        <v>79</v>
      </c>
      <c r="R125" s="115" t="s">
        <v>95</v>
      </c>
      <c r="S125" s="145">
        <v>141</v>
      </c>
      <c r="T125" s="148" t="s">
        <v>634</v>
      </c>
      <c r="U125" s="147">
        <v>3</v>
      </c>
      <c r="V125" s="121">
        <v>535</v>
      </c>
      <c r="W125" s="121">
        <v>1620</v>
      </c>
      <c r="X125" s="114" t="s">
        <v>84</v>
      </c>
      <c r="Y125" s="115" t="s">
        <v>85</v>
      </c>
      <c r="Z125" s="115" t="s">
        <v>342</v>
      </c>
      <c r="AA125" s="113" t="s">
        <v>87</v>
      </c>
      <c r="AB125" s="122">
        <v>435.58</v>
      </c>
      <c r="AC125" s="122">
        <f>IF(C125="DENALI", AB125*0.495, IF(C125="SCHNEIDER ELECTRIC", AB125*1.136, IF(C125="WWT", AB125*1.2, AC125)))+AB125</f>
        <v>651.19209999999998</v>
      </c>
      <c r="AD125" s="129">
        <f>AC125-AB125</f>
        <v>215.6121</v>
      </c>
      <c r="AE125" s="122">
        <v>294422.08</v>
      </c>
      <c r="AF125" s="130">
        <f>AB125/U125</f>
        <v>145.19333333333333</v>
      </c>
      <c r="AG125" s="130">
        <f>AB125/V125</f>
        <v>0.81416822429906544</v>
      </c>
      <c r="AH125" s="123">
        <f>AB125/S125</f>
        <v>3.0892198581560284</v>
      </c>
      <c r="AI125" s="124" t="s">
        <v>97</v>
      </c>
      <c r="AJ125" s="125" t="s">
        <v>349</v>
      </c>
      <c r="AK125"/>
      <c r="AM125" s="80"/>
    </row>
    <row r="126" spans="1:39" ht="28.5" customHeight="1">
      <c r="A126" s="113" t="s">
        <v>73</v>
      </c>
      <c r="B126" s="114" t="s">
        <v>74</v>
      </c>
      <c r="C126" s="113" t="s">
        <v>35</v>
      </c>
      <c r="D126" s="113" t="s">
        <v>218</v>
      </c>
      <c r="E126" s="115" t="s">
        <v>391</v>
      </c>
      <c r="F126" s="113" t="s">
        <v>365</v>
      </c>
      <c r="G126" s="116" t="s">
        <v>635</v>
      </c>
      <c r="H126" s="79">
        <v>46097</v>
      </c>
      <c r="I126" s="114" t="s">
        <v>79</v>
      </c>
      <c r="J126" s="117" t="s">
        <v>636</v>
      </c>
      <c r="K126" s="118">
        <v>46093</v>
      </c>
      <c r="L126" s="114" t="s">
        <v>81</v>
      </c>
      <c r="M126" s="119">
        <v>46097</v>
      </c>
      <c r="N126" s="128">
        <v>46097</v>
      </c>
      <c r="O126" s="120">
        <f>NETWORKDAYS.INTL(K126,N126,1,$AM$2:$AM$10)-1</f>
        <v>2</v>
      </c>
      <c r="P126" s="114" t="s">
        <v>81</v>
      </c>
      <c r="Q126" s="114" t="s">
        <v>79</v>
      </c>
      <c r="R126" s="115" t="s">
        <v>95</v>
      </c>
      <c r="S126" s="145">
        <v>413</v>
      </c>
      <c r="T126" s="148" t="s">
        <v>637</v>
      </c>
      <c r="U126" s="147">
        <v>1</v>
      </c>
      <c r="V126" s="121">
        <v>3</v>
      </c>
      <c r="W126" s="121">
        <v>465</v>
      </c>
      <c r="X126" s="114" t="s">
        <v>84</v>
      </c>
      <c r="Y126" s="115" t="s">
        <v>85</v>
      </c>
      <c r="Z126" s="115" t="s">
        <v>86</v>
      </c>
      <c r="AA126" s="113" t="s">
        <v>87</v>
      </c>
      <c r="AB126" s="122">
        <v>207.69</v>
      </c>
      <c r="AC126" s="122">
        <f>IF(C126="DENALI", AB126*0.495, IF(C126="SCHNEIDER ELECTRIC", AB126*1.136, IF(C126="WWT", AB126*1.2, AC126)))+AB126</f>
        <v>310.49655000000001</v>
      </c>
      <c r="AD126" s="129">
        <f>AC126-AB126</f>
        <v>102.80655000000002</v>
      </c>
      <c r="AE126" s="122">
        <v>1297.1099999999999</v>
      </c>
      <c r="AF126" s="130">
        <f>AB126/U126</f>
        <v>207.69</v>
      </c>
      <c r="AG126" s="130">
        <f>AB126/V126</f>
        <v>69.23</v>
      </c>
      <c r="AH126" s="123">
        <f>AB126/S126</f>
        <v>0.5028813559322034</v>
      </c>
      <c r="AI126" s="124" t="s">
        <v>97</v>
      </c>
      <c r="AJ126" s="125" t="s">
        <v>349</v>
      </c>
      <c r="AK126"/>
      <c r="AM126" s="80"/>
    </row>
    <row r="127" spans="1:39" ht="28.5" customHeight="1">
      <c r="A127" s="113" t="s">
        <v>73</v>
      </c>
      <c r="B127" s="114" t="s">
        <v>74</v>
      </c>
      <c r="C127" s="113" t="s">
        <v>35</v>
      </c>
      <c r="D127" s="113" t="s">
        <v>218</v>
      </c>
      <c r="E127" s="115" t="s">
        <v>638</v>
      </c>
      <c r="F127" s="113" t="s">
        <v>99</v>
      </c>
      <c r="G127" s="116" t="s">
        <v>639</v>
      </c>
      <c r="H127" s="79">
        <v>46099</v>
      </c>
      <c r="I127" s="114" t="s">
        <v>79</v>
      </c>
      <c r="J127" s="117" t="s">
        <v>640</v>
      </c>
      <c r="K127" s="118">
        <v>46093</v>
      </c>
      <c r="L127" s="114" t="s">
        <v>81</v>
      </c>
      <c r="M127" s="119">
        <v>46100</v>
      </c>
      <c r="N127" s="128">
        <v>46100</v>
      </c>
      <c r="O127" s="120">
        <f>NETWORKDAYS.INTL(K127,N127,1,$AM$2:$AM$10)-1</f>
        <v>5</v>
      </c>
      <c r="P127" s="114" t="s">
        <v>81</v>
      </c>
      <c r="Q127" s="114" t="s">
        <v>79</v>
      </c>
      <c r="R127" s="115" t="s">
        <v>641</v>
      </c>
      <c r="S127" s="145">
        <v>2085</v>
      </c>
      <c r="T127" s="148" t="s">
        <v>642</v>
      </c>
      <c r="U127" s="147">
        <v>1</v>
      </c>
      <c r="V127" s="121">
        <v>1</v>
      </c>
      <c r="W127" s="121">
        <v>160</v>
      </c>
      <c r="X127" s="114" t="s">
        <v>84</v>
      </c>
      <c r="Y127" s="115" t="s">
        <v>85</v>
      </c>
      <c r="Z127" s="115" t="s">
        <v>86</v>
      </c>
      <c r="AA127" s="113" t="s">
        <v>87</v>
      </c>
      <c r="AB127" s="122">
        <v>291.49</v>
      </c>
      <c r="AC127" s="122">
        <f>IF(C127="DENALI", AB127*0.495, IF(C127="SCHNEIDER ELECTRIC", AB127*1.136, IF(C127="WWT", AB127*1.2, AC127)))+AB127</f>
        <v>435.77755000000002</v>
      </c>
      <c r="AD127" s="129">
        <f>AC127-AB127</f>
        <v>144.28755000000001</v>
      </c>
      <c r="AE127" s="122">
        <v>432.37</v>
      </c>
      <c r="AF127" s="130">
        <f>AB127/U127</f>
        <v>291.49</v>
      </c>
      <c r="AG127" s="130">
        <f>AB127/V127</f>
        <v>291.49</v>
      </c>
      <c r="AH127" s="123">
        <f>AB127/S127</f>
        <v>0.1398033573141487</v>
      </c>
      <c r="AI127" s="124" t="s">
        <v>425</v>
      </c>
      <c r="AJ127" s="125" t="s">
        <v>349</v>
      </c>
      <c r="AK127"/>
      <c r="AM127" s="80"/>
    </row>
    <row r="128" spans="1:39" ht="28.5" customHeight="1">
      <c r="A128" s="113" t="s">
        <v>73</v>
      </c>
      <c r="B128" s="114" t="s">
        <v>74</v>
      </c>
      <c r="C128" s="113" t="s">
        <v>35</v>
      </c>
      <c r="D128" s="113" t="s">
        <v>218</v>
      </c>
      <c r="E128" s="115" t="s">
        <v>643</v>
      </c>
      <c r="F128" s="113" t="s">
        <v>644</v>
      </c>
      <c r="G128" s="116" t="s">
        <v>645</v>
      </c>
      <c r="H128" s="79">
        <v>46094</v>
      </c>
      <c r="I128" s="114" t="s">
        <v>79</v>
      </c>
      <c r="J128" s="117" t="s">
        <v>646</v>
      </c>
      <c r="K128" s="118">
        <v>46093</v>
      </c>
      <c r="L128" s="114" t="s">
        <v>81</v>
      </c>
      <c r="M128" s="119">
        <v>46100</v>
      </c>
      <c r="N128" s="128">
        <v>46100</v>
      </c>
      <c r="O128" s="120">
        <f>NETWORKDAYS.INTL(K128,N128,1,$AM$2:$AM$10)-1</f>
        <v>5</v>
      </c>
      <c r="P128" s="114" t="s">
        <v>81</v>
      </c>
      <c r="Q128" s="114" t="s">
        <v>79</v>
      </c>
      <c r="R128" s="115"/>
      <c r="S128" s="145">
        <v>263</v>
      </c>
      <c r="T128" s="148" t="s">
        <v>647</v>
      </c>
      <c r="U128" s="147">
        <v>2</v>
      </c>
      <c r="V128" s="121">
        <v>271</v>
      </c>
      <c r="W128" s="121">
        <v>1385</v>
      </c>
      <c r="X128" s="114" t="s">
        <v>84</v>
      </c>
      <c r="Y128" s="115" t="s">
        <v>85</v>
      </c>
      <c r="Z128" s="115" t="s">
        <v>342</v>
      </c>
      <c r="AA128" s="113" t="s">
        <v>87</v>
      </c>
      <c r="AB128" s="122">
        <v>404.93</v>
      </c>
      <c r="AC128" s="122">
        <f>IF(C128="DENALI", AB128*0.495, IF(C128="SCHNEIDER ELECTRIC", AB128*1.136, IF(C128="WWT", AB128*1.2, AC128)))+AB128</f>
        <v>605.37035000000003</v>
      </c>
      <c r="AD128" s="129">
        <f>AC128-AB128</f>
        <v>200.44035000000002</v>
      </c>
      <c r="AE128" s="122">
        <v>148898.23999999999</v>
      </c>
      <c r="AF128" s="130">
        <f>AB128/U128</f>
        <v>202.465</v>
      </c>
      <c r="AG128" s="130">
        <f>AB128/V128</f>
        <v>1.4942066420664206</v>
      </c>
      <c r="AH128" s="123">
        <f>AB128/S128</f>
        <v>1.5396577946768062</v>
      </c>
      <c r="AI128" s="124" t="s">
        <v>97</v>
      </c>
      <c r="AJ128" s="125" t="s">
        <v>349</v>
      </c>
      <c r="AK128"/>
      <c r="AM128" s="80"/>
    </row>
    <row r="129" spans="1:39" ht="28.5" customHeight="1">
      <c r="A129" s="113" t="s">
        <v>73</v>
      </c>
      <c r="B129" s="114" t="s">
        <v>74</v>
      </c>
      <c r="C129" s="113" t="s">
        <v>35</v>
      </c>
      <c r="D129" s="113" t="s">
        <v>218</v>
      </c>
      <c r="E129" s="115" t="s">
        <v>648</v>
      </c>
      <c r="F129" s="113" t="s">
        <v>92</v>
      </c>
      <c r="G129" s="116" t="s">
        <v>649</v>
      </c>
      <c r="H129" s="79">
        <v>46098</v>
      </c>
      <c r="I129" s="114" t="s">
        <v>79</v>
      </c>
      <c r="J129" s="117" t="s">
        <v>650</v>
      </c>
      <c r="K129" s="118">
        <v>46093</v>
      </c>
      <c r="L129" s="114" t="s">
        <v>81</v>
      </c>
      <c r="M129" s="119">
        <v>46099</v>
      </c>
      <c r="N129" s="128">
        <v>46099</v>
      </c>
      <c r="O129" s="120">
        <f>NETWORKDAYS.INTL(K129,N129,1,$AM$2:$AM$10)-1</f>
        <v>4</v>
      </c>
      <c r="P129" s="114" t="s">
        <v>81</v>
      </c>
      <c r="Q129" s="114" t="s">
        <v>79</v>
      </c>
      <c r="R129" s="115" t="s">
        <v>651</v>
      </c>
      <c r="S129" s="145">
        <v>1225</v>
      </c>
      <c r="T129" s="148" t="s">
        <v>652</v>
      </c>
      <c r="U129" s="147">
        <v>2</v>
      </c>
      <c r="V129" s="121">
        <v>68</v>
      </c>
      <c r="W129" s="121">
        <v>665</v>
      </c>
      <c r="X129" s="114" t="s">
        <v>84</v>
      </c>
      <c r="Y129" s="115" t="s">
        <v>85</v>
      </c>
      <c r="Z129" s="115" t="s">
        <v>86</v>
      </c>
      <c r="AA129" s="113" t="s">
        <v>87</v>
      </c>
      <c r="AB129" s="122">
        <v>539.35</v>
      </c>
      <c r="AC129" s="122">
        <f>IF(C129="DENALI", AB129*0.495, IF(C129="SCHNEIDER ELECTRIC", AB129*1.136, IF(C129="WWT", AB129*1.2, AC129)))+AB129</f>
        <v>806.32825000000003</v>
      </c>
      <c r="AD129" s="129">
        <f>AC129-AB129</f>
        <v>266.97825</v>
      </c>
      <c r="AE129" s="122">
        <v>6160.67</v>
      </c>
      <c r="AF129" s="130">
        <f>AB129/U129</f>
        <v>269.67500000000001</v>
      </c>
      <c r="AG129" s="130">
        <f>AB129/V129</f>
        <v>7.9316176470588236</v>
      </c>
      <c r="AH129" s="123">
        <f>AB129/S129</f>
        <v>0.44028571428571428</v>
      </c>
      <c r="AI129" s="124" t="s">
        <v>155</v>
      </c>
      <c r="AJ129" s="125" t="s">
        <v>89</v>
      </c>
      <c r="AK129"/>
      <c r="AM129" s="80"/>
    </row>
    <row r="130" spans="1:39" ht="28.5" customHeight="1">
      <c r="A130" s="113" t="s">
        <v>73</v>
      </c>
      <c r="B130" s="114" t="s">
        <v>74</v>
      </c>
      <c r="C130" s="113" t="s">
        <v>35</v>
      </c>
      <c r="D130" s="113" t="s">
        <v>218</v>
      </c>
      <c r="E130" s="115" t="s">
        <v>653</v>
      </c>
      <c r="F130" s="113" t="s">
        <v>254</v>
      </c>
      <c r="G130" s="116" t="s">
        <v>654</v>
      </c>
      <c r="H130" s="79">
        <v>46098</v>
      </c>
      <c r="I130" s="114" t="s">
        <v>79</v>
      </c>
      <c r="J130" s="117" t="s">
        <v>655</v>
      </c>
      <c r="K130" s="118">
        <v>46093</v>
      </c>
      <c r="L130" s="114" t="s">
        <v>81</v>
      </c>
      <c r="M130" s="119">
        <v>46099</v>
      </c>
      <c r="N130" s="128">
        <v>46099</v>
      </c>
      <c r="O130" s="120">
        <f>NETWORKDAYS.INTL(K130,N130,1,$AM$2:$AM$10)-1</f>
        <v>4</v>
      </c>
      <c r="P130" s="114" t="s">
        <v>81</v>
      </c>
      <c r="Q130" s="114" t="s">
        <v>79</v>
      </c>
      <c r="R130" s="115"/>
      <c r="S130" s="145">
        <v>720</v>
      </c>
      <c r="T130" s="148" t="s">
        <v>656</v>
      </c>
      <c r="U130" s="147">
        <v>1</v>
      </c>
      <c r="V130" s="121">
        <v>54</v>
      </c>
      <c r="W130" s="121">
        <v>300</v>
      </c>
      <c r="X130" s="114" t="s">
        <v>84</v>
      </c>
      <c r="Y130" s="115" t="s">
        <v>85</v>
      </c>
      <c r="Z130" s="115" t="s">
        <v>342</v>
      </c>
      <c r="AA130" s="113" t="s">
        <v>87</v>
      </c>
      <c r="AB130" s="122">
        <v>398.4</v>
      </c>
      <c r="AC130" s="122">
        <f>IF(C130="DENALI", AB130*0.495, IF(C130="SCHNEIDER ELECTRIC", AB130*1.136, IF(C130="WWT", AB130*1.2, AC130)))+AB130</f>
        <v>595.60799999999995</v>
      </c>
      <c r="AD130" s="129">
        <f>AC130-AB130</f>
        <v>197.20799999999997</v>
      </c>
      <c r="AE130" s="122">
        <v>28489.279999999999</v>
      </c>
      <c r="AF130" s="130">
        <f>AB130/U130</f>
        <v>398.4</v>
      </c>
      <c r="AG130" s="130">
        <f>AB130/V130</f>
        <v>7.3777777777777773</v>
      </c>
      <c r="AH130" s="123">
        <f>AB130/S130</f>
        <v>0.55333333333333334</v>
      </c>
      <c r="AI130" s="124" t="s">
        <v>97</v>
      </c>
      <c r="AJ130" s="125" t="s">
        <v>349</v>
      </c>
      <c r="AK130"/>
      <c r="AM130" s="80"/>
    </row>
    <row r="131" spans="1:39" ht="28.5" customHeight="1">
      <c r="A131" s="113" t="s">
        <v>73</v>
      </c>
      <c r="B131" s="114" t="s">
        <v>74</v>
      </c>
      <c r="C131" s="113" t="s">
        <v>35</v>
      </c>
      <c r="D131" s="113" t="s">
        <v>218</v>
      </c>
      <c r="E131" s="115" t="s">
        <v>657</v>
      </c>
      <c r="F131" s="113" t="s">
        <v>644</v>
      </c>
      <c r="G131" s="116" t="s">
        <v>658</v>
      </c>
      <c r="H131" s="79">
        <v>46098</v>
      </c>
      <c r="I131" s="114" t="s">
        <v>79</v>
      </c>
      <c r="J131" s="117" t="s">
        <v>659</v>
      </c>
      <c r="K131" s="118">
        <v>46093</v>
      </c>
      <c r="L131" s="114" t="s">
        <v>81</v>
      </c>
      <c r="M131" s="119">
        <v>46094</v>
      </c>
      <c r="N131" s="128">
        <v>46094</v>
      </c>
      <c r="O131" s="120">
        <f>NETWORKDAYS.INTL(K131,N131,1,$AM$2:$AM$10)-1</f>
        <v>1</v>
      </c>
      <c r="P131" s="114" t="s">
        <v>81</v>
      </c>
      <c r="Q131" s="114" t="s">
        <v>79</v>
      </c>
      <c r="R131" s="115" t="s">
        <v>95</v>
      </c>
      <c r="S131" s="145">
        <v>319</v>
      </c>
      <c r="T131" s="148" t="s">
        <v>660</v>
      </c>
      <c r="U131" s="147">
        <v>1</v>
      </c>
      <c r="V131" s="121">
        <v>2</v>
      </c>
      <c r="W131" s="121">
        <v>235</v>
      </c>
      <c r="X131" s="114" t="s">
        <v>84</v>
      </c>
      <c r="Y131" s="115" t="s">
        <v>85</v>
      </c>
      <c r="Z131" s="115" t="s">
        <v>86</v>
      </c>
      <c r="AA131" s="113" t="s">
        <v>87</v>
      </c>
      <c r="AB131" s="122">
        <v>265.25</v>
      </c>
      <c r="AC131" s="122">
        <f>IF(C131="DENALI", AB131*0.495, IF(C131="SCHNEIDER ELECTRIC", AB131*1.136, IF(C131="WWT", AB131*1.2, AC131)))+AB131</f>
        <v>396.54875000000004</v>
      </c>
      <c r="AD131" s="129">
        <f>AC131-AB131</f>
        <v>131.29875000000004</v>
      </c>
      <c r="AE131" s="122">
        <v>98690.4</v>
      </c>
      <c r="AF131" s="130">
        <f>AB131/U131</f>
        <v>265.25</v>
      </c>
      <c r="AG131" s="130">
        <f>AB131/V131</f>
        <v>132.625</v>
      </c>
      <c r="AH131" s="123">
        <f>AB131/S131</f>
        <v>0.83150470219435735</v>
      </c>
      <c r="AI131" s="124" t="s">
        <v>97</v>
      </c>
      <c r="AJ131" s="125" t="s">
        <v>349</v>
      </c>
      <c r="AK131"/>
      <c r="AM131" s="80"/>
    </row>
    <row r="132" spans="1:39" ht="28.5" customHeight="1">
      <c r="A132" s="113" t="s">
        <v>73</v>
      </c>
      <c r="B132" s="114" t="s">
        <v>74</v>
      </c>
      <c r="C132" s="113" t="s">
        <v>35</v>
      </c>
      <c r="D132" s="113" t="s">
        <v>218</v>
      </c>
      <c r="E132" s="115" t="s">
        <v>661</v>
      </c>
      <c r="F132" s="113" t="s">
        <v>109</v>
      </c>
      <c r="G132" s="116" t="s">
        <v>662</v>
      </c>
      <c r="H132" s="79">
        <v>46098</v>
      </c>
      <c r="I132" s="114" t="s">
        <v>79</v>
      </c>
      <c r="J132" s="117" t="s">
        <v>663</v>
      </c>
      <c r="K132" s="118">
        <v>46093</v>
      </c>
      <c r="L132" s="114" t="s">
        <v>81</v>
      </c>
      <c r="M132" s="119">
        <v>46097</v>
      </c>
      <c r="N132" s="128">
        <v>46097</v>
      </c>
      <c r="O132" s="120">
        <f>NETWORKDAYS.INTL(K132,N132,1,$AM$2:$AM$10)-1</f>
        <v>2</v>
      </c>
      <c r="P132" s="114" t="s">
        <v>81</v>
      </c>
      <c r="Q132" s="114" t="s">
        <v>79</v>
      </c>
      <c r="R132" s="115" t="s">
        <v>95</v>
      </c>
      <c r="S132" s="145">
        <v>1110</v>
      </c>
      <c r="T132" s="148" t="s">
        <v>664</v>
      </c>
      <c r="U132" s="147">
        <v>2</v>
      </c>
      <c r="V132" s="121">
        <v>310</v>
      </c>
      <c r="W132" s="121">
        <v>1525</v>
      </c>
      <c r="X132" s="114" t="s">
        <v>84</v>
      </c>
      <c r="Y132" s="115" t="s">
        <v>85</v>
      </c>
      <c r="Z132" s="115" t="s">
        <v>86</v>
      </c>
      <c r="AA132" s="113" t="s">
        <v>87</v>
      </c>
      <c r="AB132" s="122">
        <v>665.29</v>
      </c>
      <c r="AC132" s="122">
        <f>IF(C132="DENALI", AB132*0.495, IF(C132="SCHNEIDER ELECTRIC", AB132*1.136, IF(C132="WWT", AB132*1.2, AC132)))+AB132</f>
        <v>994.60854999999992</v>
      </c>
      <c r="AD132" s="129">
        <f>AC132-AB132</f>
        <v>329.31854999999996</v>
      </c>
      <c r="AE132" s="122">
        <v>170538.56</v>
      </c>
      <c r="AF132" s="130">
        <f>AB132/U132</f>
        <v>332.64499999999998</v>
      </c>
      <c r="AG132" s="130">
        <f>AB132/V132</f>
        <v>2.1460967741935484</v>
      </c>
      <c r="AH132" s="123">
        <f>AB132/S132</f>
        <v>0.59936036036036033</v>
      </c>
      <c r="AI132" s="124" t="s">
        <v>97</v>
      </c>
      <c r="AJ132" s="125" t="s">
        <v>349</v>
      </c>
      <c r="AK132"/>
      <c r="AM132" s="80"/>
    </row>
    <row r="133" spans="1:39" ht="28.5" customHeight="1">
      <c r="A133" s="113" t="s">
        <v>73</v>
      </c>
      <c r="B133" s="114" t="s">
        <v>74</v>
      </c>
      <c r="C133" s="113" t="s">
        <v>35</v>
      </c>
      <c r="D133" s="113" t="s">
        <v>218</v>
      </c>
      <c r="E133" s="115" t="s">
        <v>665</v>
      </c>
      <c r="F133" s="113" t="s">
        <v>228</v>
      </c>
      <c r="G133" s="116" t="s">
        <v>666</v>
      </c>
      <c r="H133" s="79">
        <v>46098</v>
      </c>
      <c r="I133" s="114" t="s">
        <v>79</v>
      </c>
      <c r="J133" s="117" t="s">
        <v>667</v>
      </c>
      <c r="K133" s="118">
        <v>46093</v>
      </c>
      <c r="L133" s="114" t="s">
        <v>81</v>
      </c>
      <c r="M133" s="119">
        <v>46097</v>
      </c>
      <c r="N133" s="128">
        <v>46097</v>
      </c>
      <c r="O133" s="120">
        <f>NETWORKDAYS.INTL(K133,N133,1,$AM$2:$AM$10)-1</f>
        <v>2</v>
      </c>
      <c r="P133" s="114" t="s">
        <v>81</v>
      </c>
      <c r="Q133" s="114" t="s">
        <v>79</v>
      </c>
      <c r="R133" s="115" t="s">
        <v>95</v>
      </c>
      <c r="S133" s="145">
        <v>185</v>
      </c>
      <c r="T133" s="148" t="s">
        <v>668</v>
      </c>
      <c r="U133" s="147">
        <v>2</v>
      </c>
      <c r="V133" s="121">
        <v>302</v>
      </c>
      <c r="W133" s="121">
        <v>1465</v>
      </c>
      <c r="X133" s="114" t="s">
        <v>84</v>
      </c>
      <c r="Y133" s="115" t="s">
        <v>85</v>
      </c>
      <c r="Z133" s="115" t="s">
        <v>342</v>
      </c>
      <c r="AA133" s="113" t="s">
        <v>87</v>
      </c>
      <c r="AB133" s="122">
        <v>399.85</v>
      </c>
      <c r="AC133" s="122">
        <f>IF(C133="DENALI", AB133*0.495, IF(C133="SCHNEIDER ELECTRIC", AB133*1.136, IF(C133="WWT", AB133*1.2, AC133)))+AB133</f>
        <v>597.77575000000002</v>
      </c>
      <c r="AD133" s="129">
        <f>AC133-AB133</f>
        <v>197.92574999999999</v>
      </c>
      <c r="AE133" s="122">
        <v>166099.51999999999</v>
      </c>
      <c r="AF133" s="130">
        <f>AB133/U133</f>
        <v>199.92500000000001</v>
      </c>
      <c r="AG133" s="130">
        <f>AB133/V133</f>
        <v>1.3240066225165563</v>
      </c>
      <c r="AH133" s="123">
        <f>AB133/S133</f>
        <v>2.1613513513513514</v>
      </c>
      <c r="AI133" s="124" t="s">
        <v>669</v>
      </c>
      <c r="AJ133" s="125" t="s">
        <v>670</v>
      </c>
      <c r="AK133"/>
      <c r="AM133" s="80"/>
    </row>
    <row r="134" spans="1:39" ht="28.5" customHeight="1">
      <c r="A134" s="113" t="s">
        <v>73</v>
      </c>
      <c r="B134" s="114" t="s">
        <v>74</v>
      </c>
      <c r="C134" s="113" t="s">
        <v>35</v>
      </c>
      <c r="D134" s="113" t="s">
        <v>218</v>
      </c>
      <c r="E134" s="115" t="s">
        <v>671</v>
      </c>
      <c r="F134" s="113" t="s">
        <v>396</v>
      </c>
      <c r="G134" s="116" t="s">
        <v>672</v>
      </c>
      <c r="H134" s="79">
        <v>46098</v>
      </c>
      <c r="I134" s="114" t="s">
        <v>79</v>
      </c>
      <c r="J134" s="117" t="s">
        <v>673</v>
      </c>
      <c r="K134" s="118">
        <v>46093</v>
      </c>
      <c r="L134" s="114" t="s">
        <v>81</v>
      </c>
      <c r="M134" s="119">
        <v>46097</v>
      </c>
      <c r="N134" s="128">
        <v>46098</v>
      </c>
      <c r="O134" s="120">
        <f>NETWORKDAYS.INTL(K134,N134,1,$AM$2:$AM$10)-1</f>
        <v>3</v>
      </c>
      <c r="P134" s="114" t="s">
        <v>81</v>
      </c>
      <c r="Q134" s="114" t="s">
        <v>79</v>
      </c>
      <c r="R134" s="115" t="s">
        <v>95</v>
      </c>
      <c r="S134" s="145">
        <v>646</v>
      </c>
      <c r="T134" s="148" t="s">
        <v>674</v>
      </c>
      <c r="U134" s="147">
        <v>6</v>
      </c>
      <c r="V134" s="121">
        <v>456</v>
      </c>
      <c r="W134" s="121">
        <v>4380</v>
      </c>
      <c r="X134" s="114" t="s">
        <v>84</v>
      </c>
      <c r="Y134" s="115" t="s">
        <v>85</v>
      </c>
      <c r="Z134" s="115" t="s">
        <v>342</v>
      </c>
      <c r="AA134" s="113" t="s">
        <v>87</v>
      </c>
      <c r="AB134" s="122">
        <v>812.53</v>
      </c>
      <c r="AC134" s="122">
        <f>IF(C134="DENALI", AB134*0.495, IF(C134="SCHNEIDER ELECTRIC", AB134*1.136, IF(C134="WWT", AB134*1.2, AC134)))+AB134</f>
        <v>1214.73235</v>
      </c>
      <c r="AD134" s="129">
        <f>AC134-AB134</f>
        <v>402.20235000000002</v>
      </c>
      <c r="AE134" s="122">
        <v>268839.36</v>
      </c>
      <c r="AF134" s="130">
        <f>AB134/U134</f>
        <v>135.42166666666665</v>
      </c>
      <c r="AG134" s="130">
        <f>AB134/V134</f>
        <v>1.7818640350877193</v>
      </c>
      <c r="AH134" s="123">
        <f>AB134/S134</f>
        <v>1.2577863777089784</v>
      </c>
      <c r="AI134" s="124" t="s">
        <v>675</v>
      </c>
      <c r="AJ134" s="125" t="s">
        <v>670</v>
      </c>
      <c r="AK134"/>
      <c r="AM134" s="80"/>
    </row>
    <row r="135" spans="1:39" ht="76.5">
      <c r="A135" s="113" t="s">
        <v>73</v>
      </c>
      <c r="B135" s="114" t="s">
        <v>140</v>
      </c>
      <c r="C135" s="113" t="s">
        <v>35</v>
      </c>
      <c r="D135" s="113" t="s">
        <v>218</v>
      </c>
      <c r="E135" s="115" t="s">
        <v>141</v>
      </c>
      <c r="F135" s="113" t="s">
        <v>142</v>
      </c>
      <c r="G135" s="116" t="s">
        <v>676</v>
      </c>
      <c r="H135" s="79">
        <v>46098</v>
      </c>
      <c r="I135" s="114" t="s">
        <v>79</v>
      </c>
      <c r="J135" s="117" t="s">
        <v>677</v>
      </c>
      <c r="K135" s="118">
        <v>46093</v>
      </c>
      <c r="L135" s="114" t="s">
        <v>81</v>
      </c>
      <c r="M135" s="119">
        <v>46097</v>
      </c>
      <c r="N135" s="128">
        <v>46097</v>
      </c>
      <c r="O135" s="120">
        <f>NETWORKDAYS.INTL(K135,N135,1,$AM$2:$AM$10)-1</f>
        <v>2</v>
      </c>
      <c r="P135" s="114" t="s">
        <v>81</v>
      </c>
      <c r="Q135" s="114" t="s">
        <v>79</v>
      </c>
      <c r="R135" s="115" t="s">
        <v>95</v>
      </c>
      <c r="S135" s="145">
        <v>441</v>
      </c>
      <c r="T135" s="148" t="s">
        <v>678</v>
      </c>
      <c r="U135" s="147">
        <v>5</v>
      </c>
      <c r="V135" s="121">
        <v>2178</v>
      </c>
      <c r="W135" s="121">
        <v>2505</v>
      </c>
      <c r="X135" s="114" t="s">
        <v>84</v>
      </c>
      <c r="Y135" s="115" t="s">
        <v>85</v>
      </c>
      <c r="Z135" s="115" t="s">
        <v>234</v>
      </c>
      <c r="AA135" s="113" t="s">
        <v>87</v>
      </c>
      <c r="AB135" s="122">
        <v>429.62</v>
      </c>
      <c r="AC135" s="122">
        <f>IF(C135="DENALI", AB135*0.495, IF(C135="SCHNEIDER ELECTRIC", AB135*1.136, IF(C135="WWT", AB135*1.2, AC135)))+AB135</f>
        <v>642.28189999999995</v>
      </c>
      <c r="AD135" s="129">
        <f>AC135-AB135</f>
        <v>212.66189999999995</v>
      </c>
      <c r="AE135" s="122">
        <v>206760.33</v>
      </c>
      <c r="AF135" s="130">
        <f>AB135/U135</f>
        <v>85.924000000000007</v>
      </c>
      <c r="AG135" s="130">
        <f>AB135/V135</f>
        <v>0.19725436179981634</v>
      </c>
      <c r="AH135" s="123">
        <f>AB135/S135</f>
        <v>0.97419501133786846</v>
      </c>
      <c r="AI135" s="124" t="s">
        <v>183</v>
      </c>
      <c r="AJ135" s="125" t="s">
        <v>349</v>
      </c>
      <c r="AK135"/>
      <c r="AM135" s="80"/>
    </row>
    <row r="136" spans="1:39" ht="28.5" customHeight="1">
      <c r="A136" s="113" t="s">
        <v>73</v>
      </c>
      <c r="B136" s="114" t="s">
        <v>140</v>
      </c>
      <c r="C136" s="113" t="s">
        <v>35</v>
      </c>
      <c r="D136" s="113" t="s">
        <v>218</v>
      </c>
      <c r="E136" s="115" t="s">
        <v>141</v>
      </c>
      <c r="F136" s="113" t="s">
        <v>142</v>
      </c>
      <c r="G136" s="116">
        <v>22474802</v>
      </c>
      <c r="H136" s="79">
        <v>46094</v>
      </c>
      <c r="I136" s="114" t="s">
        <v>79</v>
      </c>
      <c r="J136" s="117" t="s">
        <v>679</v>
      </c>
      <c r="K136" s="118">
        <v>46093</v>
      </c>
      <c r="L136" s="114" t="s">
        <v>81</v>
      </c>
      <c r="M136" s="119">
        <v>46094</v>
      </c>
      <c r="N136" s="128">
        <v>46094</v>
      </c>
      <c r="O136" s="120">
        <f>NETWORKDAYS.INTL(K136,N136,1,$AM$2:$AM$10)-1</f>
        <v>1</v>
      </c>
      <c r="P136" s="114" t="s">
        <v>81</v>
      </c>
      <c r="Q136" s="114" t="s">
        <v>79</v>
      </c>
      <c r="R136" s="115" t="s">
        <v>95</v>
      </c>
      <c r="S136" s="145">
        <v>439</v>
      </c>
      <c r="T136" s="148" t="s">
        <v>410</v>
      </c>
      <c r="U136" s="147">
        <v>25</v>
      </c>
      <c r="V136" s="121">
        <v>25</v>
      </c>
      <c r="W136" s="121">
        <v>9250</v>
      </c>
      <c r="X136" s="114" t="s">
        <v>113</v>
      </c>
      <c r="Y136" s="115" t="s">
        <v>85</v>
      </c>
      <c r="Z136" s="115" t="s">
        <v>680</v>
      </c>
      <c r="AA136" s="113" t="s">
        <v>87</v>
      </c>
      <c r="AB136" s="122">
        <v>2255.14</v>
      </c>
      <c r="AC136" s="122">
        <f>IF(C136="DENALI", AB136*0.495, IF(C136="SCHNEIDER ELECTRIC", AB136*1.136, IF(C136="WWT", AB136*1.2, AC136)))+AB136</f>
        <v>3371.4342999999999</v>
      </c>
      <c r="AD136" s="129">
        <f>AC136-AB136</f>
        <v>1116.2943</v>
      </c>
      <c r="AE136" s="122">
        <v>169591.25</v>
      </c>
      <c r="AF136" s="130">
        <f>AB136/U136</f>
        <v>90.20559999999999</v>
      </c>
      <c r="AG136" s="130">
        <f>AB136/V136</f>
        <v>90.20559999999999</v>
      </c>
      <c r="AH136" s="123">
        <f>AB136/S136</f>
        <v>5.1369931662870156</v>
      </c>
      <c r="AI136" s="124" t="s">
        <v>155</v>
      </c>
      <c r="AJ136" s="125" t="s">
        <v>89</v>
      </c>
      <c r="AK136"/>
      <c r="AM136" s="80"/>
    </row>
    <row r="137" spans="1:39" ht="28.5" customHeight="1">
      <c r="A137" s="113" t="s">
        <v>73</v>
      </c>
      <c r="B137" s="114" t="s">
        <v>74</v>
      </c>
      <c r="C137" s="113" t="s">
        <v>36</v>
      </c>
      <c r="D137" s="113" t="s">
        <v>75</v>
      </c>
      <c r="E137" s="115" t="s">
        <v>681</v>
      </c>
      <c r="F137" s="113" t="s">
        <v>370</v>
      </c>
      <c r="G137" s="116" t="s">
        <v>682</v>
      </c>
      <c r="H137" s="79">
        <v>46098</v>
      </c>
      <c r="I137" s="114" t="s">
        <v>79</v>
      </c>
      <c r="J137" s="117" t="s">
        <v>683</v>
      </c>
      <c r="K137" s="118">
        <v>46094</v>
      </c>
      <c r="L137" s="114" t="s">
        <v>81</v>
      </c>
      <c r="M137" s="119"/>
      <c r="N137" s="128">
        <v>46099</v>
      </c>
      <c r="O137" s="120">
        <f>NETWORKDAYS.INTL(K137,N137,1,$AM$2:$AM$10)-1</f>
        <v>3</v>
      </c>
      <c r="P137" s="114" t="s">
        <v>81</v>
      </c>
      <c r="Q137" s="114" t="s">
        <v>79</v>
      </c>
      <c r="R137" s="115"/>
      <c r="S137" s="145">
        <v>788</v>
      </c>
      <c r="T137" s="148" t="s">
        <v>684</v>
      </c>
      <c r="U137" s="147">
        <v>1</v>
      </c>
      <c r="V137" s="121">
        <v>8</v>
      </c>
      <c r="W137" s="121">
        <v>656</v>
      </c>
      <c r="X137" s="114" t="s">
        <v>84</v>
      </c>
      <c r="Y137" s="115" t="s">
        <v>85</v>
      </c>
      <c r="Z137" s="115" t="s">
        <v>86</v>
      </c>
      <c r="AA137" s="113" t="s">
        <v>87</v>
      </c>
      <c r="AB137" s="122">
        <v>453.35</v>
      </c>
      <c r="AC137" s="122">
        <f>IF(C137="DENALI", AB137*0.495, IF(C137="SCHNEIDER ELECTRIC", AB137*1.136, IF(C137="WWT", AB137*1.2, AC137)))+AB137</f>
        <v>968.35559999999998</v>
      </c>
      <c r="AD137" s="129">
        <f>AC137-AB137</f>
        <v>515.00559999999996</v>
      </c>
      <c r="AE137" s="122">
        <v>4170.5600000000004</v>
      </c>
      <c r="AF137" s="130">
        <f>AB137/U137</f>
        <v>453.35</v>
      </c>
      <c r="AG137" s="130">
        <f>AB137/V137</f>
        <v>56.668750000000003</v>
      </c>
      <c r="AH137" s="123">
        <f>AB137/S137</f>
        <v>0.57531725888324881</v>
      </c>
      <c r="AI137" s="124" t="s">
        <v>97</v>
      </c>
      <c r="AJ137" s="125" t="s">
        <v>98</v>
      </c>
      <c r="AK137"/>
      <c r="AM137" s="80"/>
    </row>
    <row r="138" spans="1:39" ht="28.5" customHeight="1">
      <c r="A138" s="113" t="s">
        <v>73</v>
      </c>
      <c r="B138" s="114" t="s">
        <v>74</v>
      </c>
      <c r="C138" s="113" t="s">
        <v>36</v>
      </c>
      <c r="D138" s="113" t="s">
        <v>90</v>
      </c>
      <c r="E138" s="115" t="s">
        <v>685</v>
      </c>
      <c r="F138" s="113" t="s">
        <v>90</v>
      </c>
      <c r="G138" s="116" t="s">
        <v>686</v>
      </c>
      <c r="H138" s="79">
        <v>46097</v>
      </c>
      <c r="I138" s="114" t="s">
        <v>79</v>
      </c>
      <c r="J138" s="117" t="s">
        <v>687</v>
      </c>
      <c r="K138" s="118">
        <v>46094</v>
      </c>
      <c r="L138" s="114" t="s">
        <v>81</v>
      </c>
      <c r="M138" s="119">
        <v>46097</v>
      </c>
      <c r="N138" s="128">
        <v>46097</v>
      </c>
      <c r="O138" s="120">
        <f>NETWORKDAYS.INTL(K138,N138,1,$AM$2:$AM$10)-1</f>
        <v>1</v>
      </c>
      <c r="P138" s="114" t="s">
        <v>81</v>
      </c>
      <c r="Q138" s="114" t="s">
        <v>79</v>
      </c>
      <c r="R138" s="115" t="s">
        <v>95</v>
      </c>
      <c r="S138" s="145">
        <v>415</v>
      </c>
      <c r="T138" s="148" t="s">
        <v>688</v>
      </c>
      <c r="U138" s="147">
        <v>1</v>
      </c>
      <c r="V138" s="121">
        <v>6</v>
      </c>
      <c r="W138" s="121">
        <v>321</v>
      </c>
      <c r="X138" s="114" t="s">
        <v>84</v>
      </c>
      <c r="Y138" s="115" t="s">
        <v>85</v>
      </c>
      <c r="Z138" s="115" t="s">
        <v>86</v>
      </c>
      <c r="AA138" s="113" t="s">
        <v>87</v>
      </c>
      <c r="AB138" s="122">
        <v>213.32</v>
      </c>
      <c r="AC138" s="122">
        <f>IF(C138="DENALI", AB138*0.495, IF(C138="SCHNEIDER ELECTRIC", AB138*1.136, IF(C138="WWT", AB138*1.2, AC138)))+AB138</f>
        <v>455.65152</v>
      </c>
      <c r="AD138" s="129">
        <f>AC138-AB138</f>
        <v>242.33152000000001</v>
      </c>
      <c r="AE138" s="122">
        <v>4975.38</v>
      </c>
      <c r="AF138" s="130">
        <f>AB138/U138</f>
        <v>213.32</v>
      </c>
      <c r="AG138" s="130">
        <f>AB138/V138</f>
        <v>35.553333333333335</v>
      </c>
      <c r="AH138" s="123">
        <f>AB138/S138</f>
        <v>0.51402409638554214</v>
      </c>
      <c r="AI138" s="124" t="s">
        <v>97</v>
      </c>
      <c r="AJ138" s="125" t="s">
        <v>98</v>
      </c>
      <c r="AK138"/>
      <c r="AM138" s="80"/>
    </row>
    <row r="139" spans="1:39" ht="28.5" customHeight="1">
      <c r="A139" s="113" t="s">
        <v>73</v>
      </c>
      <c r="B139" s="114" t="s">
        <v>74</v>
      </c>
      <c r="C139" s="113" t="s">
        <v>35</v>
      </c>
      <c r="D139" s="113" t="s">
        <v>218</v>
      </c>
      <c r="E139" s="115" t="s">
        <v>689</v>
      </c>
      <c r="F139" s="113" t="s">
        <v>272</v>
      </c>
      <c r="G139" s="116" t="s">
        <v>690</v>
      </c>
      <c r="H139" s="79">
        <v>46098</v>
      </c>
      <c r="I139" s="114" t="s">
        <v>79</v>
      </c>
      <c r="J139" s="117" t="s">
        <v>691</v>
      </c>
      <c r="K139" s="118">
        <v>46099</v>
      </c>
      <c r="L139" s="114" t="s">
        <v>81</v>
      </c>
      <c r="M139" s="119">
        <v>46100</v>
      </c>
      <c r="N139" s="128">
        <v>46100</v>
      </c>
      <c r="O139" s="120">
        <f>NETWORKDAYS.INTL(K139,N139,1,$AM$2:$AM$10)-1</f>
        <v>1</v>
      </c>
      <c r="P139" s="114" t="s">
        <v>81</v>
      </c>
      <c r="Q139" s="114" t="s">
        <v>79</v>
      </c>
      <c r="R139" s="115"/>
      <c r="S139" s="145">
        <v>300</v>
      </c>
      <c r="T139" s="148" t="s">
        <v>692</v>
      </c>
      <c r="U139" s="147">
        <v>1</v>
      </c>
      <c r="V139" s="121">
        <v>209</v>
      </c>
      <c r="W139" s="121">
        <v>360</v>
      </c>
      <c r="X139" s="114" t="s">
        <v>84</v>
      </c>
      <c r="Y139" s="115" t="s">
        <v>85</v>
      </c>
      <c r="Z139" s="115" t="s">
        <v>234</v>
      </c>
      <c r="AA139" s="113" t="s">
        <v>87</v>
      </c>
      <c r="AB139" s="122">
        <v>174.32</v>
      </c>
      <c r="AC139" s="122">
        <f>IF(C139="DENALI", AB139*0.495, IF(C139="SCHNEIDER ELECTRIC", AB139*1.136, IF(C139="WWT", AB139*1.2, AC139)))+AB139</f>
        <v>260.60839999999996</v>
      </c>
      <c r="AD139" s="129">
        <f>AC139-AB139</f>
        <v>86.288399999999967</v>
      </c>
      <c r="AE139" s="122">
        <v>42593.67</v>
      </c>
      <c r="AF139" s="130">
        <f>AB139/U139</f>
        <v>174.32</v>
      </c>
      <c r="AG139" s="130">
        <f>AB139/V139</f>
        <v>0.83406698564593296</v>
      </c>
      <c r="AH139" s="123">
        <f>AB139/S139</f>
        <v>0.58106666666666662</v>
      </c>
      <c r="AI139" s="124" t="s">
        <v>183</v>
      </c>
      <c r="AJ139" s="125" t="s">
        <v>379</v>
      </c>
      <c r="AK139"/>
      <c r="AM139" s="80"/>
    </row>
    <row r="140" spans="1:39" ht="28.5" customHeight="1">
      <c r="A140" s="113" t="s">
        <v>73</v>
      </c>
      <c r="B140" s="114" t="s">
        <v>74</v>
      </c>
      <c r="C140" s="113" t="s">
        <v>35</v>
      </c>
      <c r="D140" s="113" t="s">
        <v>218</v>
      </c>
      <c r="E140" s="115" t="s">
        <v>693</v>
      </c>
      <c r="F140" s="113" t="s">
        <v>228</v>
      </c>
      <c r="G140" s="116" t="s">
        <v>694</v>
      </c>
      <c r="H140" s="79">
        <v>46105</v>
      </c>
      <c r="I140" s="114" t="s">
        <v>79</v>
      </c>
      <c r="J140" s="117" t="s">
        <v>695</v>
      </c>
      <c r="K140" s="118">
        <v>46100</v>
      </c>
      <c r="L140" s="114" t="s">
        <v>81</v>
      </c>
      <c r="M140" s="119">
        <v>46104</v>
      </c>
      <c r="N140" s="128">
        <v>46104</v>
      </c>
      <c r="O140" s="120">
        <f>NETWORKDAYS.INTL(K140,N140,1,$AM$2:$AM$10)-1</f>
        <v>2</v>
      </c>
      <c r="P140" s="114" t="s">
        <v>81</v>
      </c>
      <c r="Q140" s="114" t="s">
        <v>79</v>
      </c>
      <c r="R140" s="115"/>
      <c r="S140" s="145">
        <v>192</v>
      </c>
      <c r="T140" s="148" t="s">
        <v>696</v>
      </c>
      <c r="U140" s="147">
        <v>1</v>
      </c>
      <c r="V140" s="121">
        <v>5</v>
      </c>
      <c r="W140" s="121">
        <v>240</v>
      </c>
      <c r="X140" s="114" t="s">
        <v>84</v>
      </c>
      <c r="Y140" s="115" t="s">
        <v>85</v>
      </c>
      <c r="Z140" s="115" t="s">
        <v>222</v>
      </c>
      <c r="AA140" s="113" t="s">
        <v>87</v>
      </c>
      <c r="AB140" s="122">
        <v>239.01</v>
      </c>
      <c r="AC140" s="122">
        <f>IF(C140="DENALI", AB140*0.495, IF(C140="SCHNEIDER ELECTRIC", AB140*1.136, IF(C140="WWT", AB140*1.2, AC140)))+AB140</f>
        <v>357.31995000000001</v>
      </c>
      <c r="AD140" s="129">
        <f>AC140-AB140</f>
        <v>118.30995000000001</v>
      </c>
      <c r="AE140" s="122">
        <v>7289.8</v>
      </c>
      <c r="AF140" s="130">
        <f>AB140/U140</f>
        <v>239.01</v>
      </c>
      <c r="AG140" s="130">
        <f>AB140/V140</f>
        <v>47.802</v>
      </c>
      <c r="AH140" s="123">
        <f>AB140/S140</f>
        <v>1.24484375</v>
      </c>
      <c r="AI140" s="124" t="s">
        <v>97</v>
      </c>
      <c r="AJ140" s="125" t="s">
        <v>349</v>
      </c>
      <c r="AK140"/>
      <c r="AM140" s="80"/>
    </row>
    <row r="141" spans="1:39" ht="28.5" customHeight="1">
      <c r="A141" s="113" t="s">
        <v>73</v>
      </c>
      <c r="B141" s="114" t="s">
        <v>74</v>
      </c>
      <c r="C141" s="113" t="s">
        <v>35</v>
      </c>
      <c r="D141" s="113" t="s">
        <v>218</v>
      </c>
      <c r="E141" s="115" t="s">
        <v>697</v>
      </c>
      <c r="F141" s="113" t="s">
        <v>207</v>
      </c>
      <c r="G141" s="116" t="s">
        <v>698</v>
      </c>
      <c r="H141" s="79">
        <v>46105</v>
      </c>
      <c r="I141" s="114" t="s">
        <v>79</v>
      </c>
      <c r="J141" s="117" t="s">
        <v>699</v>
      </c>
      <c r="K141" s="118">
        <v>46100</v>
      </c>
      <c r="L141" s="114" t="s">
        <v>81</v>
      </c>
      <c r="M141" s="119">
        <v>46101</v>
      </c>
      <c r="N141" s="128">
        <v>46111</v>
      </c>
      <c r="O141" s="120">
        <f>NETWORKDAYS.INTL(K141,N141,1,$AM$2:$AM$10)-1</f>
        <v>7</v>
      </c>
      <c r="P141" s="114" t="s">
        <v>79</v>
      </c>
      <c r="Q141" s="114" t="s">
        <v>81</v>
      </c>
      <c r="R141" s="115" t="s">
        <v>700</v>
      </c>
      <c r="S141" s="145">
        <v>205</v>
      </c>
      <c r="T141" s="148" t="s">
        <v>701</v>
      </c>
      <c r="U141" s="147">
        <v>1</v>
      </c>
      <c r="V141" s="121">
        <v>45</v>
      </c>
      <c r="W141" s="121">
        <v>465</v>
      </c>
      <c r="X141" s="114" t="s">
        <v>84</v>
      </c>
      <c r="Y141" s="115" t="s">
        <v>85</v>
      </c>
      <c r="Z141" s="115" t="s">
        <v>222</v>
      </c>
      <c r="AA141" s="113" t="s">
        <v>87</v>
      </c>
      <c r="AB141" s="122">
        <v>300.95999999999998</v>
      </c>
      <c r="AC141" s="122">
        <f>IF(C141="DENALI", AB141*0.495, IF(C141="SCHNEIDER ELECTRIC", AB141*1.136, IF(C141="WWT", AB141*1.2, AC141)))+AB141</f>
        <v>449.93520000000001</v>
      </c>
      <c r="AD141" s="129">
        <f>AC141-AB141</f>
        <v>148.97520000000003</v>
      </c>
      <c r="AE141" s="122">
        <v>15595.2</v>
      </c>
      <c r="AF141" s="130">
        <f>AB141/U141</f>
        <v>300.95999999999998</v>
      </c>
      <c r="AG141" s="130">
        <f>AB141/V141</f>
        <v>6.6879999999999997</v>
      </c>
      <c r="AH141" s="123">
        <f>AB141/S141</f>
        <v>1.4680975609756097</v>
      </c>
      <c r="AI141" s="124" t="s">
        <v>97</v>
      </c>
      <c r="AJ141" s="125" t="s">
        <v>349</v>
      </c>
      <c r="AK141"/>
      <c r="AM141" s="80"/>
    </row>
    <row r="142" spans="1:39" ht="28.5" customHeight="1">
      <c r="A142" s="113" t="s">
        <v>73</v>
      </c>
      <c r="B142" s="114" t="s">
        <v>74</v>
      </c>
      <c r="C142" s="113" t="s">
        <v>35</v>
      </c>
      <c r="D142" s="113" t="s">
        <v>218</v>
      </c>
      <c r="E142" s="115" t="s">
        <v>702</v>
      </c>
      <c r="F142" s="113" t="s">
        <v>92</v>
      </c>
      <c r="G142" s="116" t="s">
        <v>703</v>
      </c>
      <c r="H142" s="79">
        <v>46098</v>
      </c>
      <c r="I142" s="114" t="s">
        <v>79</v>
      </c>
      <c r="J142" s="117" t="s">
        <v>704</v>
      </c>
      <c r="K142" s="118">
        <v>46099</v>
      </c>
      <c r="L142" s="114" t="s">
        <v>81</v>
      </c>
      <c r="M142" s="119">
        <v>46104</v>
      </c>
      <c r="N142" s="128">
        <v>46104</v>
      </c>
      <c r="O142" s="120">
        <f>NETWORKDAYS.INTL(K142,N142,1,$AM$2:$AM$10)-1</f>
        <v>3</v>
      </c>
      <c r="P142" s="114" t="s">
        <v>81</v>
      </c>
      <c r="Q142" s="114" t="s">
        <v>79</v>
      </c>
      <c r="R142" s="115"/>
      <c r="S142" s="145">
        <v>1052</v>
      </c>
      <c r="T142" s="148" t="s">
        <v>705</v>
      </c>
      <c r="U142" s="147">
        <v>1</v>
      </c>
      <c r="V142" s="121">
        <v>5</v>
      </c>
      <c r="W142" s="121">
        <v>305</v>
      </c>
      <c r="X142" s="114" t="s">
        <v>84</v>
      </c>
      <c r="Y142" s="115" t="s">
        <v>85</v>
      </c>
      <c r="Z142" s="115" t="s">
        <v>342</v>
      </c>
      <c r="AA142" s="113" t="s">
        <v>87</v>
      </c>
      <c r="AB142" s="122">
        <v>419.63</v>
      </c>
      <c r="AC142" s="122">
        <f>IF(C142="DENALI", AB142*0.495, IF(C142="SCHNEIDER ELECTRIC", AB142*1.136, IF(C142="WWT", AB142*1.2, AC142)))+AB142</f>
        <v>627.34685000000002</v>
      </c>
      <c r="AD142" s="129">
        <f>AC142-AB142</f>
        <v>207.71685000000002</v>
      </c>
      <c r="AE142" s="122">
        <v>6348.95</v>
      </c>
      <c r="AF142" s="130">
        <f>AB142/U142</f>
        <v>419.63</v>
      </c>
      <c r="AG142" s="130">
        <f>AB142/V142</f>
        <v>83.926000000000002</v>
      </c>
      <c r="AH142" s="123">
        <f>AB142/S142</f>
        <v>0.39888783269961975</v>
      </c>
      <c r="AI142" s="124" t="s">
        <v>97</v>
      </c>
      <c r="AJ142" s="125" t="s">
        <v>349</v>
      </c>
      <c r="AK142"/>
      <c r="AM142" s="80"/>
    </row>
    <row r="143" spans="1:39" ht="28.5" customHeight="1">
      <c r="A143" s="113" t="s">
        <v>73</v>
      </c>
      <c r="B143" s="114" t="s">
        <v>74</v>
      </c>
      <c r="C143" s="113" t="s">
        <v>35</v>
      </c>
      <c r="D143" s="113" t="s">
        <v>218</v>
      </c>
      <c r="E143" s="115" t="s">
        <v>706</v>
      </c>
      <c r="F143" s="113" t="s">
        <v>213</v>
      </c>
      <c r="G143" s="116" t="s">
        <v>707</v>
      </c>
      <c r="H143" s="79">
        <v>46105</v>
      </c>
      <c r="I143" s="114" t="s">
        <v>79</v>
      </c>
      <c r="J143" s="117" t="s">
        <v>708</v>
      </c>
      <c r="K143" s="118">
        <v>46100</v>
      </c>
      <c r="L143" s="114" t="s">
        <v>81</v>
      </c>
      <c r="M143" s="119">
        <v>46101</v>
      </c>
      <c r="N143" s="128">
        <v>46101</v>
      </c>
      <c r="O143" s="120">
        <f>NETWORKDAYS.INTL(K143,N143,1,$AM$2:$AM$10)-1</f>
        <v>1</v>
      </c>
      <c r="P143" s="114" t="s">
        <v>81</v>
      </c>
      <c r="Q143" s="114" t="s">
        <v>79</v>
      </c>
      <c r="R143" s="115"/>
      <c r="S143" s="145">
        <v>597</v>
      </c>
      <c r="T143" s="148" t="s">
        <v>709</v>
      </c>
      <c r="U143" s="147">
        <v>1</v>
      </c>
      <c r="V143" s="121">
        <v>25</v>
      </c>
      <c r="W143" s="121">
        <v>265</v>
      </c>
      <c r="X143" s="114" t="s">
        <v>84</v>
      </c>
      <c r="Y143" s="115" t="s">
        <v>85</v>
      </c>
      <c r="Z143" s="115" t="s">
        <v>342</v>
      </c>
      <c r="AA143" s="113" t="s">
        <v>87</v>
      </c>
      <c r="AB143" s="122">
        <v>348.88</v>
      </c>
      <c r="AC143" s="122">
        <f>IF(C143="DENALI", AB143*0.495, IF(C143="SCHNEIDER ELECTRIC", AB143*1.136, IF(C143="WWT", AB143*1.2, AC143)))+AB143</f>
        <v>521.57560000000001</v>
      </c>
      <c r="AD143" s="129">
        <f>AC143-AB143</f>
        <v>172.69560000000001</v>
      </c>
      <c r="AE143" s="122">
        <v>8664</v>
      </c>
      <c r="AF143" s="130">
        <f>AB143/U143</f>
        <v>348.88</v>
      </c>
      <c r="AG143" s="130">
        <f>AB143/V143</f>
        <v>13.9552</v>
      </c>
      <c r="AH143" s="123">
        <f>AB143/S143</f>
        <v>0.58438860971524287</v>
      </c>
      <c r="AI143" s="124" t="s">
        <v>97</v>
      </c>
      <c r="AJ143" s="125" t="s">
        <v>349</v>
      </c>
      <c r="AK143"/>
      <c r="AM143" s="80"/>
    </row>
    <row r="144" spans="1:39" ht="28.5" customHeight="1">
      <c r="A144" s="113" t="s">
        <v>73</v>
      </c>
      <c r="B144" s="114" t="s">
        <v>74</v>
      </c>
      <c r="C144" s="113" t="s">
        <v>35</v>
      </c>
      <c r="D144" s="113" t="s">
        <v>218</v>
      </c>
      <c r="E144" s="115" t="s">
        <v>710</v>
      </c>
      <c r="F144" s="113" t="s">
        <v>272</v>
      </c>
      <c r="G144" s="116" t="s">
        <v>711</v>
      </c>
      <c r="H144" s="79">
        <v>46105</v>
      </c>
      <c r="I144" s="114" t="s">
        <v>79</v>
      </c>
      <c r="J144" s="117" t="s">
        <v>712</v>
      </c>
      <c r="K144" s="118">
        <v>46100</v>
      </c>
      <c r="L144" s="114" t="s">
        <v>81</v>
      </c>
      <c r="M144" s="119">
        <v>46101</v>
      </c>
      <c r="N144" s="128">
        <v>46101</v>
      </c>
      <c r="O144" s="120">
        <f>NETWORKDAYS.INTL(K144,N144,1,$AM$2:$AM$10)-1</f>
        <v>1</v>
      </c>
      <c r="P144" s="114" t="s">
        <v>81</v>
      </c>
      <c r="Q144" s="114" t="s">
        <v>79</v>
      </c>
      <c r="R144" s="115"/>
      <c r="S144" s="145">
        <v>182</v>
      </c>
      <c r="T144" s="148" t="s">
        <v>713</v>
      </c>
      <c r="U144" s="147">
        <v>1</v>
      </c>
      <c r="V144" s="121">
        <v>20</v>
      </c>
      <c r="W144" s="121">
        <v>210</v>
      </c>
      <c r="X144" s="114" t="s">
        <v>84</v>
      </c>
      <c r="Y144" s="115" t="s">
        <v>85</v>
      </c>
      <c r="Z144" s="115" t="s">
        <v>86</v>
      </c>
      <c r="AA144" s="113" t="s">
        <v>87</v>
      </c>
      <c r="AB144" s="122">
        <v>152.71</v>
      </c>
      <c r="AC144" s="122">
        <f>IF(C144="DENALI", AB144*0.495, IF(C144="SCHNEIDER ELECTRIC", AB144*1.136, IF(C144="WWT", AB144*1.2, AC144)))+AB144</f>
        <v>228.30145000000002</v>
      </c>
      <c r="AD144" s="129">
        <f>AC144-AB144</f>
        <v>75.591450000000009</v>
      </c>
      <c r="AE144" s="122">
        <v>6931.2</v>
      </c>
      <c r="AF144" s="130">
        <f>AB144/U144</f>
        <v>152.71</v>
      </c>
      <c r="AG144" s="130">
        <f>AB144/V144</f>
        <v>7.6355000000000004</v>
      </c>
      <c r="AH144" s="123">
        <f>AB144/S144</f>
        <v>0.8390659340659341</v>
      </c>
      <c r="AI144" s="124" t="s">
        <v>97</v>
      </c>
      <c r="AJ144" s="125" t="s">
        <v>349</v>
      </c>
      <c r="AK144"/>
      <c r="AM144" s="80"/>
    </row>
    <row r="145" spans="1:39" ht="28.5" customHeight="1">
      <c r="A145" s="113" t="s">
        <v>73</v>
      </c>
      <c r="B145" s="114" t="s">
        <v>74</v>
      </c>
      <c r="C145" s="113" t="s">
        <v>35</v>
      </c>
      <c r="D145" s="113" t="s">
        <v>218</v>
      </c>
      <c r="E145" s="115" t="s">
        <v>571</v>
      </c>
      <c r="F145" s="113" t="s">
        <v>75</v>
      </c>
      <c r="G145" s="116" t="s">
        <v>714</v>
      </c>
      <c r="H145" s="79">
        <v>46105</v>
      </c>
      <c r="I145" s="114" t="s">
        <v>79</v>
      </c>
      <c r="J145" s="117" t="s">
        <v>715</v>
      </c>
      <c r="K145" s="118">
        <v>46100</v>
      </c>
      <c r="L145" s="114" t="s">
        <v>81</v>
      </c>
      <c r="M145" s="119">
        <v>46101</v>
      </c>
      <c r="N145" s="128">
        <v>46104</v>
      </c>
      <c r="O145" s="120">
        <f>NETWORKDAYS.INTL(K145,N145,1,$AM$2:$AM$10)-1</f>
        <v>2</v>
      </c>
      <c r="P145" s="114" t="s">
        <v>81</v>
      </c>
      <c r="Q145" s="114" t="s">
        <v>79</v>
      </c>
      <c r="R145" s="115"/>
      <c r="S145" s="145">
        <v>549</v>
      </c>
      <c r="T145" s="148" t="s">
        <v>716</v>
      </c>
      <c r="U145" s="147">
        <v>1</v>
      </c>
      <c r="V145" s="121">
        <v>40</v>
      </c>
      <c r="W145" s="121">
        <v>400</v>
      </c>
      <c r="X145" s="114" t="s">
        <v>84</v>
      </c>
      <c r="Y145" s="115" t="s">
        <v>85</v>
      </c>
      <c r="Z145" s="115" t="s">
        <v>222</v>
      </c>
      <c r="AA145" s="113" t="s">
        <v>87</v>
      </c>
      <c r="AB145" s="122">
        <v>157.21</v>
      </c>
      <c r="AC145" s="122">
        <f>IF(C145="DENALI", AB145*0.495, IF(C145="SCHNEIDER ELECTRIC", AB145*1.136, IF(C145="WWT", AB145*1.2, AC145)))+AB145</f>
        <v>235.02895000000001</v>
      </c>
      <c r="AD145" s="129">
        <f>AC145-AB145</f>
        <v>77.818950000000001</v>
      </c>
      <c r="AE145" s="122">
        <v>13862.4</v>
      </c>
      <c r="AF145" s="130">
        <f>AB145/U145</f>
        <v>157.21</v>
      </c>
      <c r="AG145" s="130">
        <f>AB145/V145</f>
        <v>3.93025</v>
      </c>
      <c r="AH145" s="123">
        <f>AB145/S145</f>
        <v>0.28635701275045539</v>
      </c>
      <c r="AI145" s="124" t="s">
        <v>575</v>
      </c>
      <c r="AJ145" s="125" t="s">
        <v>343</v>
      </c>
      <c r="AK145"/>
      <c r="AM145" s="80"/>
    </row>
    <row r="146" spans="1:39" ht="76.5">
      <c r="A146" s="113" t="s">
        <v>73</v>
      </c>
      <c r="B146" s="114" t="s">
        <v>140</v>
      </c>
      <c r="C146" s="113" t="s">
        <v>35</v>
      </c>
      <c r="D146" s="113" t="s">
        <v>218</v>
      </c>
      <c r="E146" s="115" t="s">
        <v>141</v>
      </c>
      <c r="F146" s="113" t="s">
        <v>142</v>
      </c>
      <c r="G146" s="116" t="s">
        <v>717</v>
      </c>
      <c r="H146" s="79">
        <v>46104</v>
      </c>
      <c r="I146" s="114" t="s">
        <v>79</v>
      </c>
      <c r="J146" s="117" t="s">
        <v>718</v>
      </c>
      <c r="K146" s="118">
        <v>46099</v>
      </c>
      <c r="L146" s="114" t="s">
        <v>81</v>
      </c>
      <c r="M146" s="119">
        <v>46101</v>
      </c>
      <c r="N146" s="128">
        <v>46101</v>
      </c>
      <c r="O146" s="120">
        <f>NETWORKDAYS.INTL(K146,N146,1,$AM$2:$AM$10)-1</f>
        <v>2</v>
      </c>
      <c r="P146" s="114" t="s">
        <v>81</v>
      </c>
      <c r="Q146" s="114" t="s">
        <v>79</v>
      </c>
      <c r="R146" s="115"/>
      <c r="S146" s="145">
        <v>441</v>
      </c>
      <c r="T146" s="148" t="s">
        <v>719</v>
      </c>
      <c r="U146" s="147">
        <v>5</v>
      </c>
      <c r="V146" s="121">
        <v>209</v>
      </c>
      <c r="W146" s="121">
        <v>1345</v>
      </c>
      <c r="X146" s="114" t="s">
        <v>84</v>
      </c>
      <c r="Y146" s="115" t="s">
        <v>85</v>
      </c>
      <c r="Z146" s="115" t="s">
        <v>342</v>
      </c>
      <c r="AA146" s="113" t="s">
        <v>87</v>
      </c>
      <c r="AB146" s="122">
        <v>477.48</v>
      </c>
      <c r="AC146" s="122">
        <f>IF(C146="DENALI", AB146*0.495, IF(C146="SCHNEIDER ELECTRIC", AB146*1.136, IF(C146="WWT", AB146*1.2, AC146)))+AB146</f>
        <v>713.83259999999996</v>
      </c>
      <c r="AD146" s="129">
        <f>AC146-AB146</f>
        <v>236.35259999999994</v>
      </c>
      <c r="AE146" s="122">
        <v>42782.080000000002</v>
      </c>
      <c r="AF146" s="130">
        <f>AB146/U146</f>
        <v>95.496000000000009</v>
      </c>
      <c r="AG146" s="130">
        <f>AB146/V146</f>
        <v>2.284593301435407</v>
      </c>
      <c r="AH146" s="123">
        <f>AB146/S146</f>
        <v>1.0827210884353742</v>
      </c>
      <c r="AI146" s="124" t="s">
        <v>97</v>
      </c>
      <c r="AJ146" s="125" t="s">
        <v>379</v>
      </c>
      <c r="AK146"/>
      <c r="AM146" s="80"/>
    </row>
    <row r="147" spans="1:39" ht="28.5" customHeight="1">
      <c r="A147" s="113" t="s">
        <v>73</v>
      </c>
      <c r="B147" s="114" t="s">
        <v>140</v>
      </c>
      <c r="C147" s="113" t="s">
        <v>35</v>
      </c>
      <c r="D147" s="113" t="s">
        <v>218</v>
      </c>
      <c r="E147" s="115" t="s">
        <v>141</v>
      </c>
      <c r="F147" s="113" t="s">
        <v>142</v>
      </c>
      <c r="G147" s="116" t="s">
        <v>720</v>
      </c>
      <c r="H147" s="79">
        <v>46105</v>
      </c>
      <c r="I147" s="114" t="s">
        <v>79</v>
      </c>
      <c r="J147" s="117" t="s">
        <v>721</v>
      </c>
      <c r="K147" s="118">
        <v>46100</v>
      </c>
      <c r="L147" s="114" t="s">
        <v>81</v>
      </c>
      <c r="M147" s="119">
        <v>46104</v>
      </c>
      <c r="N147" s="128">
        <v>46104</v>
      </c>
      <c r="O147" s="120">
        <f>NETWORKDAYS.INTL(K147,N147,1,$AM$2:$AM$10)-1</f>
        <v>2</v>
      </c>
      <c r="P147" s="114" t="s">
        <v>81</v>
      </c>
      <c r="Q147" s="114" t="s">
        <v>79</v>
      </c>
      <c r="R147" s="115"/>
      <c r="S147" s="145">
        <v>441</v>
      </c>
      <c r="T147" s="148" t="s">
        <v>722</v>
      </c>
      <c r="U147" s="147">
        <v>1</v>
      </c>
      <c r="V147" s="121">
        <v>75000</v>
      </c>
      <c r="W147" s="121">
        <v>1015</v>
      </c>
      <c r="X147" s="114" t="s">
        <v>84</v>
      </c>
      <c r="Y147" s="115" t="s">
        <v>85</v>
      </c>
      <c r="Z147" s="115" t="s">
        <v>234</v>
      </c>
      <c r="AA147" s="113" t="s">
        <v>87</v>
      </c>
      <c r="AB147" s="122">
        <v>238.53</v>
      </c>
      <c r="AC147" s="122">
        <f>IF(C147="DENALI", AB147*0.495, IF(C147="SCHNEIDER ELECTRIC", AB147*1.136, IF(C147="WWT", AB147*1.2, AC147)))+AB147</f>
        <v>356.60235</v>
      </c>
      <c r="AD147" s="129">
        <f>AC147-AB147</f>
        <v>118.07235</v>
      </c>
      <c r="AE147" s="122">
        <v>153959.25</v>
      </c>
      <c r="AF147" s="130">
        <f>AB147/U147</f>
        <v>238.53</v>
      </c>
      <c r="AG147" s="130">
        <f>AB147/V147</f>
        <v>3.1803999999999999E-3</v>
      </c>
      <c r="AH147" s="123">
        <f>AB147/S147</f>
        <v>0.54088435374149657</v>
      </c>
      <c r="AI147" s="124" t="s">
        <v>97</v>
      </c>
      <c r="AJ147" s="125" t="s">
        <v>349</v>
      </c>
      <c r="AK147"/>
      <c r="AM147" s="80"/>
    </row>
    <row r="148" spans="1:39" ht="28.5" customHeight="1">
      <c r="A148" s="113" t="s">
        <v>73</v>
      </c>
      <c r="B148" s="114" t="s">
        <v>74</v>
      </c>
      <c r="C148" s="113" t="s">
        <v>35</v>
      </c>
      <c r="D148" s="113" t="s">
        <v>218</v>
      </c>
      <c r="E148" s="115" t="s">
        <v>242</v>
      </c>
      <c r="F148" s="113" t="s">
        <v>243</v>
      </c>
      <c r="G148" s="116">
        <v>22541660</v>
      </c>
      <c r="H148" s="79">
        <v>46105</v>
      </c>
      <c r="I148" s="114" t="s">
        <v>79</v>
      </c>
      <c r="J148" s="117" t="s">
        <v>723</v>
      </c>
      <c r="K148" s="118">
        <v>46100</v>
      </c>
      <c r="L148" s="114" t="s">
        <v>79</v>
      </c>
      <c r="M148" s="119">
        <v>46136</v>
      </c>
      <c r="N148" s="128">
        <v>46105</v>
      </c>
      <c r="O148" s="120">
        <f>NETWORKDAYS.INTL(K148,N148,1,$AM$2:$AM$10)-1</f>
        <v>3</v>
      </c>
      <c r="P148" s="114" t="s">
        <v>81</v>
      </c>
      <c r="Q148" s="114" t="s">
        <v>79</v>
      </c>
      <c r="R148" s="115"/>
      <c r="S148" s="145">
        <v>858</v>
      </c>
      <c r="T148" s="148" t="s">
        <v>724</v>
      </c>
      <c r="U148" s="147">
        <v>13</v>
      </c>
      <c r="V148" s="121">
        <v>4470</v>
      </c>
      <c r="W148" s="121">
        <v>10945</v>
      </c>
      <c r="X148" s="114" t="s">
        <v>113</v>
      </c>
      <c r="Y148" s="115" t="s">
        <v>85</v>
      </c>
      <c r="Z148" s="115" t="s">
        <v>725</v>
      </c>
      <c r="AA148" s="113" t="s">
        <v>87</v>
      </c>
      <c r="AB148" s="122">
        <v>3356</v>
      </c>
      <c r="AC148" s="122">
        <f>IF(C148="DENALI", AB148*0.495, IF(C148="SCHNEIDER ELECTRIC", AB148*1.136, IF(C148="WWT", AB148*1.2, AC148)))+AB148</f>
        <v>5017.22</v>
      </c>
      <c r="AD148" s="129">
        <f>AC148-AB148</f>
        <v>1661.2200000000003</v>
      </c>
      <c r="AE148" s="122">
        <v>1375860.55</v>
      </c>
      <c r="AF148" s="130">
        <f>AB148/U148</f>
        <v>258.15384615384613</v>
      </c>
      <c r="AG148" s="130">
        <f>AB148/V148</f>
        <v>0.7507829977628635</v>
      </c>
      <c r="AH148" s="123">
        <f>AB148/S148</f>
        <v>3.9114219114219115</v>
      </c>
      <c r="AI148" s="124" t="s">
        <v>97</v>
      </c>
      <c r="AJ148" s="125" t="s">
        <v>349</v>
      </c>
      <c r="AK148"/>
      <c r="AM148" s="80"/>
    </row>
    <row r="149" spans="1:39" ht="28.5" customHeight="1">
      <c r="A149" s="113" t="s">
        <v>73</v>
      </c>
      <c r="B149" s="114" t="s">
        <v>74</v>
      </c>
      <c r="C149" s="113" t="s">
        <v>35</v>
      </c>
      <c r="D149" s="113" t="s">
        <v>218</v>
      </c>
      <c r="E149" s="115" t="s">
        <v>726</v>
      </c>
      <c r="F149" s="113" t="s">
        <v>457</v>
      </c>
      <c r="G149" s="116" t="s">
        <v>727</v>
      </c>
      <c r="H149" s="79">
        <v>46105</v>
      </c>
      <c r="I149" s="114" t="s">
        <v>79</v>
      </c>
      <c r="J149" s="117" t="s">
        <v>728</v>
      </c>
      <c r="K149" s="118">
        <v>46100</v>
      </c>
      <c r="L149" s="114" t="s">
        <v>81</v>
      </c>
      <c r="M149" s="119">
        <v>46105</v>
      </c>
      <c r="N149" s="128">
        <v>46111</v>
      </c>
      <c r="O149" s="120">
        <f>NETWORKDAYS.INTL(K149,N149,1,$AM$2:$AM$10)-1</f>
        <v>7</v>
      </c>
      <c r="P149" s="114" t="s">
        <v>79</v>
      </c>
      <c r="Q149" s="114" t="s">
        <v>79</v>
      </c>
      <c r="R149" s="115" t="s">
        <v>729</v>
      </c>
      <c r="S149" s="145">
        <v>381</v>
      </c>
      <c r="T149" s="148" t="s">
        <v>730</v>
      </c>
      <c r="U149" s="147">
        <v>1</v>
      </c>
      <c r="V149" s="121">
        <v>86</v>
      </c>
      <c r="W149" s="121">
        <v>460</v>
      </c>
      <c r="X149" s="114" t="s">
        <v>84</v>
      </c>
      <c r="Y149" s="115" t="s">
        <v>85</v>
      </c>
      <c r="Z149" s="115" t="s">
        <v>474</v>
      </c>
      <c r="AA149" s="113" t="s">
        <v>87</v>
      </c>
      <c r="AB149" s="122">
        <v>332.61</v>
      </c>
      <c r="AC149" s="122">
        <f>IF(C149="DENALI", AB149*0.495, IF(C149="SCHNEIDER ELECTRIC", AB149*1.136, IF(C149="WWT", AB149*1.2, AC149)))+AB149</f>
        <v>497.25195000000002</v>
      </c>
      <c r="AD149" s="129">
        <f>AC149-AB149</f>
        <v>164.64195000000001</v>
      </c>
      <c r="AE149" s="122">
        <v>25414.48</v>
      </c>
      <c r="AF149" s="130">
        <f>AB149/U149</f>
        <v>332.61</v>
      </c>
      <c r="AG149" s="130">
        <f>AB149/V149</f>
        <v>3.8675581395348839</v>
      </c>
      <c r="AH149" s="123">
        <f>AB149/S149</f>
        <v>0.87299212598425202</v>
      </c>
      <c r="AI149" s="124" t="s">
        <v>97</v>
      </c>
      <c r="AJ149" s="125" t="s">
        <v>349</v>
      </c>
      <c r="AK149"/>
      <c r="AM149" s="80"/>
    </row>
    <row r="150" spans="1:39" ht="28.5" customHeight="1">
      <c r="A150" s="113" t="s">
        <v>73</v>
      </c>
      <c r="B150" s="114" t="s">
        <v>74</v>
      </c>
      <c r="C150" s="113" t="s">
        <v>35</v>
      </c>
      <c r="D150" s="113" t="s">
        <v>218</v>
      </c>
      <c r="E150" s="115" t="s">
        <v>731</v>
      </c>
      <c r="F150" s="113" t="s">
        <v>457</v>
      </c>
      <c r="G150" s="116" t="s">
        <v>732</v>
      </c>
      <c r="H150" s="79">
        <v>46105</v>
      </c>
      <c r="I150" s="114" t="s">
        <v>79</v>
      </c>
      <c r="J150" s="117" t="s">
        <v>733</v>
      </c>
      <c r="K150" s="118">
        <v>46100</v>
      </c>
      <c r="L150" s="114" t="s">
        <v>81</v>
      </c>
      <c r="M150" s="119">
        <v>46105</v>
      </c>
      <c r="N150" s="128">
        <v>46112</v>
      </c>
      <c r="O150" s="120">
        <f>NETWORKDAYS.INTL(K150,N150,1,$AM$2:$AM$10)-1</f>
        <v>8</v>
      </c>
      <c r="P150" s="114" t="s">
        <v>79</v>
      </c>
      <c r="Q150" s="114" t="s">
        <v>79</v>
      </c>
      <c r="R150" s="115" t="s">
        <v>734</v>
      </c>
      <c r="S150" s="145">
        <v>378</v>
      </c>
      <c r="T150" s="148" t="s">
        <v>735</v>
      </c>
      <c r="U150" s="147">
        <v>1</v>
      </c>
      <c r="V150" s="121">
        <v>4</v>
      </c>
      <c r="W150" s="121">
        <v>610</v>
      </c>
      <c r="X150" s="114" t="s">
        <v>84</v>
      </c>
      <c r="Y150" s="115" t="s">
        <v>85</v>
      </c>
      <c r="Z150" s="115" t="s">
        <v>474</v>
      </c>
      <c r="AA150" s="113" t="s">
        <v>87</v>
      </c>
      <c r="AB150" s="122">
        <v>370.12</v>
      </c>
      <c r="AC150" s="122">
        <f>IF(C150="DENALI", AB150*0.495, IF(C150="SCHNEIDER ELECTRIC", AB150*1.136, IF(C150="WWT", AB150*1.2, AC150)))+AB150</f>
        <v>553.32939999999996</v>
      </c>
      <c r="AD150" s="129">
        <f>AC150-AB150</f>
        <v>183.20939999999996</v>
      </c>
      <c r="AE150" s="122">
        <v>1729.48</v>
      </c>
      <c r="AF150" s="130">
        <f>AB150/U150</f>
        <v>370.12</v>
      </c>
      <c r="AG150" s="130">
        <f>AB150/V150</f>
        <v>92.53</v>
      </c>
      <c r="AH150" s="123">
        <f>AB150/S150</f>
        <v>0.97915343915343922</v>
      </c>
      <c r="AI150" s="124" t="s">
        <v>97</v>
      </c>
      <c r="AJ150" s="125" t="s">
        <v>349</v>
      </c>
      <c r="AK150"/>
      <c r="AM150" s="80"/>
    </row>
    <row r="151" spans="1:39" ht="28.5" customHeight="1">
      <c r="A151" s="113" t="s">
        <v>73</v>
      </c>
      <c r="B151" s="114" t="s">
        <v>74</v>
      </c>
      <c r="C151" s="113" t="s">
        <v>35</v>
      </c>
      <c r="D151" s="113" t="s">
        <v>218</v>
      </c>
      <c r="E151" s="115" t="s">
        <v>736</v>
      </c>
      <c r="F151" s="113" t="s">
        <v>109</v>
      </c>
      <c r="G151" s="116">
        <v>22542223</v>
      </c>
      <c r="H151" s="79">
        <v>46105</v>
      </c>
      <c r="I151" s="114" t="s">
        <v>79</v>
      </c>
      <c r="J151" s="117" t="s">
        <v>737</v>
      </c>
      <c r="K151" s="118">
        <v>46100</v>
      </c>
      <c r="L151" s="114" t="s">
        <v>81</v>
      </c>
      <c r="M151" s="119">
        <v>46101</v>
      </c>
      <c r="N151" s="128">
        <v>46101</v>
      </c>
      <c r="O151" s="120">
        <f>NETWORKDAYS.INTL(K151,N151,1,$AM$2:$AM$10)-1</f>
        <v>1</v>
      </c>
      <c r="P151" s="114" t="s">
        <v>81</v>
      </c>
      <c r="Q151" s="114" t="s">
        <v>79</v>
      </c>
      <c r="R151" s="115"/>
      <c r="S151" s="145">
        <v>1262</v>
      </c>
      <c r="T151" s="148" t="s">
        <v>738</v>
      </c>
      <c r="U151" s="147">
        <v>9</v>
      </c>
      <c r="V151" s="121">
        <v>2734</v>
      </c>
      <c r="W151" s="121">
        <v>7140</v>
      </c>
      <c r="X151" s="114" t="s">
        <v>113</v>
      </c>
      <c r="Y151" s="115" t="s">
        <v>85</v>
      </c>
      <c r="Z151" s="115" t="s">
        <v>739</v>
      </c>
      <c r="AA151" s="113" t="s">
        <v>87</v>
      </c>
      <c r="AB151" s="122">
        <v>4598</v>
      </c>
      <c r="AC151" s="122">
        <f>IF(C151="DENALI", AB151*0.495, IF(C151="SCHNEIDER ELECTRIC", AB151*1.136, IF(C151="WWT", AB151*1.2, AC151)))+AB151</f>
        <v>6874.01</v>
      </c>
      <c r="AD151" s="129">
        <f>AC151-AB151</f>
        <v>2276.0100000000002</v>
      </c>
      <c r="AE151" s="122">
        <v>843872.94</v>
      </c>
      <c r="AF151" s="130">
        <f>AB151/U151</f>
        <v>510.88888888888891</v>
      </c>
      <c r="AG151" s="130">
        <f>AB151/V151</f>
        <v>1.681784930504755</v>
      </c>
      <c r="AH151" s="123">
        <f>AB151/S151</f>
        <v>3.6434231378763866</v>
      </c>
      <c r="AI151" s="124" t="s">
        <v>97</v>
      </c>
      <c r="AJ151" s="125" t="s">
        <v>349</v>
      </c>
      <c r="AK151"/>
      <c r="AM151" s="80"/>
    </row>
    <row r="152" spans="1:39" ht="28.5" customHeight="1">
      <c r="A152" s="113" t="s">
        <v>73</v>
      </c>
      <c r="B152" s="114" t="s">
        <v>74</v>
      </c>
      <c r="C152" s="113" t="s">
        <v>36</v>
      </c>
      <c r="D152" s="113" t="s">
        <v>90</v>
      </c>
      <c r="E152" s="115" t="s">
        <v>438</v>
      </c>
      <c r="F152" s="113" t="s">
        <v>92</v>
      </c>
      <c r="G152" s="116" t="s">
        <v>740</v>
      </c>
      <c r="H152" s="79">
        <v>46106</v>
      </c>
      <c r="I152" s="114" t="s">
        <v>79</v>
      </c>
      <c r="J152" s="117" t="s">
        <v>741</v>
      </c>
      <c r="K152" s="118">
        <v>46101</v>
      </c>
      <c r="L152" s="114" t="s">
        <v>81</v>
      </c>
      <c r="M152" s="119">
        <v>46106</v>
      </c>
      <c r="N152" s="128">
        <v>46106</v>
      </c>
      <c r="O152" s="120">
        <f>NETWORKDAYS.INTL(K152,N152,1,$AM$2:$AM$10)-1</f>
        <v>3</v>
      </c>
      <c r="P152" s="114" t="s">
        <v>81</v>
      </c>
      <c r="Q152" s="114" t="s">
        <v>79</v>
      </c>
      <c r="R152" s="115"/>
      <c r="S152" s="145">
        <v>1517</v>
      </c>
      <c r="T152" s="148" t="s">
        <v>742</v>
      </c>
      <c r="U152" s="147">
        <v>1</v>
      </c>
      <c r="V152" s="121">
        <v>5</v>
      </c>
      <c r="W152" s="121">
        <v>234</v>
      </c>
      <c r="X152" s="114" t="s">
        <v>84</v>
      </c>
      <c r="Y152" s="115" t="s">
        <v>85</v>
      </c>
      <c r="Z152" s="115" t="s">
        <v>86</v>
      </c>
      <c r="AA152" s="113" t="s">
        <v>87</v>
      </c>
      <c r="AB152" s="122">
        <v>276.33</v>
      </c>
      <c r="AC152" s="122">
        <f>IF(C152="DENALI", AB152*0.495, IF(C152="SCHNEIDER ELECTRIC", AB152*1.136, IF(C152="WWT", AB152*1.2, AC152)))+AB152</f>
        <v>590.24087999999995</v>
      </c>
      <c r="AD152" s="129">
        <f>AC152-AB152</f>
        <v>313.91087999999996</v>
      </c>
      <c r="AE152" s="122">
        <v>2712.35</v>
      </c>
      <c r="AF152" s="130">
        <f>AB152/U152</f>
        <v>276.33</v>
      </c>
      <c r="AG152" s="130">
        <f>AB152/V152</f>
        <v>55.265999999999998</v>
      </c>
      <c r="AH152" s="123">
        <f>AB152/S152</f>
        <v>0.18215557020435069</v>
      </c>
      <c r="AI152" s="124" t="s">
        <v>97</v>
      </c>
      <c r="AJ152" s="125" t="s">
        <v>349</v>
      </c>
      <c r="AK152"/>
      <c r="AM152" s="80"/>
    </row>
    <row r="153" spans="1:39" ht="28.5" customHeight="1">
      <c r="A153" s="113" t="s">
        <v>73</v>
      </c>
      <c r="B153" s="114" t="s">
        <v>140</v>
      </c>
      <c r="C153" s="113" t="s">
        <v>36</v>
      </c>
      <c r="D153" s="113" t="s">
        <v>90</v>
      </c>
      <c r="E153" s="115" t="s">
        <v>141</v>
      </c>
      <c r="F153" s="113" t="s">
        <v>142</v>
      </c>
      <c r="G153" s="116" t="s">
        <v>743</v>
      </c>
      <c r="H153" s="79">
        <v>46105</v>
      </c>
      <c r="I153" s="114" t="s">
        <v>79</v>
      </c>
      <c r="J153" s="117" t="s">
        <v>744</v>
      </c>
      <c r="K153" s="118">
        <v>46100</v>
      </c>
      <c r="L153" s="114" t="s">
        <v>81</v>
      </c>
      <c r="M153" s="119">
        <v>46106</v>
      </c>
      <c r="N153" s="128">
        <v>46111</v>
      </c>
      <c r="O153" s="120">
        <f>NETWORKDAYS.INTL(K153,N153,1,$AM$2:$AM$10)-1</f>
        <v>7</v>
      </c>
      <c r="P153" s="114" t="s">
        <v>79</v>
      </c>
      <c r="Q153" s="114" t="s">
        <v>79</v>
      </c>
      <c r="R153" s="115" t="s">
        <v>745</v>
      </c>
      <c r="S153" s="145">
        <v>1987</v>
      </c>
      <c r="T153" s="148" t="s">
        <v>746</v>
      </c>
      <c r="U153" s="147">
        <v>1</v>
      </c>
      <c r="V153" s="121">
        <v>4</v>
      </c>
      <c r="W153" s="121">
        <v>327</v>
      </c>
      <c r="X153" s="114" t="s">
        <v>84</v>
      </c>
      <c r="Y153" s="115" t="s">
        <v>85</v>
      </c>
      <c r="Z153" s="115" t="s">
        <v>86</v>
      </c>
      <c r="AA153" s="113" t="s">
        <v>87</v>
      </c>
      <c r="AB153" s="122">
        <v>321.18</v>
      </c>
      <c r="AC153" s="122">
        <f>IF(C153="DENALI", AB153*0.495, IF(C153="SCHNEIDER ELECTRIC", AB153*1.136, IF(C153="WWT", AB153*1.2, AC153)))+AB153</f>
        <v>686.04048</v>
      </c>
      <c r="AD153" s="129">
        <f>AC153-AB153</f>
        <v>364.86048</v>
      </c>
      <c r="AE153" s="122">
        <v>4649.72</v>
      </c>
      <c r="AF153" s="130">
        <f>AB153/U153</f>
        <v>321.18</v>
      </c>
      <c r="AG153" s="130">
        <f>AB153/V153</f>
        <v>80.295000000000002</v>
      </c>
      <c r="AH153" s="123">
        <f>AB153/S153</f>
        <v>0.16164066431806745</v>
      </c>
      <c r="AI153" s="124" t="s">
        <v>155</v>
      </c>
      <c r="AJ153" s="125" t="s">
        <v>89</v>
      </c>
      <c r="AK153"/>
      <c r="AM153" s="80"/>
    </row>
    <row r="154" spans="1:39" ht="28.5" customHeight="1">
      <c r="A154" s="113" t="s">
        <v>73</v>
      </c>
      <c r="B154" s="114" t="s">
        <v>74</v>
      </c>
      <c r="C154" s="113" t="s">
        <v>36</v>
      </c>
      <c r="D154" s="113" t="s">
        <v>90</v>
      </c>
      <c r="E154" s="115" t="s">
        <v>747</v>
      </c>
      <c r="F154" s="113" t="s">
        <v>585</v>
      </c>
      <c r="G154" s="116" t="s">
        <v>748</v>
      </c>
      <c r="H154" s="79">
        <v>46105</v>
      </c>
      <c r="I154" s="114" t="s">
        <v>79</v>
      </c>
      <c r="J154" s="117" t="s">
        <v>749</v>
      </c>
      <c r="K154" s="118">
        <v>46100</v>
      </c>
      <c r="L154" s="114" t="s">
        <v>81</v>
      </c>
      <c r="M154" s="119">
        <v>46101</v>
      </c>
      <c r="N154" s="128">
        <v>46101</v>
      </c>
      <c r="O154" s="120">
        <f>NETWORKDAYS.INTL(K154,N154,1,$AM$2:$AM$10)-1</f>
        <v>1</v>
      </c>
      <c r="P154" s="114" t="s">
        <v>81</v>
      </c>
      <c r="Q154" s="114" t="s">
        <v>79</v>
      </c>
      <c r="R154" s="115"/>
      <c r="S154" s="145">
        <v>461</v>
      </c>
      <c r="T154" s="148" t="s">
        <v>750</v>
      </c>
      <c r="U154" s="147">
        <v>1</v>
      </c>
      <c r="V154" s="121">
        <v>16</v>
      </c>
      <c r="W154" s="121">
        <v>658</v>
      </c>
      <c r="X154" s="114" t="s">
        <v>84</v>
      </c>
      <c r="Y154" s="115" t="s">
        <v>85</v>
      </c>
      <c r="Z154" s="115" t="s">
        <v>86</v>
      </c>
      <c r="AA154" s="113" t="s">
        <v>87</v>
      </c>
      <c r="AB154" s="122">
        <v>228.22</v>
      </c>
      <c r="AC154" s="122">
        <f>IF(C154="DENALI", AB154*0.495, IF(C154="SCHNEIDER ELECTRIC", AB154*1.136, IF(C154="WWT", AB154*1.2, AC154)))+AB154</f>
        <v>487.47791999999993</v>
      </c>
      <c r="AD154" s="129">
        <f>AC154-AB154</f>
        <v>259.2579199999999</v>
      </c>
      <c r="AE154" s="122">
        <v>6602.16</v>
      </c>
      <c r="AF154" s="130">
        <f>AB154/U154</f>
        <v>228.22</v>
      </c>
      <c r="AG154" s="130">
        <f>AB154/V154</f>
        <v>14.26375</v>
      </c>
      <c r="AH154" s="123">
        <f>AB154/S154</f>
        <v>0.49505422993492409</v>
      </c>
      <c r="AI154" s="124" t="s">
        <v>147</v>
      </c>
      <c r="AJ154" s="125" t="s">
        <v>343</v>
      </c>
      <c r="AK154"/>
      <c r="AM154" s="80"/>
    </row>
    <row r="155" spans="1:39" ht="28.5" customHeight="1">
      <c r="A155" s="113" t="s">
        <v>73</v>
      </c>
      <c r="B155" s="114" t="s">
        <v>74</v>
      </c>
      <c r="C155" s="113" t="s">
        <v>36</v>
      </c>
      <c r="D155" s="113" t="s">
        <v>90</v>
      </c>
      <c r="E155" s="115" t="s">
        <v>751</v>
      </c>
      <c r="F155" s="113" t="s">
        <v>92</v>
      </c>
      <c r="G155" s="116" t="s">
        <v>752</v>
      </c>
      <c r="H155" s="79">
        <v>46106</v>
      </c>
      <c r="I155" s="114" t="s">
        <v>79</v>
      </c>
      <c r="J155" s="117" t="s">
        <v>753</v>
      </c>
      <c r="K155" s="118">
        <v>46100</v>
      </c>
      <c r="L155" s="114" t="s">
        <v>79</v>
      </c>
      <c r="M155" s="119">
        <v>46107</v>
      </c>
      <c r="N155" s="128">
        <v>46111</v>
      </c>
      <c r="O155" s="120">
        <f>NETWORKDAYS.INTL(K155,N155,1,$AM$2:$AM$10)-1</f>
        <v>7</v>
      </c>
      <c r="P155" s="114" t="s">
        <v>79</v>
      </c>
      <c r="Q155" s="114" t="s">
        <v>79</v>
      </c>
      <c r="R155" s="115" t="s">
        <v>754</v>
      </c>
      <c r="S155" s="145">
        <v>1383</v>
      </c>
      <c r="T155" s="148" t="s">
        <v>755</v>
      </c>
      <c r="U155" s="147">
        <v>1</v>
      </c>
      <c r="V155" s="121">
        <v>4</v>
      </c>
      <c r="W155" s="121">
        <v>348</v>
      </c>
      <c r="X155" s="114" t="s">
        <v>84</v>
      </c>
      <c r="Y155" s="115" t="s">
        <v>85</v>
      </c>
      <c r="Z155" s="115" t="s">
        <v>621</v>
      </c>
      <c r="AA155" s="113" t="s">
        <v>87</v>
      </c>
      <c r="AB155" s="122">
        <v>236.63</v>
      </c>
      <c r="AC155" s="122">
        <f>IF(C155="DENALI", AB155*0.495, IF(C155="SCHNEIDER ELECTRIC", AB155*1.136, IF(C155="WWT", AB155*1.2, AC155)))+AB155</f>
        <v>505.44167999999996</v>
      </c>
      <c r="AD155" s="129">
        <f>AC155-AB155</f>
        <v>268.81167999999997</v>
      </c>
      <c r="AE155" s="122">
        <v>2085.2800000000002</v>
      </c>
      <c r="AF155" s="130">
        <f>AB155/U155</f>
        <v>236.63</v>
      </c>
      <c r="AG155" s="130">
        <f>AB155/V155</f>
        <v>59.157499999999999</v>
      </c>
      <c r="AH155" s="123">
        <f>AB155/S155</f>
        <v>0.17109906001446132</v>
      </c>
      <c r="AI155" s="124" t="s">
        <v>97</v>
      </c>
      <c r="AJ155" s="125" t="s">
        <v>349</v>
      </c>
      <c r="AK155"/>
      <c r="AM155" s="80"/>
    </row>
    <row r="156" spans="1:39" ht="28.5" customHeight="1">
      <c r="A156" s="113" t="s">
        <v>73</v>
      </c>
      <c r="B156" s="114" t="s">
        <v>140</v>
      </c>
      <c r="C156" s="113" t="s">
        <v>36</v>
      </c>
      <c r="D156" s="113" t="s">
        <v>90</v>
      </c>
      <c r="E156" s="115" t="s">
        <v>141</v>
      </c>
      <c r="F156" s="113" t="s">
        <v>142</v>
      </c>
      <c r="G156" s="116" t="s">
        <v>756</v>
      </c>
      <c r="H156" s="79">
        <v>46105</v>
      </c>
      <c r="I156" s="114" t="s">
        <v>79</v>
      </c>
      <c r="J156" s="117" t="s">
        <v>757</v>
      </c>
      <c r="K156" s="118">
        <v>46100</v>
      </c>
      <c r="L156" s="114" t="s">
        <v>81</v>
      </c>
      <c r="M156" s="119">
        <v>46106</v>
      </c>
      <c r="N156" s="128">
        <v>46111</v>
      </c>
      <c r="O156" s="120">
        <f>NETWORKDAYS.INTL(K156,N156,1,$AM$2:$AM$10)-1</f>
        <v>7</v>
      </c>
      <c r="P156" s="114" t="s">
        <v>79</v>
      </c>
      <c r="Q156" s="114" t="s">
        <v>79</v>
      </c>
      <c r="R156" s="115" t="s">
        <v>758</v>
      </c>
      <c r="S156" s="145">
        <v>1984</v>
      </c>
      <c r="T156" s="148" t="s">
        <v>746</v>
      </c>
      <c r="U156" s="147">
        <v>1</v>
      </c>
      <c r="V156" s="121">
        <v>4</v>
      </c>
      <c r="W156" s="121">
        <v>327</v>
      </c>
      <c r="X156" s="114" t="s">
        <v>84</v>
      </c>
      <c r="Y156" s="115" t="s">
        <v>85</v>
      </c>
      <c r="Z156" s="115" t="s">
        <v>86</v>
      </c>
      <c r="AA156" s="113" t="s">
        <v>87</v>
      </c>
      <c r="AB156" s="122">
        <v>325.16000000000003</v>
      </c>
      <c r="AC156" s="122">
        <f>IF(C156="DENALI", AB156*0.495, IF(C156="SCHNEIDER ELECTRIC", AB156*1.136, IF(C156="WWT", AB156*1.2, AC156)))+AB156</f>
        <v>694.54176000000007</v>
      </c>
      <c r="AD156" s="129">
        <f>AC156-AB156</f>
        <v>369.38176000000004</v>
      </c>
      <c r="AE156" s="122">
        <v>4649.72</v>
      </c>
      <c r="AF156" s="130">
        <f>AB156/U156</f>
        <v>325.16000000000003</v>
      </c>
      <c r="AG156" s="130">
        <f>AB156/V156</f>
        <v>81.290000000000006</v>
      </c>
      <c r="AH156" s="123">
        <f>AB156/S156</f>
        <v>0.16389112903225808</v>
      </c>
      <c r="AI156" s="124" t="s">
        <v>155</v>
      </c>
      <c r="AJ156" s="125" t="s">
        <v>89</v>
      </c>
      <c r="AK156"/>
      <c r="AM156" s="80"/>
    </row>
    <row r="157" spans="1:39" ht="28.5" customHeight="1">
      <c r="A157" s="113" t="s">
        <v>73</v>
      </c>
      <c r="B157" s="114" t="s">
        <v>140</v>
      </c>
      <c r="C157" s="113" t="s">
        <v>36</v>
      </c>
      <c r="D157" s="113" t="s">
        <v>75</v>
      </c>
      <c r="E157" s="115" t="s">
        <v>141</v>
      </c>
      <c r="F157" s="113" t="s">
        <v>142</v>
      </c>
      <c r="G157" s="116" t="s">
        <v>759</v>
      </c>
      <c r="H157" s="79">
        <v>46105</v>
      </c>
      <c r="I157" s="114" t="s">
        <v>79</v>
      </c>
      <c r="J157" s="117" t="s">
        <v>760</v>
      </c>
      <c r="K157" s="118">
        <v>46100</v>
      </c>
      <c r="L157" s="114" t="s">
        <v>81</v>
      </c>
      <c r="M157" s="119">
        <v>46105</v>
      </c>
      <c r="N157" s="128">
        <v>46105</v>
      </c>
      <c r="O157" s="120">
        <f>NETWORKDAYS.INTL(K157,N157,1,$AM$2:$AM$10)-1</f>
        <v>3</v>
      </c>
      <c r="P157" s="114" t="s">
        <v>81</v>
      </c>
      <c r="Q157" s="114" t="s">
        <v>79</v>
      </c>
      <c r="R157" s="115"/>
      <c r="S157" s="145">
        <v>721</v>
      </c>
      <c r="T157" s="148" t="s">
        <v>746</v>
      </c>
      <c r="U157" s="147">
        <v>2</v>
      </c>
      <c r="V157" s="121">
        <v>13</v>
      </c>
      <c r="W157" s="121">
        <v>1012</v>
      </c>
      <c r="X157" s="114" t="s">
        <v>84</v>
      </c>
      <c r="Y157" s="115" t="s">
        <v>85</v>
      </c>
      <c r="Z157" s="115" t="s">
        <v>86</v>
      </c>
      <c r="AA157" s="113" t="s">
        <v>87</v>
      </c>
      <c r="AB157" s="122">
        <v>340.89</v>
      </c>
      <c r="AC157" s="122">
        <f>IF(C157="DENALI", AB157*0.495, IF(C157="SCHNEIDER ELECTRIC", AB157*1.136, IF(C157="WWT", AB157*1.2, AC157)))+AB157</f>
        <v>728.14103999999998</v>
      </c>
      <c r="AD157" s="129">
        <f>AC157-AB157</f>
        <v>387.25103999999999</v>
      </c>
      <c r="AE157" s="122">
        <v>15111.59</v>
      </c>
      <c r="AF157" s="130">
        <f>AB157/U157</f>
        <v>170.44499999999999</v>
      </c>
      <c r="AG157" s="130">
        <f>AB157/V157</f>
        <v>26.222307692307691</v>
      </c>
      <c r="AH157" s="123">
        <f>AB157/S157</f>
        <v>0.47280166435506238</v>
      </c>
      <c r="AI157" s="124" t="s">
        <v>155</v>
      </c>
      <c r="AJ157" s="125" t="s">
        <v>89</v>
      </c>
      <c r="AK157"/>
      <c r="AM157" s="80"/>
    </row>
    <row r="158" spans="1:39" ht="28.5" customHeight="1">
      <c r="A158" s="113" t="s">
        <v>73</v>
      </c>
      <c r="B158" s="114" t="s">
        <v>140</v>
      </c>
      <c r="C158" s="113" t="s">
        <v>36</v>
      </c>
      <c r="D158" s="113" t="s">
        <v>75</v>
      </c>
      <c r="E158" s="115" t="s">
        <v>141</v>
      </c>
      <c r="F158" s="113" t="s">
        <v>142</v>
      </c>
      <c r="G158" s="116" t="s">
        <v>761</v>
      </c>
      <c r="H158" s="79">
        <v>46109</v>
      </c>
      <c r="I158" s="114" t="s">
        <v>79</v>
      </c>
      <c r="J158" s="117" t="s">
        <v>762</v>
      </c>
      <c r="K158" s="118">
        <v>46104</v>
      </c>
      <c r="L158" s="114" t="s">
        <v>81</v>
      </c>
      <c r="M158" s="119">
        <v>46106</v>
      </c>
      <c r="N158" s="128">
        <v>46115</v>
      </c>
      <c r="O158" s="120">
        <f>NETWORKDAYS.INTL(K158,N158,1,$AM$2:$AM$10)-1</f>
        <v>9</v>
      </c>
      <c r="P158" s="114" t="s">
        <v>79</v>
      </c>
      <c r="Q158" s="114" t="s">
        <v>79</v>
      </c>
      <c r="R158" s="115" t="s">
        <v>763</v>
      </c>
      <c r="S158" s="145">
        <v>721</v>
      </c>
      <c r="T158" s="148" t="s">
        <v>764</v>
      </c>
      <c r="U158" s="147">
        <v>1</v>
      </c>
      <c r="V158" s="121">
        <v>4</v>
      </c>
      <c r="W158" s="121">
        <v>472</v>
      </c>
      <c r="X158" s="114" t="s">
        <v>84</v>
      </c>
      <c r="Y158" s="115" t="s">
        <v>85</v>
      </c>
      <c r="Z158" s="115" t="s">
        <v>86</v>
      </c>
      <c r="AA158" s="113" t="s">
        <v>87</v>
      </c>
      <c r="AB158" s="122">
        <v>839.46</v>
      </c>
      <c r="AC158" s="122">
        <f>IF(C158="DENALI", AB158*0.495, IF(C158="SCHNEIDER ELECTRIC", AB158*1.136, IF(C158="WWT", AB158*1.2, AC158)))+AB158</f>
        <v>1793.08656</v>
      </c>
      <c r="AD158" s="129">
        <f>AC158-AB158</f>
        <v>953.62655999999993</v>
      </c>
      <c r="AE158" s="122">
        <v>4348.72</v>
      </c>
      <c r="AF158" s="130">
        <f>AB158/U158</f>
        <v>839.46</v>
      </c>
      <c r="AG158" s="130">
        <f>AB158/V158</f>
        <v>209.86500000000001</v>
      </c>
      <c r="AH158" s="123">
        <f>AB158/S158</f>
        <v>1.1642995839112344</v>
      </c>
      <c r="AI158" s="124" t="s">
        <v>155</v>
      </c>
      <c r="AJ158" s="125" t="s">
        <v>89</v>
      </c>
      <c r="AK158"/>
      <c r="AM158" s="80"/>
    </row>
    <row r="159" spans="1:39" ht="28.5" customHeight="1">
      <c r="A159" s="113" t="s">
        <v>73</v>
      </c>
      <c r="B159" s="114" t="s">
        <v>74</v>
      </c>
      <c r="C159" s="113" t="s">
        <v>36</v>
      </c>
      <c r="D159" s="113" t="s">
        <v>75</v>
      </c>
      <c r="E159" s="115" t="s">
        <v>765</v>
      </c>
      <c r="F159" s="113" t="s">
        <v>218</v>
      </c>
      <c r="G159" s="116" t="s">
        <v>766</v>
      </c>
      <c r="H159" s="79">
        <v>46109</v>
      </c>
      <c r="I159" s="114" t="s">
        <v>79</v>
      </c>
      <c r="J159" s="117" t="s">
        <v>767</v>
      </c>
      <c r="K159" s="118">
        <v>46101</v>
      </c>
      <c r="L159" s="114" t="s">
        <v>79</v>
      </c>
      <c r="M159" s="119">
        <v>46104</v>
      </c>
      <c r="N159" s="128">
        <v>46114</v>
      </c>
      <c r="O159" s="120">
        <f>NETWORKDAYS.INTL(K159,N159,1,$AM$2:$AM$10)-1</f>
        <v>9</v>
      </c>
      <c r="P159" s="114" t="s">
        <v>81</v>
      </c>
      <c r="Q159" s="114" t="s">
        <v>79</v>
      </c>
      <c r="R159" s="115" t="s">
        <v>768</v>
      </c>
      <c r="S159" s="145">
        <v>579</v>
      </c>
      <c r="T159" s="148" t="s">
        <v>769</v>
      </c>
      <c r="U159" s="147">
        <v>1</v>
      </c>
      <c r="V159" s="121">
        <v>4</v>
      </c>
      <c r="W159" s="121">
        <v>348</v>
      </c>
      <c r="X159" s="114" t="s">
        <v>84</v>
      </c>
      <c r="Y159" s="115" t="s">
        <v>85</v>
      </c>
      <c r="Z159" s="115" t="s">
        <v>770</v>
      </c>
      <c r="AA159" s="113" t="s">
        <v>87</v>
      </c>
      <c r="AB159" s="122">
        <v>149.04</v>
      </c>
      <c r="AC159" s="122">
        <f>IF(C159="DENALI", AB159*0.495, IF(C159="SCHNEIDER ELECTRIC", AB159*1.136, IF(C159="WWT", AB159*1.2, AC159)))+AB159</f>
        <v>318.34943999999996</v>
      </c>
      <c r="AD159" s="129">
        <f>AC159-AB159</f>
        <v>169.30943999999997</v>
      </c>
      <c r="AE159" s="122">
        <v>2085.2800000000002</v>
      </c>
      <c r="AF159" s="130">
        <f>AB159/U159</f>
        <v>149.04</v>
      </c>
      <c r="AG159" s="130">
        <f>AB159/V159</f>
        <v>37.26</v>
      </c>
      <c r="AH159" s="123">
        <f>AB159/S159</f>
        <v>0.25740932642487047</v>
      </c>
      <c r="AI159" s="124" t="s">
        <v>97</v>
      </c>
      <c r="AJ159" s="125" t="s">
        <v>349</v>
      </c>
      <c r="AK159"/>
      <c r="AM159" s="80"/>
    </row>
    <row r="160" spans="1:39" ht="28.5" customHeight="1">
      <c r="A160" s="113" t="s">
        <v>73</v>
      </c>
      <c r="B160" s="114" t="s">
        <v>140</v>
      </c>
      <c r="C160" s="113" t="s">
        <v>35</v>
      </c>
      <c r="D160" s="113" t="s">
        <v>218</v>
      </c>
      <c r="E160" s="115" t="s">
        <v>141</v>
      </c>
      <c r="F160" s="113" t="s">
        <v>142</v>
      </c>
      <c r="G160" s="116">
        <v>22575100</v>
      </c>
      <c r="H160" s="79">
        <v>46111</v>
      </c>
      <c r="I160" s="114" t="s">
        <v>79</v>
      </c>
      <c r="J160" s="117" t="s">
        <v>771</v>
      </c>
      <c r="K160" s="118">
        <v>46105</v>
      </c>
      <c r="L160" s="114" t="s">
        <v>81</v>
      </c>
      <c r="M160" s="119">
        <v>46138</v>
      </c>
      <c r="N160" s="128">
        <v>46107</v>
      </c>
      <c r="O160" s="120">
        <f>NETWORKDAYS.INTL(K160,N160,1,$AM$2:$AM$10)-1</f>
        <v>2</v>
      </c>
      <c r="P160" s="114" t="s">
        <v>81</v>
      </c>
      <c r="Q160" s="114" t="s">
        <v>81</v>
      </c>
      <c r="R160" s="115" t="s">
        <v>772</v>
      </c>
      <c r="S160" s="145">
        <v>446</v>
      </c>
      <c r="T160" s="148" t="s">
        <v>410</v>
      </c>
      <c r="U160" s="147">
        <v>1</v>
      </c>
      <c r="V160" s="121">
        <v>35</v>
      </c>
      <c r="W160" s="121">
        <v>12950</v>
      </c>
      <c r="X160" s="114" t="s">
        <v>113</v>
      </c>
      <c r="Y160" s="115" t="s">
        <v>85</v>
      </c>
      <c r="Z160" s="115" t="s">
        <v>773</v>
      </c>
      <c r="AA160" s="113" t="s">
        <v>87</v>
      </c>
      <c r="AB160" s="122">
        <v>2953.39</v>
      </c>
      <c r="AC160" s="122">
        <f>IF(C160="DENALI", AB160*0.495, IF(C160="SCHNEIDER ELECTRIC", AB160*1.136, IF(C160="WWT", AB160*1.2, AC160)))+AB160</f>
        <v>4415.3180499999999</v>
      </c>
      <c r="AD160" s="129">
        <f>AC160-AB160</f>
        <v>1461.92805</v>
      </c>
      <c r="AE160" s="122">
        <v>237427.75</v>
      </c>
      <c r="AF160" s="130">
        <f>AB160/U160</f>
        <v>2953.39</v>
      </c>
      <c r="AG160" s="130">
        <f>AB160/V160</f>
        <v>84.382571428571424</v>
      </c>
      <c r="AH160" s="123">
        <f>AB160/S160</f>
        <v>6.62195067264574</v>
      </c>
      <c r="AI160" s="124" t="s">
        <v>155</v>
      </c>
      <c r="AJ160" s="125" t="s">
        <v>89</v>
      </c>
      <c r="AK160"/>
      <c r="AM160" s="80"/>
    </row>
    <row r="161" spans="1:39" ht="28.5" customHeight="1">
      <c r="A161" s="113" t="s">
        <v>73</v>
      </c>
      <c r="B161" s="114" t="s">
        <v>74</v>
      </c>
      <c r="C161" s="113" t="s">
        <v>35</v>
      </c>
      <c r="D161" s="113" t="s">
        <v>99</v>
      </c>
      <c r="E161" s="115" t="s">
        <v>774</v>
      </c>
      <c r="F161" s="113" t="s">
        <v>162</v>
      </c>
      <c r="G161" s="116">
        <v>22574278</v>
      </c>
      <c r="H161" s="79">
        <v>46111</v>
      </c>
      <c r="I161" s="114" t="s">
        <v>79</v>
      </c>
      <c r="J161" s="117" t="s">
        <v>775</v>
      </c>
      <c r="K161" s="118">
        <v>46105</v>
      </c>
      <c r="L161" s="114" t="s">
        <v>81</v>
      </c>
      <c r="M161" s="119">
        <v>46136</v>
      </c>
      <c r="N161" s="128">
        <v>46105</v>
      </c>
      <c r="O161" s="120">
        <f>NETWORKDAYS.INTL(K161,N161,1,$AM$2:$AM$10)-1</f>
        <v>0</v>
      </c>
      <c r="P161" s="114" t="s">
        <v>81</v>
      </c>
      <c r="Q161" s="114" t="s">
        <v>79</v>
      </c>
      <c r="R161" s="115"/>
      <c r="S161" s="145">
        <v>1116</v>
      </c>
      <c r="T161" s="148" t="s">
        <v>776</v>
      </c>
      <c r="U161" s="147">
        <v>10</v>
      </c>
      <c r="V161" s="121">
        <v>238</v>
      </c>
      <c r="W161" s="121">
        <v>8200</v>
      </c>
      <c r="X161" s="114" t="s">
        <v>113</v>
      </c>
      <c r="Y161" s="115" t="s">
        <v>85</v>
      </c>
      <c r="Z161" s="115" t="s">
        <v>777</v>
      </c>
      <c r="AA161" s="113" t="s">
        <v>87</v>
      </c>
      <c r="AB161" s="122">
        <v>2882.76</v>
      </c>
      <c r="AC161" s="122">
        <f>IF(C161="DENALI", AB161*0.495, IF(C161="SCHNEIDER ELECTRIC", AB161*1.136, IF(C161="WWT", AB161*1.2, AC161)))+AB161</f>
        <v>4309.7262000000001</v>
      </c>
      <c r="AD161" s="129">
        <f>AC161-AB161</f>
        <v>1426.9661999999998</v>
      </c>
      <c r="AE161" s="122">
        <v>129164.97</v>
      </c>
      <c r="AF161" s="130">
        <f>AB161/U161</f>
        <v>288.27600000000001</v>
      </c>
      <c r="AG161" s="130">
        <f>AB161/V161</f>
        <v>12.112436974789917</v>
      </c>
      <c r="AH161" s="123">
        <f>AB161/S161</f>
        <v>2.5831182795698928</v>
      </c>
      <c r="AI161" s="124" t="s">
        <v>147</v>
      </c>
      <c r="AJ161" s="125" t="s">
        <v>343</v>
      </c>
      <c r="AK161"/>
      <c r="AM161" s="80"/>
    </row>
    <row r="162" spans="1:39" ht="28.5" customHeight="1">
      <c r="A162" s="113" t="s">
        <v>73</v>
      </c>
      <c r="B162" s="114" t="s">
        <v>778</v>
      </c>
      <c r="C162" s="155" t="s">
        <v>141</v>
      </c>
      <c r="D162" s="113" t="s">
        <v>142</v>
      </c>
      <c r="E162" s="115" t="s">
        <v>779</v>
      </c>
      <c r="F162" s="113" t="s">
        <v>254</v>
      </c>
      <c r="G162" s="116">
        <v>22559246</v>
      </c>
      <c r="H162" s="79">
        <v>46106</v>
      </c>
      <c r="I162" s="114" t="s">
        <v>79</v>
      </c>
      <c r="J162" s="117" t="s">
        <v>780</v>
      </c>
      <c r="K162" s="118">
        <v>46105</v>
      </c>
      <c r="L162" s="114" t="s">
        <v>81</v>
      </c>
      <c r="M162" s="119">
        <v>46106</v>
      </c>
      <c r="N162" s="128">
        <v>46106</v>
      </c>
      <c r="O162" s="120">
        <f>NETWORKDAYS.INTL(K162,N162,1,$AM$2:$AM$10)-1</f>
        <v>1</v>
      </c>
      <c r="P162" s="114" t="s">
        <v>81</v>
      </c>
      <c r="Q162" s="114" t="s">
        <v>79</v>
      </c>
      <c r="R162" s="115"/>
      <c r="S162" s="145">
        <v>349</v>
      </c>
      <c r="T162" s="148" t="s">
        <v>781</v>
      </c>
      <c r="U162" s="147">
        <v>3</v>
      </c>
      <c r="V162" s="121">
        <v>3</v>
      </c>
      <c r="W162" s="121">
        <v>2400</v>
      </c>
      <c r="X162" s="114" t="s">
        <v>113</v>
      </c>
      <c r="Y162" s="115" t="s">
        <v>85</v>
      </c>
      <c r="Z162" s="115" t="s">
        <v>782</v>
      </c>
      <c r="AA162" s="113" t="s">
        <v>87</v>
      </c>
      <c r="AB162" s="122">
        <v>2693</v>
      </c>
      <c r="AC162" s="122">
        <v>24309.86</v>
      </c>
      <c r="AD162" s="129">
        <f>AC162-AB162</f>
        <v>21616.86</v>
      </c>
      <c r="AE162" s="122">
        <v>308234.55</v>
      </c>
      <c r="AF162" s="130">
        <f>AB162/U162</f>
        <v>897.66666666666663</v>
      </c>
      <c r="AG162" s="130">
        <f>AB162/V162</f>
        <v>897.66666666666663</v>
      </c>
      <c r="AH162" s="123">
        <f>AB162/S162</f>
        <v>7.7163323782234956</v>
      </c>
      <c r="AI162" s="124">
        <v>1060</v>
      </c>
      <c r="AJ162" s="125" t="s">
        <v>783</v>
      </c>
      <c r="AK162"/>
      <c r="AM162" s="80"/>
    </row>
    <row r="163" spans="1:39" ht="28.5" customHeight="1">
      <c r="A163" s="113" t="s">
        <v>73</v>
      </c>
      <c r="B163" s="114" t="s">
        <v>74</v>
      </c>
      <c r="C163" s="113" t="s">
        <v>36</v>
      </c>
      <c r="D163" s="113" t="s">
        <v>90</v>
      </c>
      <c r="E163" s="115" t="s">
        <v>125</v>
      </c>
      <c r="F163" s="113" t="s">
        <v>90</v>
      </c>
      <c r="G163" s="116" t="s">
        <v>784</v>
      </c>
      <c r="H163" s="79">
        <v>46109</v>
      </c>
      <c r="I163" s="114" t="s">
        <v>79</v>
      </c>
      <c r="J163" s="117" t="s">
        <v>785</v>
      </c>
      <c r="K163" s="118">
        <v>46104</v>
      </c>
      <c r="L163" s="114" t="s">
        <v>81</v>
      </c>
      <c r="M163" s="119">
        <v>46106</v>
      </c>
      <c r="N163" s="128">
        <v>46106</v>
      </c>
      <c r="O163" s="120">
        <f>NETWORKDAYS.INTL(K163,N163,1,$AM$2:$AM$10)-1</f>
        <v>2</v>
      </c>
      <c r="P163" s="114" t="s">
        <v>81</v>
      </c>
      <c r="Q163" s="114" t="s">
        <v>79</v>
      </c>
      <c r="R163" s="115"/>
      <c r="S163" s="145">
        <v>340</v>
      </c>
      <c r="T163" s="148" t="s">
        <v>786</v>
      </c>
      <c r="U163" s="147">
        <v>1</v>
      </c>
      <c r="V163" s="121">
        <v>1</v>
      </c>
      <c r="W163" s="121">
        <v>403</v>
      </c>
      <c r="X163" s="114" t="s">
        <v>84</v>
      </c>
      <c r="Y163" s="115" t="s">
        <v>85</v>
      </c>
      <c r="Z163" s="115" t="s">
        <v>86</v>
      </c>
      <c r="AA163" s="113" t="s">
        <v>87</v>
      </c>
      <c r="AB163" s="122">
        <v>253.16</v>
      </c>
      <c r="AC163" s="122">
        <f>IF(C163="DENALI", AB163*0.495, IF(C163="SCHNEIDER ELECTRIC", AB163*1.136, IF(C163="WWT", AB163*1.2, AC163)))+AB163</f>
        <v>540.74975999999992</v>
      </c>
      <c r="AD163" s="129">
        <f>AC163-AB163</f>
        <v>287.58975999999996</v>
      </c>
      <c r="AE163" s="122">
        <v>2716.16</v>
      </c>
      <c r="AF163" s="130">
        <f>AB163/U163</f>
        <v>253.16</v>
      </c>
      <c r="AG163" s="130">
        <f>AB163/V163</f>
        <v>253.16</v>
      </c>
      <c r="AH163" s="123">
        <f>AB163/S163</f>
        <v>0.74458823529411766</v>
      </c>
      <c r="AI163" s="124" t="s">
        <v>97</v>
      </c>
      <c r="AJ163" s="125" t="s">
        <v>349</v>
      </c>
      <c r="AK163"/>
      <c r="AM163" s="80"/>
    </row>
    <row r="164" spans="1:39" ht="28.5" customHeight="1">
      <c r="A164" s="113" t="s">
        <v>73</v>
      </c>
      <c r="B164" s="114" t="s">
        <v>74</v>
      </c>
      <c r="C164" s="113" t="s">
        <v>36</v>
      </c>
      <c r="D164" s="113" t="s">
        <v>75</v>
      </c>
      <c r="E164" s="115" t="s">
        <v>787</v>
      </c>
      <c r="F164" s="113" t="s">
        <v>370</v>
      </c>
      <c r="G164" s="116" t="s">
        <v>788</v>
      </c>
      <c r="H164" s="79">
        <v>46110</v>
      </c>
      <c r="I164" s="114" t="s">
        <v>79</v>
      </c>
      <c r="J164" s="117" t="s">
        <v>789</v>
      </c>
      <c r="K164" s="118">
        <v>46106</v>
      </c>
      <c r="L164" s="114" t="s">
        <v>81</v>
      </c>
      <c r="M164" s="119">
        <v>46111</v>
      </c>
      <c r="N164" s="128">
        <v>46111</v>
      </c>
      <c r="O164" s="120">
        <f>NETWORKDAYS.INTL(K164,N164,1,$AM$2:$AM$10)-1</f>
        <v>3</v>
      </c>
      <c r="P164" s="114" t="s">
        <v>81</v>
      </c>
      <c r="Q164" s="114" t="s">
        <v>79</v>
      </c>
      <c r="R164" s="115" t="s">
        <v>790</v>
      </c>
      <c r="S164" s="145">
        <v>674</v>
      </c>
      <c r="T164" s="148" t="s">
        <v>791</v>
      </c>
      <c r="U164" s="147">
        <v>2</v>
      </c>
      <c r="V164" s="121">
        <v>26</v>
      </c>
      <c r="W164" s="121">
        <v>1084</v>
      </c>
      <c r="X164" s="114" t="s">
        <v>84</v>
      </c>
      <c r="Y164" s="115" t="s">
        <v>85</v>
      </c>
      <c r="Z164" s="115" t="s">
        <v>342</v>
      </c>
      <c r="AA164" s="113" t="s">
        <v>87</v>
      </c>
      <c r="AB164" s="122">
        <v>638.17999999999995</v>
      </c>
      <c r="AC164" s="122">
        <f>IF(C164="DENALI", AB164*0.495, IF(C164="SCHNEIDER ELECTRIC", AB164*1.136, IF(C164="WWT", AB164*1.2, AC164)))+AB164</f>
        <v>1363.1524799999997</v>
      </c>
      <c r="AD164" s="129">
        <f>AC164-AB164</f>
        <v>724.97247999999979</v>
      </c>
      <c r="AE164" s="122">
        <v>14104.22</v>
      </c>
      <c r="AF164" s="130">
        <f>AB164/U164</f>
        <v>319.08999999999997</v>
      </c>
      <c r="AG164" s="130">
        <f>AB164/V164</f>
        <v>24.545384615384613</v>
      </c>
      <c r="AH164" s="123">
        <f>AB164/S164</f>
        <v>0.94685459940652816</v>
      </c>
      <c r="AI164" s="124" t="s">
        <v>97</v>
      </c>
      <c r="AJ164" s="125" t="s">
        <v>349</v>
      </c>
      <c r="AK164"/>
      <c r="AM164" s="80"/>
    </row>
    <row r="165" spans="1:39" ht="28.5" customHeight="1">
      <c r="A165" s="113" t="s">
        <v>73</v>
      </c>
      <c r="B165" s="114" t="s">
        <v>140</v>
      </c>
      <c r="C165" s="113" t="s">
        <v>36</v>
      </c>
      <c r="D165" s="113" t="s">
        <v>75</v>
      </c>
      <c r="E165" s="115" t="s">
        <v>141</v>
      </c>
      <c r="F165" s="113" t="s">
        <v>142</v>
      </c>
      <c r="G165" s="116" t="s">
        <v>792</v>
      </c>
      <c r="H165" s="79">
        <v>46111</v>
      </c>
      <c r="I165" s="114" t="s">
        <v>79</v>
      </c>
      <c r="J165" s="117" t="s">
        <v>793</v>
      </c>
      <c r="K165" s="118">
        <v>46107</v>
      </c>
      <c r="L165" s="114" t="s">
        <v>81</v>
      </c>
      <c r="M165" s="119">
        <v>46111</v>
      </c>
      <c r="N165" s="128">
        <v>46115</v>
      </c>
      <c r="O165" s="120">
        <f>NETWORKDAYS.INTL(K165,N165,1,$AM$2:$AM$10)-1</f>
        <v>6</v>
      </c>
      <c r="P165" s="114" t="s">
        <v>81</v>
      </c>
      <c r="Q165" s="114" t="s">
        <v>79</v>
      </c>
      <c r="R165" s="115"/>
      <c r="S165" s="145">
        <v>721</v>
      </c>
      <c r="T165" s="148" t="s">
        <v>794</v>
      </c>
      <c r="U165" s="147">
        <v>3</v>
      </c>
      <c r="V165" s="121">
        <v>21</v>
      </c>
      <c r="W165" s="121">
        <v>2160</v>
      </c>
      <c r="X165" s="114" t="s">
        <v>113</v>
      </c>
      <c r="Y165" s="115" t="s">
        <v>85</v>
      </c>
      <c r="Z165" s="115" t="s">
        <v>86</v>
      </c>
      <c r="AA165" s="113" t="s">
        <v>87</v>
      </c>
      <c r="AB165" s="122">
        <v>629.66</v>
      </c>
      <c r="AC165" s="122">
        <f>IF(C165="DENALI", AB165*0.495, IF(C165="SCHNEIDER ELECTRIC", AB165*1.136, IF(C165="WWT", AB165*1.2, AC165)))+AB165</f>
        <v>1344.9537599999999</v>
      </c>
      <c r="AD165" s="129">
        <f>AC165-AB165</f>
        <v>715.29375999999991</v>
      </c>
      <c r="AE165" s="122">
        <v>44614.61</v>
      </c>
      <c r="AF165" s="130">
        <f>AB165/U165</f>
        <v>209.88666666666666</v>
      </c>
      <c r="AG165" s="130">
        <f>AB165/V165</f>
        <v>29.983809523809523</v>
      </c>
      <c r="AH165" s="123">
        <f>AB165/S165</f>
        <v>0.87331484049930652</v>
      </c>
      <c r="AI165" s="124" t="s">
        <v>155</v>
      </c>
      <c r="AJ165" s="125" t="s">
        <v>89</v>
      </c>
      <c r="AK165"/>
      <c r="AM165" s="80"/>
    </row>
    <row r="166" spans="1:39" ht="28.5" customHeight="1">
      <c r="A166" s="113" t="s">
        <v>73</v>
      </c>
      <c r="B166" s="114" t="s">
        <v>74</v>
      </c>
      <c r="C166" s="113" t="s">
        <v>36</v>
      </c>
      <c r="D166" s="113" t="s">
        <v>75</v>
      </c>
      <c r="E166" s="115" t="s">
        <v>795</v>
      </c>
      <c r="F166" s="113" t="s">
        <v>75</v>
      </c>
      <c r="G166" s="116" t="s">
        <v>796</v>
      </c>
      <c r="H166" s="79">
        <v>46111</v>
      </c>
      <c r="I166" s="114" t="s">
        <v>79</v>
      </c>
      <c r="J166" s="117" t="s">
        <v>797</v>
      </c>
      <c r="K166" s="118">
        <v>46107</v>
      </c>
      <c r="L166" s="114" t="s">
        <v>79</v>
      </c>
      <c r="M166" s="119">
        <v>46111</v>
      </c>
      <c r="N166" s="128">
        <v>46111</v>
      </c>
      <c r="O166" s="120">
        <f>NETWORKDAYS.INTL(K166,N166,1,$AM$2:$AM$10)-1</f>
        <v>2</v>
      </c>
      <c r="P166" s="114" t="s">
        <v>81</v>
      </c>
      <c r="Q166" s="114" t="s">
        <v>79</v>
      </c>
      <c r="R166" s="115"/>
      <c r="S166" s="145">
        <v>142</v>
      </c>
      <c r="T166" s="148" t="s">
        <v>798</v>
      </c>
      <c r="U166" s="147">
        <v>1</v>
      </c>
      <c r="V166" s="121">
        <v>4</v>
      </c>
      <c r="W166" s="121">
        <v>327</v>
      </c>
      <c r="X166" s="114" t="s">
        <v>84</v>
      </c>
      <c r="Y166" s="115" t="s">
        <v>85</v>
      </c>
      <c r="Z166" s="115" t="s">
        <v>770</v>
      </c>
      <c r="AA166" s="113" t="s">
        <v>87</v>
      </c>
      <c r="AB166" s="122">
        <v>148.71</v>
      </c>
      <c r="AC166" s="122">
        <f>IF(C166="DENALI", AB166*0.495, IF(C166="SCHNEIDER ELECTRIC", AB166*1.136, IF(C166="WWT", AB166*1.2, AC166)))+AB166</f>
        <v>317.64456000000001</v>
      </c>
      <c r="AD166" s="129">
        <f>AC166-AB166</f>
        <v>168.93456</v>
      </c>
      <c r="AE166" s="122">
        <v>6306.24</v>
      </c>
      <c r="AF166" s="130">
        <f>AB166/U166</f>
        <v>148.71</v>
      </c>
      <c r="AG166" s="130">
        <f>AB166/V166</f>
        <v>37.177500000000002</v>
      </c>
      <c r="AH166" s="123">
        <f>AB166/S166</f>
        <v>1.0472535211267606</v>
      </c>
      <c r="AI166" s="124" t="s">
        <v>155</v>
      </c>
      <c r="AJ166" s="125" t="s">
        <v>89</v>
      </c>
      <c r="AK166"/>
      <c r="AM166" s="80"/>
    </row>
    <row r="167" spans="1:39" ht="28.5" customHeight="1">
      <c r="A167" s="113" t="s">
        <v>73</v>
      </c>
      <c r="B167" s="114" t="s">
        <v>140</v>
      </c>
      <c r="C167" s="113" t="s">
        <v>36</v>
      </c>
      <c r="D167" s="113" t="s">
        <v>75</v>
      </c>
      <c r="E167" s="115" t="s">
        <v>141</v>
      </c>
      <c r="F167" s="113" t="s">
        <v>142</v>
      </c>
      <c r="G167" s="116" t="s">
        <v>799</v>
      </c>
      <c r="H167" s="79">
        <v>46111</v>
      </c>
      <c r="I167" s="114" t="s">
        <v>79</v>
      </c>
      <c r="J167" s="117" t="s">
        <v>800</v>
      </c>
      <c r="K167" s="118">
        <v>46107</v>
      </c>
      <c r="L167" s="114" t="s">
        <v>81</v>
      </c>
      <c r="M167" s="119">
        <v>46115</v>
      </c>
      <c r="N167" s="128">
        <v>46115</v>
      </c>
      <c r="O167" s="120">
        <f>NETWORKDAYS.INTL(K167,N167,1,$AM$2:$AM$10)-1</f>
        <v>6</v>
      </c>
      <c r="P167" s="114" t="s">
        <v>79</v>
      </c>
      <c r="Q167" s="114" t="s">
        <v>79</v>
      </c>
      <c r="R167" s="115" t="s">
        <v>763</v>
      </c>
      <c r="S167" s="145">
        <v>721</v>
      </c>
      <c r="T167" s="148" t="s">
        <v>801</v>
      </c>
      <c r="U167" s="147">
        <v>2</v>
      </c>
      <c r="V167" s="121">
        <v>16</v>
      </c>
      <c r="W167" s="121">
        <v>1588</v>
      </c>
      <c r="X167" s="114" t="s">
        <v>84</v>
      </c>
      <c r="Y167" s="115" t="s">
        <v>85</v>
      </c>
      <c r="Z167" s="115" t="s">
        <v>86</v>
      </c>
      <c r="AA167" s="113" t="s">
        <v>87</v>
      </c>
      <c r="AB167" s="122">
        <v>524.37</v>
      </c>
      <c r="AC167" s="122">
        <f>IF(C167="DENALI", AB167*0.495, IF(C167="SCHNEIDER ELECTRIC", AB167*1.136, IF(C167="WWT", AB167*1.2, AC167)))+AB167</f>
        <v>1120.05432</v>
      </c>
      <c r="AD167" s="129">
        <f>AC167-AB167</f>
        <v>595.68431999999996</v>
      </c>
      <c r="AE167" s="122">
        <v>32004.02</v>
      </c>
      <c r="AF167" s="130">
        <f>AB167/U167</f>
        <v>262.185</v>
      </c>
      <c r="AG167" s="130">
        <f>AB167/V167</f>
        <v>32.773125</v>
      </c>
      <c r="AH167" s="123">
        <f>AB167/S167</f>
        <v>0.72728155339805822</v>
      </c>
      <c r="AI167" s="124" t="s">
        <v>155</v>
      </c>
      <c r="AJ167" s="125" t="s">
        <v>89</v>
      </c>
      <c r="AK167"/>
      <c r="AM167" s="80"/>
    </row>
    <row r="168" spans="1:39" ht="28.5" customHeight="1">
      <c r="A168" s="113" t="s">
        <v>73</v>
      </c>
      <c r="B168" s="114" t="s">
        <v>140</v>
      </c>
      <c r="C168" s="113" t="s">
        <v>36</v>
      </c>
      <c r="D168" s="113" t="s">
        <v>75</v>
      </c>
      <c r="E168" s="115" t="s">
        <v>141</v>
      </c>
      <c r="F168" s="113" t="s">
        <v>142</v>
      </c>
      <c r="G168" s="116" t="s">
        <v>802</v>
      </c>
      <c r="H168" s="79">
        <v>46111</v>
      </c>
      <c r="I168" s="114" t="s">
        <v>79</v>
      </c>
      <c r="J168" s="117" t="s">
        <v>803</v>
      </c>
      <c r="K168" s="118">
        <v>46107</v>
      </c>
      <c r="L168" s="114" t="s">
        <v>81</v>
      </c>
      <c r="M168" s="119">
        <v>46115</v>
      </c>
      <c r="N168" s="128">
        <v>46115</v>
      </c>
      <c r="O168" s="120">
        <f>NETWORKDAYS.INTL(K168,N168,1,$AM$2:$AM$10)-1</f>
        <v>6</v>
      </c>
      <c r="P168" s="114" t="s">
        <v>79</v>
      </c>
      <c r="Q168" s="114" t="s">
        <v>79</v>
      </c>
      <c r="R168" s="115" t="s">
        <v>763</v>
      </c>
      <c r="S168" s="145">
        <v>721</v>
      </c>
      <c r="T168" s="148" t="s">
        <v>804</v>
      </c>
      <c r="U168" s="147">
        <v>2</v>
      </c>
      <c r="V168" s="121">
        <v>15</v>
      </c>
      <c r="W168" s="121">
        <v>1517</v>
      </c>
      <c r="X168" s="114" t="s">
        <v>84</v>
      </c>
      <c r="Y168" s="115" t="s">
        <v>85</v>
      </c>
      <c r="Z168" s="115" t="s">
        <v>86</v>
      </c>
      <c r="AA168" s="113" t="s">
        <v>87</v>
      </c>
      <c r="AB168" s="122">
        <v>514.91999999999996</v>
      </c>
      <c r="AC168" s="122">
        <f>IF(C168="DENALI", AB168*0.495, IF(C168="SCHNEIDER ELECTRIC", AB168*1.136, IF(C168="WWT", AB168*1.2, AC168)))+AB168</f>
        <v>1099.8691199999998</v>
      </c>
      <c r="AD168" s="129">
        <f>AC168-AB168</f>
        <v>584.94911999999988</v>
      </c>
      <c r="AE168" s="122">
        <v>30818.79</v>
      </c>
      <c r="AF168" s="130">
        <f>AB168/U168</f>
        <v>257.45999999999998</v>
      </c>
      <c r="AG168" s="130">
        <f>AB168/V168</f>
        <v>34.327999999999996</v>
      </c>
      <c r="AH168" s="123">
        <f>AB168/S168</f>
        <v>0.71417475728155333</v>
      </c>
      <c r="AI168" s="124" t="s">
        <v>155</v>
      </c>
      <c r="AJ168" s="125" t="s">
        <v>89</v>
      </c>
      <c r="AK168"/>
      <c r="AM168" s="80"/>
    </row>
    <row r="169" spans="1:39" ht="28.5" customHeight="1">
      <c r="A169" s="113" t="s">
        <v>73</v>
      </c>
      <c r="B169" s="114" t="s">
        <v>140</v>
      </c>
      <c r="C169" s="113" t="s">
        <v>36</v>
      </c>
      <c r="D169" s="113" t="s">
        <v>75</v>
      </c>
      <c r="E169" s="115" t="s">
        <v>141</v>
      </c>
      <c r="F169" s="113" t="s">
        <v>142</v>
      </c>
      <c r="G169" s="116" t="s">
        <v>805</v>
      </c>
      <c r="H169" s="79">
        <v>46111</v>
      </c>
      <c r="I169" s="114" t="s">
        <v>79</v>
      </c>
      <c r="J169" s="117" t="s">
        <v>806</v>
      </c>
      <c r="K169" s="118">
        <v>46107</v>
      </c>
      <c r="L169" s="114" t="s">
        <v>79</v>
      </c>
      <c r="M169" s="119">
        <v>46115</v>
      </c>
      <c r="N169" s="128">
        <v>46115</v>
      </c>
      <c r="O169" s="120">
        <f>NETWORKDAYS.INTL(K169,N169,1,$AM$2:$AM$10)-1</f>
        <v>6</v>
      </c>
      <c r="P169" s="114" t="s">
        <v>79</v>
      </c>
      <c r="Q169" s="114" t="s">
        <v>79</v>
      </c>
      <c r="R169" s="115" t="s">
        <v>763</v>
      </c>
      <c r="S169" s="145">
        <v>721</v>
      </c>
      <c r="T169" s="148" t="s">
        <v>807</v>
      </c>
      <c r="U169" s="147">
        <v>2</v>
      </c>
      <c r="V169" s="121">
        <v>17</v>
      </c>
      <c r="W169" s="121">
        <v>1660</v>
      </c>
      <c r="X169" s="114" t="s">
        <v>84</v>
      </c>
      <c r="Y169" s="115" t="s">
        <v>85</v>
      </c>
      <c r="Z169" s="115" t="s">
        <v>86</v>
      </c>
      <c r="AA169" s="113" t="s">
        <v>87</v>
      </c>
      <c r="AB169" s="122">
        <v>367.71</v>
      </c>
      <c r="AC169" s="122">
        <f>IF(C169="DENALI", AB169*0.495, IF(C169="SCHNEIDER ELECTRIC", AB169*1.136, IF(C169="WWT", AB169*1.2, AC169)))+AB169</f>
        <v>785.42855999999983</v>
      </c>
      <c r="AD169" s="129">
        <f>AC169-AB169</f>
        <v>417.71855999999985</v>
      </c>
      <c r="AE169" s="122">
        <v>33189.25</v>
      </c>
      <c r="AF169" s="130">
        <f>AB169/U169</f>
        <v>183.85499999999999</v>
      </c>
      <c r="AG169" s="130">
        <f>AB169/V169</f>
        <v>21.63</v>
      </c>
      <c r="AH169" s="123">
        <f>AB169/S169</f>
        <v>0.51</v>
      </c>
      <c r="AI169" s="124" t="s">
        <v>155</v>
      </c>
      <c r="AJ169" s="125" t="s">
        <v>89</v>
      </c>
      <c r="AK169"/>
      <c r="AM169" s="80"/>
    </row>
    <row r="170" spans="1:39" ht="28.5" customHeight="1">
      <c r="A170" s="113" t="s">
        <v>73</v>
      </c>
      <c r="B170" s="114" t="s">
        <v>140</v>
      </c>
      <c r="C170" s="113" t="s">
        <v>36</v>
      </c>
      <c r="D170" s="113" t="s">
        <v>75</v>
      </c>
      <c r="E170" s="115" t="s">
        <v>141</v>
      </c>
      <c r="F170" s="113" t="s">
        <v>142</v>
      </c>
      <c r="G170" s="116" t="s">
        <v>808</v>
      </c>
      <c r="H170" s="79">
        <v>46111</v>
      </c>
      <c r="I170" s="114" t="s">
        <v>79</v>
      </c>
      <c r="J170" s="117" t="s">
        <v>809</v>
      </c>
      <c r="K170" s="118">
        <v>46107</v>
      </c>
      <c r="L170" s="114" t="s">
        <v>81</v>
      </c>
      <c r="M170" s="119">
        <v>46115</v>
      </c>
      <c r="N170" s="128">
        <v>46115</v>
      </c>
      <c r="O170" s="120">
        <f>NETWORKDAYS.INTL(K170,N170,1,$AM$2:$AM$10)-1</f>
        <v>6</v>
      </c>
      <c r="P170" s="114" t="s">
        <v>79</v>
      </c>
      <c r="Q170" s="114" t="s">
        <v>79</v>
      </c>
      <c r="R170" s="115" t="s">
        <v>763</v>
      </c>
      <c r="S170" s="145">
        <v>721</v>
      </c>
      <c r="T170" s="148" t="s">
        <v>810</v>
      </c>
      <c r="U170" s="147">
        <v>1</v>
      </c>
      <c r="V170" s="121">
        <v>9</v>
      </c>
      <c r="W170" s="121">
        <v>1047</v>
      </c>
      <c r="X170" s="114" t="s">
        <v>84</v>
      </c>
      <c r="Y170" s="115" t="s">
        <v>85</v>
      </c>
      <c r="Z170" s="115" t="s">
        <v>86</v>
      </c>
      <c r="AA170" s="113" t="s">
        <v>87</v>
      </c>
      <c r="AB170" s="122">
        <v>335.83</v>
      </c>
      <c r="AC170" s="122">
        <f>IF(C170="DENALI", AB170*0.495, IF(C170="SCHNEIDER ELECTRIC", AB170*1.136, IF(C170="WWT", AB170*1.2, AC170)))+AB170</f>
        <v>717.33287999999993</v>
      </c>
      <c r="AD170" s="129">
        <f>AC170-AB170</f>
        <v>381.50287999999995</v>
      </c>
      <c r="AE170" s="122">
        <v>23717.41</v>
      </c>
      <c r="AF170" s="130">
        <f>AB170/U170</f>
        <v>335.83</v>
      </c>
      <c r="AG170" s="130">
        <f>AB170/V170</f>
        <v>37.31444444444444</v>
      </c>
      <c r="AH170" s="123">
        <f>AB170/S170</f>
        <v>0.46578363384188626</v>
      </c>
      <c r="AI170" s="124" t="s">
        <v>155</v>
      </c>
      <c r="AJ170" s="125" t="s">
        <v>89</v>
      </c>
      <c r="AK170"/>
      <c r="AM170" s="80"/>
    </row>
    <row r="171" spans="1:39" ht="28.5" customHeight="1">
      <c r="A171" s="113" t="s">
        <v>73</v>
      </c>
      <c r="B171" s="114" t="s">
        <v>74</v>
      </c>
      <c r="C171" s="113" t="s">
        <v>36</v>
      </c>
      <c r="D171" s="113" t="s">
        <v>90</v>
      </c>
      <c r="E171" s="115" t="s">
        <v>811</v>
      </c>
      <c r="F171" s="113" t="s">
        <v>92</v>
      </c>
      <c r="G171" s="116" t="s">
        <v>812</v>
      </c>
      <c r="H171" s="79">
        <v>46111</v>
      </c>
      <c r="I171" s="114" t="s">
        <v>79</v>
      </c>
      <c r="J171" s="117" t="s">
        <v>813</v>
      </c>
      <c r="K171" s="118">
        <v>46107</v>
      </c>
      <c r="L171" s="114" t="s">
        <v>79</v>
      </c>
      <c r="M171" s="119">
        <v>46115</v>
      </c>
      <c r="N171" s="128">
        <v>46111</v>
      </c>
      <c r="O171" s="120">
        <f>NETWORKDAYS.INTL(K171,N171,1,$AM$2:$AM$10)-1</f>
        <v>2</v>
      </c>
      <c r="P171" s="114" t="s">
        <v>81</v>
      </c>
      <c r="Q171" s="114" t="s">
        <v>79</v>
      </c>
      <c r="R171" s="115" t="s">
        <v>814</v>
      </c>
      <c r="S171" s="145">
        <v>1378</v>
      </c>
      <c r="T171" s="148" t="s">
        <v>815</v>
      </c>
      <c r="U171" s="147">
        <v>1</v>
      </c>
      <c r="V171" s="121">
        <v>5</v>
      </c>
      <c r="W171" s="121">
        <v>234</v>
      </c>
      <c r="X171" s="114" t="s">
        <v>84</v>
      </c>
      <c r="Y171" s="115" t="s">
        <v>85</v>
      </c>
      <c r="Z171" s="115" t="s">
        <v>342</v>
      </c>
      <c r="AA171" s="113" t="s">
        <v>87</v>
      </c>
      <c r="AB171" s="122">
        <v>448.17</v>
      </c>
      <c r="AC171" s="122">
        <f>IF(C171="DENALI", AB171*0.495, IF(C171="SCHNEIDER ELECTRIC", AB171*1.136, IF(C171="WWT", AB171*1.2, AC171)))+AB171</f>
        <v>957.29111999999998</v>
      </c>
      <c r="AD171" s="129">
        <f>AC171-AB171</f>
        <v>509.12111999999996</v>
      </c>
      <c r="AE171" s="122">
        <v>2712.35</v>
      </c>
      <c r="AF171" s="130">
        <f>AB171/U171</f>
        <v>448.17</v>
      </c>
      <c r="AG171" s="130">
        <f>AB171/V171</f>
        <v>89.634</v>
      </c>
      <c r="AH171" s="123">
        <f>AB171/S171</f>
        <v>0.32523222060957913</v>
      </c>
      <c r="AI171" s="124" t="s">
        <v>816</v>
      </c>
      <c r="AJ171" s="125" t="s">
        <v>98</v>
      </c>
      <c r="AK171"/>
      <c r="AM171" s="80"/>
    </row>
    <row r="172" spans="1:39" ht="28.5" customHeight="1">
      <c r="A172" s="113" t="s">
        <v>73</v>
      </c>
      <c r="B172" s="114" t="s">
        <v>140</v>
      </c>
      <c r="C172" s="113" t="s">
        <v>36</v>
      </c>
      <c r="D172" s="113" t="s">
        <v>75</v>
      </c>
      <c r="E172" s="115" t="s">
        <v>141</v>
      </c>
      <c r="F172" s="113" t="s">
        <v>142</v>
      </c>
      <c r="G172" s="116" t="s">
        <v>817</v>
      </c>
      <c r="H172" s="79">
        <v>46111</v>
      </c>
      <c r="I172" s="114" t="s">
        <v>79</v>
      </c>
      <c r="J172" s="117" t="s">
        <v>818</v>
      </c>
      <c r="K172" s="118">
        <v>46107</v>
      </c>
      <c r="L172" s="114" t="s">
        <v>81</v>
      </c>
      <c r="M172" s="119">
        <v>46115</v>
      </c>
      <c r="N172" s="128">
        <v>46115</v>
      </c>
      <c r="O172" s="120">
        <f>NETWORKDAYS.INTL(K172,N172,1,$AM$2:$AM$10)-1</f>
        <v>6</v>
      </c>
      <c r="P172" s="114" t="s">
        <v>79</v>
      </c>
      <c r="Q172" s="114" t="s">
        <v>79</v>
      </c>
      <c r="R172" s="115" t="s">
        <v>763</v>
      </c>
      <c r="S172" s="145">
        <v>721</v>
      </c>
      <c r="T172" s="148" t="s">
        <v>819</v>
      </c>
      <c r="U172" s="147">
        <v>2</v>
      </c>
      <c r="V172" s="121">
        <v>14</v>
      </c>
      <c r="W172" s="121">
        <v>1367</v>
      </c>
      <c r="X172" s="114" t="s">
        <v>84</v>
      </c>
      <c r="Y172" s="115" t="s">
        <v>85</v>
      </c>
      <c r="Z172" s="115" t="s">
        <v>86</v>
      </c>
      <c r="AA172" s="113" t="s">
        <v>87</v>
      </c>
      <c r="AB172" s="122">
        <v>408.8</v>
      </c>
      <c r="AC172" s="122">
        <f>IF(C172="DENALI", AB172*0.495, IF(C172="SCHNEIDER ELECTRIC", AB172*1.136, IF(C172="WWT", AB172*1.2, AC172)))+AB172</f>
        <v>873.19679999999994</v>
      </c>
      <c r="AD172" s="129">
        <f>AC172-AB172</f>
        <v>464.39679999999993</v>
      </c>
      <c r="AE172" s="122">
        <v>26782.47</v>
      </c>
      <c r="AF172" s="130">
        <f>AB172/U172</f>
        <v>204.4</v>
      </c>
      <c r="AG172" s="130">
        <f>AB172/V172</f>
        <v>29.2</v>
      </c>
      <c r="AH172" s="123">
        <f>AB172/S172</f>
        <v>0.56699029126213596</v>
      </c>
      <c r="AI172" s="124" t="s">
        <v>155</v>
      </c>
      <c r="AJ172" s="125" t="s">
        <v>89</v>
      </c>
      <c r="AK172"/>
      <c r="AM172" s="80"/>
    </row>
    <row r="173" spans="1:39" ht="28.5" customHeight="1">
      <c r="A173" s="113" t="s">
        <v>73</v>
      </c>
      <c r="B173" s="114" t="s">
        <v>74</v>
      </c>
      <c r="C173" s="113" t="s">
        <v>36</v>
      </c>
      <c r="D173" s="113" t="s">
        <v>90</v>
      </c>
      <c r="E173" s="115" t="s">
        <v>91</v>
      </c>
      <c r="F173" s="113" t="s">
        <v>92</v>
      </c>
      <c r="G173" s="116" t="s">
        <v>820</v>
      </c>
      <c r="H173" s="79">
        <v>46111</v>
      </c>
      <c r="I173" s="114" t="s">
        <v>79</v>
      </c>
      <c r="J173" s="117" t="s">
        <v>821</v>
      </c>
      <c r="K173" s="118">
        <v>46107</v>
      </c>
      <c r="L173" s="114" t="s">
        <v>81</v>
      </c>
      <c r="M173" s="119">
        <v>46112</v>
      </c>
      <c r="N173" s="128">
        <v>46112</v>
      </c>
      <c r="O173" s="120">
        <f>NETWORKDAYS.INTL(K173,N173,1,$AM$2:$AM$10)-1</f>
        <v>3</v>
      </c>
      <c r="P173" s="114" t="s">
        <v>81</v>
      </c>
      <c r="Q173" s="114" t="s">
        <v>79</v>
      </c>
      <c r="R173" s="115" t="s">
        <v>822</v>
      </c>
      <c r="S173" s="145">
        <v>1359</v>
      </c>
      <c r="T173" s="148" t="s">
        <v>823</v>
      </c>
      <c r="U173" s="147">
        <v>2</v>
      </c>
      <c r="V173" s="121">
        <v>18</v>
      </c>
      <c r="W173" s="121">
        <v>1466</v>
      </c>
      <c r="X173" s="114" t="s">
        <v>84</v>
      </c>
      <c r="Y173" s="115" t="s">
        <v>85</v>
      </c>
      <c r="Z173" s="115" t="s">
        <v>86</v>
      </c>
      <c r="AA173" s="113" t="s">
        <v>87</v>
      </c>
      <c r="AB173" s="122">
        <v>374.56</v>
      </c>
      <c r="AC173" s="122">
        <f>IF(C173="DENALI", AB173*0.495, IF(C173="SCHNEIDER ELECTRIC", AB173*1.136, IF(C173="WWT", AB173*1.2, AC173)))+AB173</f>
        <v>800.06016</v>
      </c>
      <c r="AD173" s="129">
        <f>AC173-AB173</f>
        <v>425.50015999999999</v>
      </c>
      <c r="AE173" s="122">
        <v>9383.76</v>
      </c>
      <c r="AF173" s="130">
        <f>AB173/U173</f>
        <v>187.28</v>
      </c>
      <c r="AG173" s="130">
        <f>AB173/V173</f>
        <v>20.808888888888887</v>
      </c>
      <c r="AH173" s="123">
        <f>AB173/S173</f>
        <v>0.27561442236938927</v>
      </c>
      <c r="AI173" s="124" t="s">
        <v>97</v>
      </c>
      <c r="AJ173" s="125" t="s">
        <v>349</v>
      </c>
      <c r="AK173"/>
      <c r="AM173" s="80"/>
    </row>
    <row r="174" spans="1:39" ht="28.5" customHeight="1">
      <c r="A174" s="113" t="s">
        <v>73</v>
      </c>
      <c r="B174" s="114" t="s">
        <v>74</v>
      </c>
      <c r="C174" s="113" t="s">
        <v>35</v>
      </c>
      <c r="D174" s="113" t="s">
        <v>218</v>
      </c>
      <c r="E174" s="115" t="s">
        <v>824</v>
      </c>
      <c r="F174" s="113" t="s">
        <v>345</v>
      </c>
      <c r="G174" s="116" t="s">
        <v>825</v>
      </c>
      <c r="H174" s="79">
        <v>46112</v>
      </c>
      <c r="I174" s="114" t="s">
        <v>79</v>
      </c>
      <c r="J174" s="117" t="s">
        <v>826</v>
      </c>
      <c r="K174" s="118">
        <v>46108</v>
      </c>
      <c r="L174" s="114" t="s">
        <v>81</v>
      </c>
      <c r="M174" s="119">
        <v>46112</v>
      </c>
      <c r="N174" s="128">
        <v>46112</v>
      </c>
      <c r="O174" s="120">
        <f>NETWORKDAYS.INTL(K174,N174,1,$AM$2:$AM$10)-1</f>
        <v>2</v>
      </c>
      <c r="P174" s="114" t="s">
        <v>81</v>
      </c>
      <c r="Q174" s="114" t="s">
        <v>79</v>
      </c>
      <c r="R174" s="115"/>
      <c r="S174" s="145">
        <v>568</v>
      </c>
      <c r="T174" s="148" t="s">
        <v>827</v>
      </c>
      <c r="U174" s="147">
        <v>2</v>
      </c>
      <c r="V174" s="121">
        <v>281</v>
      </c>
      <c r="W174" s="121">
        <v>1380</v>
      </c>
      <c r="X174" s="114" t="s">
        <v>84</v>
      </c>
      <c r="Y174" s="115" t="s">
        <v>85</v>
      </c>
      <c r="Z174" s="115" t="s">
        <v>342</v>
      </c>
      <c r="AA174" s="113" t="s">
        <v>87</v>
      </c>
      <c r="AB174" s="122">
        <v>342.28</v>
      </c>
      <c r="AC174" s="122">
        <f>IF(C174="DENALI", AB174*0.495, IF(C174="SCHNEIDER ELECTRIC", AB174*1.136, IF(C174="WWT", AB174*1.2, AC174)))+AB174</f>
        <v>511.70859999999993</v>
      </c>
      <c r="AD174" s="129">
        <f>AC174-AB174</f>
        <v>169.42859999999996</v>
      </c>
      <c r="AE174" s="122">
        <v>155411.51999999999</v>
      </c>
      <c r="AF174" s="130">
        <f>AB174/U174</f>
        <v>171.14</v>
      </c>
      <c r="AG174" s="130">
        <f>AB174/V174</f>
        <v>1.2180782918149464</v>
      </c>
      <c r="AH174" s="123">
        <f>AB174/S174</f>
        <v>0.60260563380281684</v>
      </c>
      <c r="AI174" s="124" t="s">
        <v>97</v>
      </c>
      <c r="AJ174" s="125" t="s">
        <v>349</v>
      </c>
      <c r="AK174"/>
      <c r="AM174" s="80"/>
    </row>
    <row r="175" spans="1:39" ht="28.5" customHeight="1">
      <c r="A175" s="113" t="s">
        <v>73</v>
      </c>
      <c r="B175" s="114" t="s">
        <v>74</v>
      </c>
      <c r="C175" s="113" t="s">
        <v>35</v>
      </c>
      <c r="D175" s="113" t="s">
        <v>218</v>
      </c>
      <c r="E175" s="115" t="s">
        <v>828</v>
      </c>
      <c r="F175" s="113" t="s">
        <v>142</v>
      </c>
      <c r="G175" s="116" t="s">
        <v>829</v>
      </c>
      <c r="H175" s="79">
        <v>46112</v>
      </c>
      <c r="I175" s="114" t="s">
        <v>79</v>
      </c>
      <c r="J175" s="117" t="s">
        <v>830</v>
      </c>
      <c r="K175" s="118">
        <v>46108</v>
      </c>
      <c r="L175" s="114" t="s">
        <v>81</v>
      </c>
      <c r="M175" s="119">
        <v>46112</v>
      </c>
      <c r="N175" s="128">
        <v>46112</v>
      </c>
      <c r="O175" s="120">
        <f>NETWORKDAYS.INTL(K175,N175,1,$AM$2:$AM$10)-1</f>
        <v>2</v>
      </c>
      <c r="P175" s="114" t="s">
        <v>81</v>
      </c>
      <c r="Q175" s="114" t="s">
        <v>79</v>
      </c>
      <c r="R175" s="115"/>
      <c r="S175" s="145">
        <v>615</v>
      </c>
      <c r="T175" s="148" t="s">
        <v>831</v>
      </c>
      <c r="U175" s="147">
        <v>2</v>
      </c>
      <c r="V175" s="121">
        <v>185</v>
      </c>
      <c r="W175" s="121">
        <v>1270</v>
      </c>
      <c r="X175" s="114" t="s">
        <v>84</v>
      </c>
      <c r="Y175" s="115" t="s">
        <v>85</v>
      </c>
      <c r="Z175" s="115" t="s">
        <v>342</v>
      </c>
      <c r="AA175" s="113" t="s">
        <v>87</v>
      </c>
      <c r="AB175" s="122">
        <v>340.96</v>
      </c>
      <c r="AC175" s="122">
        <f>IF(C175="DENALI", AB175*0.495, IF(C175="SCHNEIDER ELECTRIC", AB175*1.136, IF(C175="WWT", AB175*1.2, AC175)))+AB175</f>
        <v>509.73519999999996</v>
      </c>
      <c r="AD175" s="129">
        <f>AC175-AB175</f>
        <v>168.77519999999998</v>
      </c>
      <c r="AE175" s="122">
        <v>10542.72</v>
      </c>
      <c r="AF175" s="130">
        <f>AB175/U175</f>
        <v>170.48</v>
      </c>
      <c r="AG175" s="130">
        <f>AB175/V175</f>
        <v>1.8430270270270268</v>
      </c>
      <c r="AH175" s="123">
        <f>AB175/S175</f>
        <v>0.55440650406504066</v>
      </c>
      <c r="AI175" s="124" t="s">
        <v>97</v>
      </c>
      <c r="AJ175" s="125" t="s">
        <v>349</v>
      </c>
      <c r="AK175"/>
      <c r="AM175" s="80"/>
    </row>
    <row r="176" spans="1:39" ht="28.5" customHeight="1">
      <c r="A176" s="113" t="s">
        <v>73</v>
      </c>
      <c r="B176" s="114" t="s">
        <v>74</v>
      </c>
      <c r="C176" s="113" t="s">
        <v>35</v>
      </c>
      <c r="D176" s="113" t="s">
        <v>218</v>
      </c>
      <c r="E176" s="115" t="s">
        <v>832</v>
      </c>
      <c r="F176" s="113" t="s">
        <v>833</v>
      </c>
      <c r="G176" s="116" t="s">
        <v>834</v>
      </c>
      <c r="H176" s="79">
        <v>46112</v>
      </c>
      <c r="I176" s="114" t="s">
        <v>79</v>
      </c>
      <c r="J176" s="117" t="s">
        <v>835</v>
      </c>
      <c r="K176" s="118">
        <v>46108</v>
      </c>
      <c r="L176" s="114" t="s">
        <v>81</v>
      </c>
      <c r="M176" s="119">
        <v>46112</v>
      </c>
      <c r="N176" s="128">
        <v>46112</v>
      </c>
      <c r="O176" s="120">
        <f>NETWORKDAYS.INTL(K176,N176,1,$AM$2:$AM$10)-1</f>
        <v>2</v>
      </c>
      <c r="P176" s="114" t="s">
        <v>81</v>
      </c>
      <c r="Q176" s="114" t="s">
        <v>79</v>
      </c>
      <c r="R176" s="115"/>
      <c r="S176" s="145">
        <v>731</v>
      </c>
      <c r="T176" s="148" t="s">
        <v>836</v>
      </c>
      <c r="U176" s="147">
        <v>1</v>
      </c>
      <c r="V176" s="121">
        <v>215</v>
      </c>
      <c r="W176" s="121">
        <v>845</v>
      </c>
      <c r="X176" s="114" t="s">
        <v>84</v>
      </c>
      <c r="Y176" s="115" t="s">
        <v>85</v>
      </c>
      <c r="Z176" s="115" t="s">
        <v>342</v>
      </c>
      <c r="AA176" s="113" t="s">
        <v>87</v>
      </c>
      <c r="AB176" s="122">
        <v>568.69000000000005</v>
      </c>
      <c r="AC176" s="122">
        <f>IF(C176="DENALI", AB176*0.495, IF(C176="SCHNEIDER ELECTRIC", AB176*1.136, IF(C176="WWT", AB176*1.2, AC176)))+AB176</f>
        <v>850.19155000000001</v>
      </c>
      <c r="AD176" s="129">
        <f>AC176-AB176</f>
        <v>281.50154999999995</v>
      </c>
      <c r="AE176" s="122">
        <v>157923.1</v>
      </c>
      <c r="AF176" s="130">
        <f>AB176/U176</f>
        <v>568.69000000000005</v>
      </c>
      <c r="AG176" s="130">
        <f>AB176/V176</f>
        <v>2.6450697674418606</v>
      </c>
      <c r="AH176" s="123">
        <f>AB176/S176</f>
        <v>0.77796169630642964</v>
      </c>
      <c r="AI176" s="124" t="s">
        <v>97</v>
      </c>
      <c r="AJ176" s="125" t="s">
        <v>349</v>
      </c>
      <c r="AK176"/>
      <c r="AM176" s="80"/>
    </row>
    <row r="177" spans="1:39" ht="28.5" customHeight="1">
      <c r="A177" s="113" t="s">
        <v>73</v>
      </c>
      <c r="B177" s="114" t="s">
        <v>74</v>
      </c>
      <c r="C177" s="113" t="s">
        <v>35</v>
      </c>
      <c r="D177" s="113" t="s">
        <v>218</v>
      </c>
      <c r="E177" s="115" t="s">
        <v>539</v>
      </c>
      <c r="F177" s="113" t="s">
        <v>292</v>
      </c>
      <c r="G177" s="116" t="s">
        <v>837</v>
      </c>
      <c r="H177" s="79">
        <v>46112</v>
      </c>
      <c r="I177" s="114" t="s">
        <v>79</v>
      </c>
      <c r="J177" s="117" t="s">
        <v>838</v>
      </c>
      <c r="K177" s="118">
        <v>46108</v>
      </c>
      <c r="L177" s="114" t="s">
        <v>81</v>
      </c>
      <c r="M177" s="119">
        <v>46112</v>
      </c>
      <c r="N177" s="128">
        <v>46112</v>
      </c>
      <c r="O177" s="120">
        <f>NETWORKDAYS.INTL(K177,N177,1,$AM$2:$AM$10)-1</f>
        <v>2</v>
      </c>
      <c r="P177" s="114" t="s">
        <v>81</v>
      </c>
      <c r="Q177" s="114" t="s">
        <v>79</v>
      </c>
      <c r="R177" s="115"/>
      <c r="S177" s="145">
        <v>1153</v>
      </c>
      <c r="T177" s="148" t="s">
        <v>839</v>
      </c>
      <c r="U177" s="147">
        <v>2</v>
      </c>
      <c r="V177" s="121">
        <v>532</v>
      </c>
      <c r="W177" s="121">
        <v>845</v>
      </c>
      <c r="X177" s="114" t="s">
        <v>84</v>
      </c>
      <c r="Y177" s="115" t="s">
        <v>85</v>
      </c>
      <c r="Z177" s="115" t="s">
        <v>86</v>
      </c>
      <c r="AA177" s="113" t="s">
        <v>87</v>
      </c>
      <c r="AB177" s="122">
        <v>494</v>
      </c>
      <c r="AC177" s="122">
        <f>IF(C177="DENALI", AB177*0.495, IF(C177="SCHNEIDER ELECTRIC", AB177*1.136, IF(C177="WWT", AB177*1.2, AC177)))+AB177</f>
        <v>738.53</v>
      </c>
      <c r="AD177" s="129">
        <f>AC177-AB177</f>
        <v>244.52999999999997</v>
      </c>
      <c r="AE177" s="122">
        <v>258577.28</v>
      </c>
      <c r="AF177" s="130">
        <f>AB177/U177</f>
        <v>247</v>
      </c>
      <c r="AG177" s="130">
        <f>AB177/V177</f>
        <v>0.9285714285714286</v>
      </c>
      <c r="AH177" s="123">
        <f>AB177/S177</f>
        <v>0.42844752818733739</v>
      </c>
      <c r="AI177" s="124" t="s">
        <v>97</v>
      </c>
      <c r="AJ177" s="125" t="s">
        <v>349</v>
      </c>
      <c r="AK177"/>
      <c r="AM177" s="80"/>
    </row>
    <row r="178" spans="1:39" ht="28.5" customHeight="1">
      <c r="A178" s="113" t="s">
        <v>73</v>
      </c>
      <c r="B178" s="114" t="s">
        <v>140</v>
      </c>
      <c r="C178" s="113" t="s">
        <v>35</v>
      </c>
      <c r="D178" s="113" t="s">
        <v>218</v>
      </c>
      <c r="E178" s="115" t="s">
        <v>141</v>
      </c>
      <c r="F178" s="113" t="s">
        <v>142</v>
      </c>
      <c r="G178" s="116" t="s">
        <v>840</v>
      </c>
      <c r="H178" s="79">
        <v>46112</v>
      </c>
      <c r="I178" s="114" t="s">
        <v>79</v>
      </c>
      <c r="J178" s="117" t="s">
        <v>841</v>
      </c>
      <c r="K178" s="118">
        <v>46108</v>
      </c>
      <c r="L178" s="114" t="s">
        <v>81</v>
      </c>
      <c r="M178" s="119">
        <v>46112</v>
      </c>
      <c r="N178" s="128">
        <v>46115</v>
      </c>
      <c r="O178" s="120">
        <f>NETWORKDAYS.INTL(K178,N178,1,$AM$2:$AM$10)-1</f>
        <v>5</v>
      </c>
      <c r="P178" s="114" t="s">
        <v>79</v>
      </c>
      <c r="Q178" s="114" t="s">
        <v>79</v>
      </c>
      <c r="R178" s="115" t="s">
        <v>763</v>
      </c>
      <c r="S178" s="145">
        <v>721</v>
      </c>
      <c r="T178" s="148" t="s">
        <v>842</v>
      </c>
      <c r="U178" s="147">
        <v>2</v>
      </c>
      <c r="V178" s="121">
        <v>294</v>
      </c>
      <c r="W178" s="121">
        <v>775</v>
      </c>
      <c r="X178" s="114" t="s">
        <v>84</v>
      </c>
      <c r="Y178" s="115" t="s">
        <v>85</v>
      </c>
      <c r="Z178" s="115" t="s">
        <v>86</v>
      </c>
      <c r="AA178" s="113" t="s">
        <v>87</v>
      </c>
      <c r="AB178" s="122">
        <v>376.01</v>
      </c>
      <c r="AC178" s="122">
        <f>IF(C178="DENALI", AB178*0.495, IF(C178="SCHNEIDER ELECTRIC", AB178*1.136, IF(C178="WWT", AB178*1.2, AC178)))+AB178</f>
        <v>562.13495</v>
      </c>
      <c r="AD178" s="129">
        <f>AC178-AB178</f>
        <v>186.12495000000001</v>
      </c>
      <c r="AE178" s="122">
        <v>17325.650000000001</v>
      </c>
      <c r="AF178" s="130">
        <f>AB178/U178</f>
        <v>188.005</v>
      </c>
      <c r="AG178" s="130">
        <f>AB178/V178</f>
        <v>1.2789455782312924</v>
      </c>
      <c r="AH178" s="123">
        <f>AB178/S178</f>
        <v>0.52151178918169205</v>
      </c>
      <c r="AI178" s="124" t="s">
        <v>147</v>
      </c>
      <c r="AJ178" s="125" t="s">
        <v>843</v>
      </c>
      <c r="AK178"/>
      <c r="AM178" s="80"/>
    </row>
    <row r="179" spans="1:39" ht="28.5" customHeight="1">
      <c r="A179" s="113" t="s">
        <v>73</v>
      </c>
      <c r="B179" s="114" t="s">
        <v>74</v>
      </c>
      <c r="C179" s="113" t="s">
        <v>35</v>
      </c>
      <c r="D179" s="113" t="s">
        <v>218</v>
      </c>
      <c r="E179" s="115" t="s">
        <v>844</v>
      </c>
      <c r="F179" s="113" t="s">
        <v>845</v>
      </c>
      <c r="G179" s="116" t="s">
        <v>846</v>
      </c>
      <c r="H179" s="79">
        <v>46112</v>
      </c>
      <c r="I179" s="114" t="s">
        <v>79</v>
      </c>
      <c r="J179" s="117" t="s">
        <v>847</v>
      </c>
      <c r="K179" s="118">
        <v>46108</v>
      </c>
      <c r="L179" s="114" t="s">
        <v>81</v>
      </c>
      <c r="M179" s="119">
        <v>46112</v>
      </c>
      <c r="N179" s="128">
        <v>46112</v>
      </c>
      <c r="O179" s="120">
        <f>NETWORKDAYS.INTL(K179,N179,1,$AM$2:$AM$10)-1</f>
        <v>2</v>
      </c>
      <c r="P179" s="114" t="s">
        <v>81</v>
      </c>
      <c r="Q179" s="114" t="s">
        <v>79</v>
      </c>
      <c r="R179" s="115"/>
      <c r="S179" s="145">
        <v>615</v>
      </c>
      <c r="T179" s="148" t="s">
        <v>848</v>
      </c>
      <c r="U179" s="147">
        <v>2</v>
      </c>
      <c r="V179" s="121">
        <v>229</v>
      </c>
      <c r="W179" s="121">
        <v>1280</v>
      </c>
      <c r="X179" s="114" t="s">
        <v>84</v>
      </c>
      <c r="Y179" s="115" t="s">
        <v>85</v>
      </c>
      <c r="Z179" s="115" t="s">
        <v>342</v>
      </c>
      <c r="AA179" s="113" t="s">
        <v>87</v>
      </c>
      <c r="AB179" s="122">
        <v>554.80999999999995</v>
      </c>
      <c r="AC179" s="122">
        <f>IF(C179="DENALI", AB179*0.495, IF(C179="SCHNEIDER ELECTRIC", AB179*1.136, IF(C179="WWT", AB179*1.2, AC179)))+AB179</f>
        <v>829.44094999999993</v>
      </c>
      <c r="AD179" s="129">
        <f>AC179-AB179</f>
        <v>274.63094999999998</v>
      </c>
      <c r="AE179" s="122">
        <v>169802.26</v>
      </c>
      <c r="AF179" s="130">
        <f>AB179/U179</f>
        <v>277.40499999999997</v>
      </c>
      <c r="AG179" s="130">
        <f>AB179/V179</f>
        <v>2.4227510917030566</v>
      </c>
      <c r="AH179" s="123">
        <f>AB179/S179</f>
        <v>0.90213008130081296</v>
      </c>
      <c r="AI179" s="124" t="s">
        <v>97</v>
      </c>
      <c r="AJ179" s="125" t="s">
        <v>349</v>
      </c>
      <c r="AK179"/>
      <c r="AM179" s="80"/>
    </row>
    <row r="180" spans="1:39" ht="28.5" customHeight="1">
      <c r="A180" s="113" t="s">
        <v>73</v>
      </c>
      <c r="B180" s="114" t="s">
        <v>74</v>
      </c>
      <c r="C180" s="113" t="s">
        <v>35</v>
      </c>
      <c r="D180" s="113" t="s">
        <v>218</v>
      </c>
      <c r="E180" s="115" t="s">
        <v>849</v>
      </c>
      <c r="F180" s="113" t="s">
        <v>131</v>
      </c>
      <c r="G180" s="116" t="s">
        <v>850</v>
      </c>
      <c r="H180" s="79">
        <v>46113</v>
      </c>
      <c r="I180" s="114" t="s">
        <v>79</v>
      </c>
      <c r="J180" s="117" t="s">
        <v>851</v>
      </c>
      <c r="K180" s="118">
        <v>46111</v>
      </c>
      <c r="L180" s="114" t="s">
        <v>79</v>
      </c>
      <c r="M180" s="119">
        <v>46113</v>
      </c>
      <c r="N180" s="128">
        <v>46118</v>
      </c>
      <c r="O180" s="120">
        <f>NETWORKDAYS.INTL(K180,N180,1,$AM$2:$AM$10)-1</f>
        <v>5</v>
      </c>
      <c r="P180" s="114" t="s">
        <v>79</v>
      </c>
      <c r="Q180" s="114" t="s">
        <v>79</v>
      </c>
      <c r="R180" s="115"/>
      <c r="S180" s="145">
        <v>871</v>
      </c>
      <c r="T180" s="148" t="s">
        <v>852</v>
      </c>
      <c r="U180" s="147">
        <v>1</v>
      </c>
      <c r="V180" s="121">
        <v>2</v>
      </c>
      <c r="W180" s="121">
        <v>315</v>
      </c>
      <c r="X180" s="114" t="s">
        <v>84</v>
      </c>
      <c r="Y180" s="115" t="s">
        <v>85</v>
      </c>
      <c r="Z180" s="115" t="s">
        <v>342</v>
      </c>
      <c r="AA180" s="113" t="s">
        <v>87</v>
      </c>
      <c r="AB180" s="122">
        <v>358.65</v>
      </c>
      <c r="AC180" s="122">
        <f>IF(C180="DENALI", AB180*0.495, IF(C180="SCHNEIDER ELECTRIC", AB180*1.136, IF(C180="WWT", AB180*1.2, AC180)))+AB180</f>
        <v>536.18174999999997</v>
      </c>
      <c r="AD180" s="129">
        <f>AC180-AB180</f>
        <v>177.53174999999999</v>
      </c>
      <c r="AE180" s="122">
        <v>8908.42</v>
      </c>
      <c r="AF180" s="130">
        <f>AB180/U180</f>
        <v>358.65</v>
      </c>
      <c r="AG180" s="130">
        <f>AB180/V180</f>
        <v>179.32499999999999</v>
      </c>
      <c r="AH180" s="123">
        <f>AB180/S180</f>
        <v>0.41176808266360504</v>
      </c>
      <c r="AI180" s="124" t="s">
        <v>853</v>
      </c>
      <c r="AJ180" s="125" t="s">
        <v>349</v>
      </c>
      <c r="AK180"/>
      <c r="AM180" s="80"/>
    </row>
    <row r="181" spans="1:39" ht="28.5" customHeight="1">
      <c r="A181" s="113" t="s">
        <v>73</v>
      </c>
      <c r="B181" s="114" t="s">
        <v>74</v>
      </c>
      <c r="C181" s="113" t="s">
        <v>35</v>
      </c>
      <c r="D181" s="113" t="s">
        <v>218</v>
      </c>
      <c r="E181" s="115" t="s">
        <v>596</v>
      </c>
      <c r="F181" s="113" t="s">
        <v>92</v>
      </c>
      <c r="G181" s="116" t="s">
        <v>854</v>
      </c>
      <c r="H181" s="79">
        <v>46112</v>
      </c>
      <c r="I181" s="114" t="s">
        <v>79</v>
      </c>
      <c r="J181" s="117" t="s">
        <v>855</v>
      </c>
      <c r="K181" s="118">
        <v>46108</v>
      </c>
      <c r="L181" s="114" t="s">
        <v>81</v>
      </c>
      <c r="M181" s="119">
        <v>46114</v>
      </c>
      <c r="N181" s="128">
        <v>46114</v>
      </c>
      <c r="O181" s="120">
        <f>NETWORKDAYS.INTL(K181,N181,1,$AM$2:$AM$10)-1</f>
        <v>4</v>
      </c>
      <c r="P181" s="114" t="s">
        <v>81</v>
      </c>
      <c r="Q181" s="114" t="s">
        <v>79</v>
      </c>
      <c r="R181" s="115"/>
      <c r="S181" s="145">
        <v>1563</v>
      </c>
      <c r="T181" s="148" t="s">
        <v>856</v>
      </c>
      <c r="U181" s="147">
        <v>1</v>
      </c>
      <c r="V181" s="121">
        <v>32</v>
      </c>
      <c r="W181" s="121">
        <v>240</v>
      </c>
      <c r="X181" s="114" t="s">
        <v>84</v>
      </c>
      <c r="Y181" s="115" t="s">
        <v>85</v>
      </c>
      <c r="Z181" s="115" t="s">
        <v>342</v>
      </c>
      <c r="AA181" s="113" t="s">
        <v>87</v>
      </c>
      <c r="AB181" s="122">
        <v>434.13</v>
      </c>
      <c r="AC181" s="122">
        <f>IF(C181="DENALI", AB181*0.495, IF(C181="SCHNEIDER ELECTRIC", AB181*1.136, IF(C181="WWT", AB181*1.2, AC181)))+AB181</f>
        <v>649.02435000000003</v>
      </c>
      <c r="AD181" s="129">
        <f>AC181-AB181</f>
        <v>214.89435000000003</v>
      </c>
      <c r="AE181" s="122">
        <v>14587.26</v>
      </c>
      <c r="AF181" s="130">
        <f>AB181/U181</f>
        <v>434.13</v>
      </c>
      <c r="AG181" s="130">
        <f>AB181/V181</f>
        <v>13.5665625</v>
      </c>
      <c r="AH181" s="123">
        <f>AB181/S181</f>
        <v>0.27775431861804223</v>
      </c>
      <c r="AI181" s="124" t="s">
        <v>155</v>
      </c>
      <c r="AJ181" s="125" t="s">
        <v>89</v>
      </c>
      <c r="AK181"/>
      <c r="AM181" s="80"/>
    </row>
    <row r="182" spans="1:39" ht="28.5" customHeight="1">
      <c r="A182" s="113" t="s">
        <v>73</v>
      </c>
      <c r="B182" s="114" t="s">
        <v>74</v>
      </c>
      <c r="C182" s="113" t="s">
        <v>35</v>
      </c>
      <c r="D182" s="113" t="s">
        <v>218</v>
      </c>
      <c r="E182" s="115" t="s">
        <v>857</v>
      </c>
      <c r="F182" s="113" t="s">
        <v>90</v>
      </c>
      <c r="G182" s="116" t="s">
        <v>858</v>
      </c>
      <c r="H182" s="79">
        <v>46112</v>
      </c>
      <c r="I182" s="114" t="s">
        <v>79</v>
      </c>
      <c r="J182" s="117" t="s">
        <v>859</v>
      </c>
      <c r="K182" s="118">
        <v>46108</v>
      </c>
      <c r="L182" s="114" t="s">
        <v>81</v>
      </c>
      <c r="M182" s="119">
        <v>46113</v>
      </c>
      <c r="N182" s="128">
        <v>46113</v>
      </c>
      <c r="O182" s="120">
        <f>NETWORKDAYS.INTL(K182,N182,1,$AM$2:$AM$10)-1</f>
        <v>3</v>
      </c>
      <c r="P182" s="114" t="s">
        <v>81</v>
      </c>
      <c r="Q182" s="114" t="s">
        <v>79</v>
      </c>
      <c r="R182" s="115"/>
      <c r="S182" s="145">
        <v>2258</v>
      </c>
      <c r="T182" s="148" t="s">
        <v>860</v>
      </c>
      <c r="U182" s="147">
        <v>3</v>
      </c>
      <c r="V182" s="121">
        <v>44</v>
      </c>
      <c r="W182" s="121">
        <v>1450</v>
      </c>
      <c r="X182" s="114" t="s">
        <v>84</v>
      </c>
      <c r="Y182" s="115" t="s">
        <v>85</v>
      </c>
      <c r="Z182" s="115" t="s">
        <v>342</v>
      </c>
      <c r="AA182" s="113" t="s">
        <v>87</v>
      </c>
      <c r="AB182" s="122">
        <v>1119.25</v>
      </c>
      <c r="AC182" s="122">
        <f>IF(C182="DENALI", AB182*0.495, IF(C182="SCHNEIDER ELECTRIC", AB182*1.136, IF(C182="WWT", AB182*1.2, AC182)))+AB182</f>
        <v>1673.2787499999999</v>
      </c>
      <c r="AD182" s="129">
        <f>AC182-AB182</f>
        <v>554.02874999999995</v>
      </c>
      <c r="AE182" s="122">
        <v>55870.76</v>
      </c>
      <c r="AF182" s="130">
        <f>AB182/U182</f>
        <v>373.08333333333331</v>
      </c>
      <c r="AG182" s="130">
        <f>AB182/V182</f>
        <v>25.4375</v>
      </c>
      <c r="AH182" s="123">
        <f>AB182/S182</f>
        <v>0.49568201948627105</v>
      </c>
      <c r="AI182" s="124" t="s">
        <v>147</v>
      </c>
      <c r="AJ182" s="125" t="s">
        <v>343</v>
      </c>
      <c r="AK182"/>
      <c r="AM182" s="80"/>
    </row>
    <row r="183" spans="1:39" ht="28.5" customHeight="1">
      <c r="A183" s="113" t="s">
        <v>73</v>
      </c>
      <c r="B183" s="114" t="s">
        <v>74</v>
      </c>
      <c r="C183" s="113" t="s">
        <v>35</v>
      </c>
      <c r="D183" s="113" t="s">
        <v>218</v>
      </c>
      <c r="E183" s="115" t="s">
        <v>861</v>
      </c>
      <c r="F183" s="113" t="s">
        <v>162</v>
      </c>
      <c r="G183" s="116" t="s">
        <v>862</v>
      </c>
      <c r="H183" s="79">
        <v>46112</v>
      </c>
      <c r="I183" s="114" t="s">
        <v>79</v>
      </c>
      <c r="J183" s="117" t="s">
        <v>863</v>
      </c>
      <c r="K183" s="118">
        <v>46108</v>
      </c>
      <c r="L183" s="114" t="s">
        <v>81</v>
      </c>
      <c r="M183" s="119">
        <v>46113</v>
      </c>
      <c r="N183" s="128">
        <v>46122</v>
      </c>
      <c r="O183" s="120">
        <f>NETWORKDAYS.INTL(K183,N183,1,$AM$2:$AM$10)-1</f>
        <v>10</v>
      </c>
      <c r="P183" s="114" t="s">
        <v>79</v>
      </c>
      <c r="Q183" s="114" t="s">
        <v>79</v>
      </c>
      <c r="R183" s="115"/>
      <c r="S183" s="145">
        <v>1976</v>
      </c>
      <c r="T183" s="148" t="s">
        <v>864</v>
      </c>
      <c r="U183" s="147">
        <v>1</v>
      </c>
      <c r="V183" s="121">
        <v>60</v>
      </c>
      <c r="W183" s="121">
        <v>595</v>
      </c>
      <c r="X183" s="114" t="s">
        <v>84</v>
      </c>
      <c r="Y183" s="115" t="s">
        <v>85</v>
      </c>
      <c r="Z183" s="115" t="s">
        <v>86</v>
      </c>
      <c r="AA183" s="113" t="s">
        <v>87</v>
      </c>
      <c r="AB183" s="122">
        <v>426.87</v>
      </c>
      <c r="AC183" s="122">
        <f>IF(C183="DENALI", AB183*0.495, IF(C183="SCHNEIDER ELECTRIC", AB183*1.136, IF(C183="WWT", AB183*1.2, AC183)))+AB183</f>
        <v>638.17065000000002</v>
      </c>
      <c r="AD183" s="129">
        <f>AC183-AB183</f>
        <v>211.30065000000002</v>
      </c>
      <c r="AE183" s="122">
        <v>20793.599999999999</v>
      </c>
      <c r="AF183" s="130">
        <f>AB183/U183</f>
        <v>426.87</v>
      </c>
      <c r="AG183" s="130">
        <f>AB183/V183</f>
        <v>7.1145000000000005</v>
      </c>
      <c r="AH183" s="123">
        <f>AB183/S183</f>
        <v>0.21602732793522267</v>
      </c>
      <c r="AI183" s="124" t="s">
        <v>865</v>
      </c>
      <c r="AJ183" s="125" t="s">
        <v>349</v>
      </c>
      <c r="AK183"/>
      <c r="AM183" s="80"/>
    </row>
    <row r="184" spans="1:39" ht="28.5" customHeight="1">
      <c r="A184" s="113" t="s">
        <v>73</v>
      </c>
      <c r="B184" s="114" t="s">
        <v>74</v>
      </c>
      <c r="C184" s="113" t="s">
        <v>35</v>
      </c>
      <c r="D184" s="113" t="s">
        <v>99</v>
      </c>
      <c r="E184" s="115" t="s">
        <v>866</v>
      </c>
      <c r="F184" s="113" t="s">
        <v>90</v>
      </c>
      <c r="G184" s="116" t="s">
        <v>867</v>
      </c>
      <c r="H184" s="79">
        <v>46112</v>
      </c>
      <c r="I184" s="114" t="s">
        <v>79</v>
      </c>
      <c r="J184" s="117" t="s">
        <v>868</v>
      </c>
      <c r="K184" s="118">
        <v>46108</v>
      </c>
      <c r="L184" s="114" t="s">
        <v>81</v>
      </c>
      <c r="M184" s="119">
        <v>46113</v>
      </c>
      <c r="N184" s="128">
        <v>46113</v>
      </c>
      <c r="O184" s="120">
        <f>NETWORKDAYS.INTL(K184,N184,1,$AM$2:$AM$10)-1</f>
        <v>3</v>
      </c>
      <c r="P184" s="114" t="s">
        <v>81</v>
      </c>
      <c r="Q184" s="114" t="s">
        <v>79</v>
      </c>
      <c r="R184" s="115" t="s">
        <v>869</v>
      </c>
      <c r="S184" s="145">
        <v>838</v>
      </c>
      <c r="T184" s="148" t="s">
        <v>870</v>
      </c>
      <c r="U184" s="147">
        <v>2</v>
      </c>
      <c r="V184" s="121">
        <v>67</v>
      </c>
      <c r="W184" s="121">
        <v>650</v>
      </c>
      <c r="X184" s="114" t="s">
        <v>84</v>
      </c>
      <c r="Y184" s="115" t="s">
        <v>85</v>
      </c>
      <c r="Z184" s="115" t="s">
        <v>871</v>
      </c>
      <c r="AA184" s="113" t="s">
        <v>87</v>
      </c>
      <c r="AB184" s="122">
        <v>388.44</v>
      </c>
      <c r="AC184" s="122">
        <f>IF(C184="DENALI", AB184*0.495, IF(C184="SCHNEIDER ELECTRIC", AB184*1.136, IF(C184="WWT", AB184*1.2, AC184)))+AB184</f>
        <v>580.71780000000001</v>
      </c>
      <c r="AD184" s="129">
        <f>AC184-AB184</f>
        <v>192.27780000000001</v>
      </c>
      <c r="AE184" s="122">
        <v>13252.62</v>
      </c>
      <c r="AF184" s="130">
        <f>AB184/U184</f>
        <v>194.22</v>
      </c>
      <c r="AG184" s="130">
        <f>AB184/V184</f>
        <v>5.7976119402985073</v>
      </c>
      <c r="AH184" s="123">
        <f>AB184/S184</f>
        <v>0.46353221957040575</v>
      </c>
      <c r="AI184" s="124" t="s">
        <v>147</v>
      </c>
      <c r="AJ184" s="125" t="s">
        <v>343</v>
      </c>
      <c r="AK184"/>
      <c r="AM184" s="80"/>
    </row>
    <row r="185" spans="1:39" ht="28.5" customHeight="1">
      <c r="A185" s="113" t="s">
        <v>73</v>
      </c>
      <c r="B185" s="114" t="s">
        <v>74</v>
      </c>
      <c r="C185" s="113" t="s">
        <v>35</v>
      </c>
      <c r="D185" s="113" t="s">
        <v>99</v>
      </c>
      <c r="E185" s="115" t="s">
        <v>872</v>
      </c>
      <c r="F185" s="113" t="s">
        <v>90</v>
      </c>
      <c r="G185" s="116">
        <v>22639708</v>
      </c>
      <c r="H185" s="79">
        <v>46117</v>
      </c>
      <c r="I185" s="114" t="s">
        <v>79</v>
      </c>
      <c r="J185" s="117" t="s">
        <v>873</v>
      </c>
      <c r="K185" s="118">
        <v>46113</v>
      </c>
      <c r="L185" s="114" t="s">
        <v>81</v>
      </c>
      <c r="M185" s="119">
        <v>46114</v>
      </c>
      <c r="N185" s="128">
        <v>46114</v>
      </c>
      <c r="O185" s="120">
        <f>NETWORKDAYS.INTL(K185,N185,1,$AM$2:$AM$10)-1</f>
        <v>1</v>
      </c>
      <c r="P185" s="114" t="s">
        <v>81</v>
      </c>
      <c r="Q185" s="114" t="s">
        <v>79</v>
      </c>
      <c r="R185" s="115" t="s">
        <v>874</v>
      </c>
      <c r="S185" s="145">
        <v>763</v>
      </c>
      <c r="T185" s="148" t="s">
        <v>875</v>
      </c>
      <c r="U185" s="147">
        <v>15</v>
      </c>
      <c r="V185" s="121">
        <v>15</v>
      </c>
      <c r="W185" s="121">
        <v>12410</v>
      </c>
      <c r="X185" s="114" t="s">
        <v>113</v>
      </c>
      <c r="Y185" s="115" t="s">
        <v>85</v>
      </c>
      <c r="Z185" s="115" t="s">
        <v>876</v>
      </c>
      <c r="AA185" s="113" t="s">
        <v>87</v>
      </c>
      <c r="AB185" s="122">
        <v>1714.99</v>
      </c>
      <c r="AC185" s="122">
        <f>IF(C185="DENALI", AB185*0.495, IF(C185="SCHNEIDER ELECTRIC", AB185*1.136, IF(C185="WWT", AB185*1.2, AC185)))+AB185</f>
        <v>2563.91005</v>
      </c>
      <c r="AD185" s="129">
        <f>AC185-AB185</f>
        <v>848.92004999999995</v>
      </c>
      <c r="AE185" s="122">
        <v>301964.05</v>
      </c>
      <c r="AF185" s="130">
        <f>AB185/U185</f>
        <v>114.33266666666667</v>
      </c>
      <c r="AG185" s="130">
        <f>AB185/V185</f>
        <v>114.33266666666667</v>
      </c>
      <c r="AH185" s="123">
        <f>AB185/S185</f>
        <v>2.2476933158584536</v>
      </c>
      <c r="AI185" s="124" t="s">
        <v>147</v>
      </c>
      <c r="AJ185" s="125" t="s">
        <v>343</v>
      </c>
      <c r="AK185"/>
      <c r="AM185" s="80"/>
    </row>
    <row r="186" spans="1:39" ht="28.5" customHeight="1">
      <c r="A186" s="113" t="s">
        <v>73</v>
      </c>
      <c r="B186" s="114" t="s">
        <v>140</v>
      </c>
      <c r="C186" s="113" t="s">
        <v>36</v>
      </c>
      <c r="D186" s="113" t="s">
        <v>75</v>
      </c>
      <c r="E186" s="115" t="s">
        <v>141</v>
      </c>
      <c r="F186" s="113" t="s">
        <v>142</v>
      </c>
      <c r="G186" s="116" t="s">
        <v>877</v>
      </c>
      <c r="H186" s="79">
        <v>46118</v>
      </c>
      <c r="I186" s="114" t="s">
        <v>79</v>
      </c>
      <c r="J186" s="117" t="s">
        <v>878</v>
      </c>
      <c r="K186" s="118">
        <v>46112</v>
      </c>
      <c r="L186" s="114" t="s">
        <v>81</v>
      </c>
      <c r="M186" s="119">
        <v>46115</v>
      </c>
      <c r="N186" s="128">
        <v>46115</v>
      </c>
      <c r="O186" s="120">
        <f>NETWORKDAYS.INTL(K186,N186,1,$AM$2:$AM$10)-1</f>
        <v>3</v>
      </c>
      <c r="P186" s="114" t="s">
        <v>81</v>
      </c>
      <c r="Q186" s="114" t="s">
        <v>79</v>
      </c>
      <c r="R186" s="115" t="s">
        <v>763</v>
      </c>
      <c r="S186" s="145">
        <v>721</v>
      </c>
      <c r="T186" s="148" t="s">
        <v>879</v>
      </c>
      <c r="U186" s="147">
        <v>1</v>
      </c>
      <c r="V186" s="121">
        <v>8</v>
      </c>
      <c r="W186" s="121">
        <v>614</v>
      </c>
      <c r="X186" s="114" t="s">
        <v>84</v>
      </c>
      <c r="Y186" s="115" t="s">
        <v>85</v>
      </c>
      <c r="Z186" s="115" t="s">
        <v>86</v>
      </c>
      <c r="AA186" s="113" t="s">
        <v>87</v>
      </c>
      <c r="AB186" s="122">
        <v>254.74</v>
      </c>
      <c r="AC186" s="122">
        <f>IF(C186="DENALI", AB186*0.495, IF(C186="SCHNEIDER ELECTRIC", AB186*1.136, IF(C186="WWT", AB186*1.2, AC186)))+AB186</f>
        <v>544.12464</v>
      </c>
      <c r="AD186" s="129">
        <f>AC186-AB186</f>
        <v>289.38463999999999</v>
      </c>
      <c r="AE186" s="122">
        <v>9857.44</v>
      </c>
      <c r="AF186" s="130">
        <f>AB186/U186</f>
        <v>254.74</v>
      </c>
      <c r="AG186" s="130">
        <f>AB186/V186</f>
        <v>31.842500000000001</v>
      </c>
      <c r="AH186" s="123">
        <f>AB186/S186</f>
        <v>0.3533148404993065</v>
      </c>
      <c r="AI186" s="124" t="s">
        <v>155</v>
      </c>
      <c r="AJ186" s="125" t="s">
        <v>89</v>
      </c>
      <c r="AK186"/>
      <c r="AM186" s="80"/>
    </row>
    <row r="187" spans="1:39" ht="28.5" customHeight="1">
      <c r="A187" s="113" t="s">
        <v>73</v>
      </c>
      <c r="B187" s="114" t="s">
        <v>140</v>
      </c>
      <c r="C187" s="113" t="s">
        <v>36</v>
      </c>
      <c r="D187" s="113" t="s">
        <v>75</v>
      </c>
      <c r="E187" s="115" t="s">
        <v>141</v>
      </c>
      <c r="F187" s="113" t="s">
        <v>142</v>
      </c>
      <c r="G187" s="116" t="s">
        <v>880</v>
      </c>
      <c r="H187" s="79">
        <v>46118</v>
      </c>
      <c r="I187" s="114" t="s">
        <v>79</v>
      </c>
      <c r="J187" s="117" t="s">
        <v>881</v>
      </c>
      <c r="K187" s="118">
        <v>46112</v>
      </c>
      <c r="L187" s="114" t="s">
        <v>81</v>
      </c>
      <c r="M187" s="119">
        <v>46115</v>
      </c>
      <c r="N187" s="128">
        <v>46115</v>
      </c>
      <c r="O187" s="120">
        <f>NETWORKDAYS.INTL(K187,N187,1,$AM$2:$AM$10)-1</f>
        <v>3</v>
      </c>
      <c r="P187" s="114" t="s">
        <v>81</v>
      </c>
      <c r="Q187" s="114" t="s">
        <v>79</v>
      </c>
      <c r="R187" s="115" t="s">
        <v>763</v>
      </c>
      <c r="S187" s="145">
        <v>721</v>
      </c>
      <c r="T187" s="148" t="s">
        <v>882</v>
      </c>
      <c r="U187" s="147">
        <v>2</v>
      </c>
      <c r="V187" s="121">
        <v>25</v>
      </c>
      <c r="W187" s="121">
        <v>1377</v>
      </c>
      <c r="X187" s="114" t="s">
        <v>84</v>
      </c>
      <c r="Y187" s="115" t="s">
        <v>85</v>
      </c>
      <c r="Z187" s="115" t="s">
        <v>86</v>
      </c>
      <c r="AA187" s="113" t="s">
        <v>87</v>
      </c>
      <c r="AB187" s="122">
        <v>348.96</v>
      </c>
      <c r="AC187" s="122">
        <f>IF(C187="DENALI", AB187*0.495, IF(C187="SCHNEIDER ELECTRIC", AB187*1.136, IF(C187="WWT", AB187*1.2, AC187)))+AB187</f>
        <v>745.37855999999988</v>
      </c>
      <c r="AD187" s="129">
        <f>AC187-AB187</f>
        <v>396.4185599999999</v>
      </c>
      <c r="AE187" s="122">
        <v>14097.3</v>
      </c>
      <c r="AF187" s="130">
        <f>AB187/U187</f>
        <v>174.48</v>
      </c>
      <c r="AG187" s="130">
        <f>AB187/V187</f>
        <v>13.958399999999999</v>
      </c>
      <c r="AH187" s="123">
        <f>AB187/S187</f>
        <v>0.48399445214979192</v>
      </c>
      <c r="AI187" s="124" t="s">
        <v>183</v>
      </c>
      <c r="AJ187" s="125" t="s">
        <v>379</v>
      </c>
      <c r="AK187"/>
      <c r="AM187" s="80"/>
    </row>
    <row r="188" spans="1:39" ht="28.5" customHeight="1">
      <c r="A188" s="113" t="s">
        <v>73</v>
      </c>
      <c r="B188" s="114" t="s">
        <v>74</v>
      </c>
      <c r="C188" s="113" t="s">
        <v>35</v>
      </c>
      <c r="D188" s="113" t="s">
        <v>99</v>
      </c>
      <c r="E188" s="115" t="s">
        <v>883</v>
      </c>
      <c r="F188" s="113" t="s">
        <v>254</v>
      </c>
      <c r="G188" s="116" t="s">
        <v>884</v>
      </c>
      <c r="H188" s="79">
        <v>46121</v>
      </c>
      <c r="I188" s="114" t="s">
        <v>79</v>
      </c>
      <c r="J188" s="117" t="s">
        <v>885</v>
      </c>
      <c r="K188" s="118">
        <v>46113</v>
      </c>
      <c r="L188" s="114" t="s">
        <v>81</v>
      </c>
      <c r="M188" s="119">
        <v>46120</v>
      </c>
      <c r="N188" s="128">
        <v>46120</v>
      </c>
      <c r="O188" s="120">
        <f>NETWORKDAYS.INTL(K188,N188,1,$AM$2:$AM$10)-1</f>
        <v>5</v>
      </c>
      <c r="P188" s="114" t="s">
        <v>81</v>
      </c>
      <c r="Q188" s="114" t="s">
        <v>79</v>
      </c>
      <c r="R188" s="115"/>
      <c r="S188" s="145">
        <v>2776</v>
      </c>
      <c r="T188" s="148" t="s">
        <v>886</v>
      </c>
      <c r="U188" s="147">
        <v>5</v>
      </c>
      <c r="V188" s="121">
        <v>132</v>
      </c>
      <c r="W188" s="121">
        <v>2790</v>
      </c>
      <c r="X188" s="114" t="s">
        <v>84</v>
      </c>
      <c r="Y188" s="115" t="s">
        <v>85</v>
      </c>
      <c r="Z188" s="115" t="s">
        <v>342</v>
      </c>
      <c r="AA188" s="113" t="s">
        <v>87</v>
      </c>
      <c r="AB188" s="122">
        <v>1211.55</v>
      </c>
      <c r="AC188" s="122">
        <f>IF(C188="DENALI", AB188*0.495, IF(C188="SCHNEIDER ELECTRIC", AB188*1.136, IF(C188="WWT", AB188*1.2, AC188)))+AB188</f>
        <v>1811.2672499999999</v>
      </c>
      <c r="AD188" s="129">
        <f>AC188-AB188</f>
        <v>599.71724999999992</v>
      </c>
      <c r="AE188" s="122">
        <v>322372.52</v>
      </c>
      <c r="AF188" s="130">
        <f>AB188/U188</f>
        <v>242.31</v>
      </c>
      <c r="AG188" s="130">
        <f>AB188/V188</f>
        <v>9.1784090909090903</v>
      </c>
      <c r="AH188" s="123">
        <f>AB188/S188</f>
        <v>0.43643731988472623</v>
      </c>
      <c r="AI188" s="124" t="s">
        <v>97</v>
      </c>
      <c r="AJ188" s="125" t="s">
        <v>349</v>
      </c>
      <c r="AK188"/>
      <c r="AM188" s="80"/>
    </row>
    <row r="189" spans="1:39" ht="28.5" customHeight="1">
      <c r="A189" s="113" t="s">
        <v>73</v>
      </c>
      <c r="B189" s="114" t="s">
        <v>74</v>
      </c>
      <c r="C189" s="113" t="s">
        <v>35</v>
      </c>
      <c r="D189" s="113" t="s">
        <v>99</v>
      </c>
      <c r="E189" s="115" t="s">
        <v>125</v>
      </c>
      <c r="F189" s="113" t="s">
        <v>90</v>
      </c>
      <c r="G189" s="116" t="s">
        <v>887</v>
      </c>
      <c r="H189" s="79">
        <v>46121</v>
      </c>
      <c r="I189" s="114" t="s">
        <v>79</v>
      </c>
      <c r="J189" s="117" t="s">
        <v>888</v>
      </c>
      <c r="K189" s="118">
        <v>46113</v>
      </c>
      <c r="L189" s="114" t="s">
        <v>81</v>
      </c>
      <c r="M189" s="119">
        <v>46118</v>
      </c>
      <c r="N189" s="128">
        <v>46118</v>
      </c>
      <c r="O189" s="120">
        <f>NETWORKDAYS.INTL(K189,N189,1,$AM$2:$AM$10)-1</f>
        <v>3</v>
      </c>
      <c r="P189" s="114" t="s">
        <v>81</v>
      </c>
      <c r="Q189" s="114" t="s">
        <v>79</v>
      </c>
      <c r="R189" s="115"/>
      <c r="S189" s="145">
        <v>918</v>
      </c>
      <c r="T189" s="148" t="s">
        <v>889</v>
      </c>
      <c r="U189" s="147">
        <v>1</v>
      </c>
      <c r="V189" s="121">
        <v>13</v>
      </c>
      <c r="W189" s="121">
        <v>545</v>
      </c>
      <c r="X189" s="114" t="s">
        <v>84</v>
      </c>
      <c r="Y189" s="115" t="s">
        <v>85</v>
      </c>
      <c r="Z189" s="115" t="s">
        <v>871</v>
      </c>
      <c r="AA189" s="113" t="s">
        <v>87</v>
      </c>
      <c r="AB189" s="122">
        <v>267.92</v>
      </c>
      <c r="AC189" s="122">
        <f>IF(C189="DENALI", AB189*0.495, IF(C189="SCHNEIDER ELECTRIC", AB189*1.136, IF(C189="WWT", AB189*1.2, AC189)))+AB189</f>
        <v>400.54040000000003</v>
      </c>
      <c r="AD189" s="129">
        <f>AC189-AB189</f>
        <v>132.62040000000002</v>
      </c>
      <c r="AE189" s="122">
        <v>23850.400000000001</v>
      </c>
      <c r="AF189" s="130">
        <f>AB189/U189</f>
        <v>267.92</v>
      </c>
      <c r="AG189" s="130">
        <f>AB189/V189</f>
        <v>20.60923076923077</v>
      </c>
      <c r="AH189" s="123">
        <f>AB189/S189</f>
        <v>0.29185185185185186</v>
      </c>
      <c r="AI189" s="124" t="s">
        <v>97</v>
      </c>
      <c r="AJ189" s="125" t="s">
        <v>349</v>
      </c>
      <c r="AK189"/>
      <c r="AM189" s="80"/>
    </row>
    <row r="190" spans="1:39" ht="28.5" customHeight="1">
      <c r="A190" s="113" t="s">
        <v>73</v>
      </c>
      <c r="B190" s="114" t="s">
        <v>74</v>
      </c>
      <c r="C190" s="113" t="s">
        <v>35</v>
      </c>
      <c r="D190" s="113" t="s">
        <v>99</v>
      </c>
      <c r="E190" s="115" t="s">
        <v>890</v>
      </c>
      <c r="F190" s="113" t="s">
        <v>92</v>
      </c>
      <c r="G190" s="116" t="s">
        <v>891</v>
      </c>
      <c r="H190" s="79">
        <v>46119</v>
      </c>
      <c r="I190" s="114" t="s">
        <v>79</v>
      </c>
      <c r="J190" s="117" t="s">
        <v>892</v>
      </c>
      <c r="K190" s="118">
        <v>46113</v>
      </c>
      <c r="L190" s="114" t="s">
        <v>81</v>
      </c>
      <c r="M190" s="119">
        <v>46120</v>
      </c>
      <c r="N190" s="128">
        <v>46120</v>
      </c>
      <c r="O190" s="120">
        <f>NETWORKDAYS.INTL(K190,N190,1,$AM$2:$AM$10)-1</f>
        <v>5</v>
      </c>
      <c r="P190" s="114" t="s">
        <v>81</v>
      </c>
      <c r="Q190" s="114" t="s">
        <v>79</v>
      </c>
      <c r="R190" s="115" t="s">
        <v>893</v>
      </c>
      <c r="S190" s="145">
        <v>2122</v>
      </c>
      <c r="T190" s="148" t="s">
        <v>894</v>
      </c>
      <c r="U190" s="147">
        <v>1</v>
      </c>
      <c r="V190" s="121">
        <v>2</v>
      </c>
      <c r="W190" s="121">
        <v>220</v>
      </c>
      <c r="X190" s="114" t="s">
        <v>84</v>
      </c>
      <c r="Y190" s="115" t="s">
        <v>85</v>
      </c>
      <c r="Z190" s="115" t="s">
        <v>86</v>
      </c>
      <c r="AA190" s="113" t="s">
        <v>87</v>
      </c>
      <c r="AB190" s="122">
        <v>190.28</v>
      </c>
      <c r="AC190" s="122">
        <f>IF(C190="DENALI", AB190*0.495, IF(C190="SCHNEIDER ELECTRIC", AB190*1.136, IF(C190="WWT", AB190*1.2, AC190)))+AB190</f>
        <v>284.46859999999998</v>
      </c>
      <c r="AD190" s="129">
        <f>AC190-AB190</f>
        <v>94.18859999999998</v>
      </c>
      <c r="AE190" s="122">
        <v>65293.2</v>
      </c>
      <c r="AF190" s="130">
        <f>AB190/U190</f>
        <v>190.28</v>
      </c>
      <c r="AG190" s="130">
        <f>AB190/V190</f>
        <v>95.14</v>
      </c>
      <c r="AH190" s="123">
        <f>AB190/S190</f>
        <v>8.9670122525918938E-2</v>
      </c>
      <c r="AI190" s="124" t="s">
        <v>115</v>
      </c>
      <c r="AJ190" s="125" t="s">
        <v>107</v>
      </c>
      <c r="AK190"/>
      <c r="AM190" s="80"/>
    </row>
    <row r="191" spans="1:39" ht="28.5" customHeight="1">
      <c r="A191" s="113" t="s">
        <v>73</v>
      </c>
      <c r="B191" s="114" t="s">
        <v>140</v>
      </c>
      <c r="C191" s="113" t="s">
        <v>35</v>
      </c>
      <c r="D191" s="113" t="s">
        <v>99</v>
      </c>
      <c r="E191" s="115" t="s">
        <v>141</v>
      </c>
      <c r="F191" s="113" t="s">
        <v>142</v>
      </c>
      <c r="G191" s="116" t="s">
        <v>895</v>
      </c>
      <c r="H191" s="79">
        <v>46119</v>
      </c>
      <c r="I191" s="114" t="s">
        <v>79</v>
      </c>
      <c r="J191" s="117" t="s">
        <v>896</v>
      </c>
      <c r="K191" s="118">
        <v>46113</v>
      </c>
      <c r="L191" s="114" t="s">
        <v>81</v>
      </c>
      <c r="M191" s="119">
        <v>46120</v>
      </c>
      <c r="N191" s="128">
        <v>46120</v>
      </c>
      <c r="O191" s="120">
        <f>NETWORKDAYS.INTL(K191,N191,1,$AM$2:$AM$10)-1</f>
        <v>5</v>
      </c>
      <c r="P191" s="114" t="s">
        <v>81</v>
      </c>
      <c r="Q191" s="114" t="s">
        <v>79</v>
      </c>
      <c r="R191" s="115"/>
      <c r="S191" s="145">
        <v>2435</v>
      </c>
      <c r="T191" s="148" t="s">
        <v>897</v>
      </c>
      <c r="U191" s="147">
        <v>1</v>
      </c>
      <c r="V191" s="121">
        <v>8</v>
      </c>
      <c r="W191" s="121">
        <v>318.13</v>
      </c>
      <c r="X191" s="114" t="s">
        <v>84</v>
      </c>
      <c r="Y191" s="115" t="s">
        <v>85</v>
      </c>
      <c r="Z191" s="115" t="s">
        <v>86</v>
      </c>
      <c r="AA191" s="113" t="s">
        <v>87</v>
      </c>
      <c r="AB191" s="122">
        <v>318.13</v>
      </c>
      <c r="AC191" s="122">
        <f>IF(C191="DENALI", AB191*0.495, IF(C191="SCHNEIDER ELECTRIC", AB191*1.136, IF(C191="WWT", AB191*1.2, AC191)))+AB191</f>
        <v>475.60434999999995</v>
      </c>
      <c r="AD191" s="129">
        <f>AC191-AB191</f>
        <v>157.47434999999996</v>
      </c>
      <c r="AE191" s="122">
        <v>10411.58</v>
      </c>
      <c r="AF191" s="130">
        <f>AB191/U191</f>
        <v>318.13</v>
      </c>
      <c r="AG191" s="130">
        <f>AB191/V191</f>
        <v>39.766249999999999</v>
      </c>
      <c r="AH191" s="123">
        <f>AB191/S191</f>
        <v>0.13064887063655031</v>
      </c>
      <c r="AI191" s="124" t="s">
        <v>155</v>
      </c>
      <c r="AJ191" s="125" t="s">
        <v>89</v>
      </c>
      <c r="AK191"/>
      <c r="AM191" s="80"/>
    </row>
    <row r="192" spans="1:39" ht="28.5" customHeight="1">
      <c r="A192" s="113" t="s">
        <v>73</v>
      </c>
      <c r="B192" s="114" t="s">
        <v>74</v>
      </c>
      <c r="C192" s="113" t="s">
        <v>35</v>
      </c>
      <c r="D192" s="113" t="s">
        <v>99</v>
      </c>
      <c r="E192" s="115" t="s">
        <v>125</v>
      </c>
      <c r="F192" s="113" t="s">
        <v>90</v>
      </c>
      <c r="G192" s="116" t="s">
        <v>898</v>
      </c>
      <c r="H192" s="79">
        <v>46119</v>
      </c>
      <c r="I192" s="114" t="s">
        <v>79</v>
      </c>
      <c r="J192" s="117" t="s">
        <v>899</v>
      </c>
      <c r="K192" s="118">
        <v>46114</v>
      </c>
      <c r="L192" s="114" t="s">
        <v>81</v>
      </c>
      <c r="M192" s="119">
        <v>46118</v>
      </c>
      <c r="N192" s="128">
        <v>46118</v>
      </c>
      <c r="O192" s="120">
        <f>NETWORKDAYS.INTL(K192,N192,1,$AM$2:$AM$10)-1</f>
        <v>2</v>
      </c>
      <c r="P192" s="114" t="s">
        <v>81</v>
      </c>
      <c r="Q192" s="114" t="s">
        <v>79</v>
      </c>
      <c r="R192" s="115"/>
      <c r="S192" s="145">
        <v>938</v>
      </c>
      <c r="T192" s="148" t="s">
        <v>900</v>
      </c>
      <c r="U192" s="147">
        <v>2</v>
      </c>
      <c r="V192" s="121">
        <v>77</v>
      </c>
      <c r="W192" s="121">
        <v>720</v>
      </c>
      <c r="X192" s="114" t="s">
        <v>84</v>
      </c>
      <c r="Y192" s="115" t="s">
        <v>85</v>
      </c>
      <c r="Z192" s="115" t="s">
        <v>342</v>
      </c>
      <c r="AA192" s="113" t="s">
        <v>87</v>
      </c>
      <c r="AB192" s="122">
        <v>487.72</v>
      </c>
      <c r="AC192" s="122">
        <f>IF(C192="DENALI", AB192*0.495, IF(C192="SCHNEIDER ELECTRIC", AB192*1.136, IF(C192="WWT", AB192*1.2, AC192)))+AB192</f>
        <v>729.14139999999998</v>
      </c>
      <c r="AD192" s="129">
        <f>AC192-AB192</f>
        <v>241.42139999999995</v>
      </c>
      <c r="AE192" s="122">
        <v>65208.14</v>
      </c>
      <c r="AF192" s="130">
        <f>AB192/U192</f>
        <v>243.86</v>
      </c>
      <c r="AG192" s="130">
        <f>AB192/V192</f>
        <v>6.3340259740259741</v>
      </c>
      <c r="AH192" s="123">
        <f>AB192/S192</f>
        <v>0.51995735607675908</v>
      </c>
      <c r="AI192" s="124" t="s">
        <v>97</v>
      </c>
      <c r="AJ192" s="125" t="s">
        <v>349</v>
      </c>
      <c r="AK192"/>
      <c r="AM192" s="80"/>
    </row>
    <row r="193" spans="1:39" ht="28.5" customHeight="1">
      <c r="A193" s="113" t="s">
        <v>73</v>
      </c>
      <c r="B193" s="114" t="s">
        <v>74</v>
      </c>
      <c r="C193" s="113" t="s">
        <v>35</v>
      </c>
      <c r="D193" s="113" t="s">
        <v>218</v>
      </c>
      <c r="E193" s="115" t="s">
        <v>901</v>
      </c>
      <c r="F193" s="113" t="s">
        <v>142</v>
      </c>
      <c r="G193" s="116" t="s">
        <v>902</v>
      </c>
      <c r="H193" s="79">
        <v>46120</v>
      </c>
      <c r="I193" s="114" t="s">
        <v>79</v>
      </c>
      <c r="J193" s="117" t="s">
        <v>903</v>
      </c>
      <c r="K193" s="118">
        <v>46114</v>
      </c>
      <c r="L193" s="114" t="s">
        <v>79</v>
      </c>
      <c r="M193" s="119">
        <v>46118</v>
      </c>
      <c r="N193" s="128">
        <v>46118</v>
      </c>
      <c r="O193" s="120">
        <f>NETWORKDAYS.INTL(K193,N193,1,$AM$2:$AM$10)-1</f>
        <v>2</v>
      </c>
      <c r="P193" s="114" t="s">
        <v>81</v>
      </c>
      <c r="Q193" s="114" t="s">
        <v>79</v>
      </c>
      <c r="R193" s="115"/>
      <c r="S193" s="145">
        <v>415</v>
      </c>
      <c r="T193" s="148" t="s">
        <v>904</v>
      </c>
      <c r="U193" s="147">
        <v>1</v>
      </c>
      <c r="V193" s="121">
        <v>2</v>
      </c>
      <c r="W193" s="121">
        <v>335</v>
      </c>
      <c r="X193" s="114" t="s">
        <v>84</v>
      </c>
      <c r="Y193" s="115" t="s">
        <v>85</v>
      </c>
      <c r="Z193" s="115" t="s">
        <v>234</v>
      </c>
      <c r="AA193" s="113" t="s">
        <v>87</v>
      </c>
      <c r="AB193" s="122">
        <v>185</v>
      </c>
      <c r="AC193" s="122">
        <f>IF(C193="DENALI", AB193*0.495, IF(C193="SCHNEIDER ELECTRIC", AB193*1.136, IF(C193="WWT", AB193*1.2, AC193)))+AB193</f>
        <v>276.57499999999999</v>
      </c>
      <c r="AD193" s="129">
        <f>AC193-AB193</f>
        <v>91.574999999999989</v>
      </c>
      <c r="AE193" s="122">
        <v>864.74</v>
      </c>
      <c r="AF193" s="130">
        <f>AB193/U193</f>
        <v>185</v>
      </c>
      <c r="AG193" s="130">
        <f>AB193/V193</f>
        <v>92.5</v>
      </c>
      <c r="AH193" s="123">
        <f>AB193/S193</f>
        <v>0.44578313253012047</v>
      </c>
      <c r="AI193" s="124" t="s">
        <v>97</v>
      </c>
      <c r="AJ193" s="125" t="s">
        <v>349</v>
      </c>
      <c r="AK193"/>
      <c r="AM193" s="80"/>
    </row>
    <row r="194" spans="1:39" ht="28.5" customHeight="1">
      <c r="A194" s="113" t="s">
        <v>73</v>
      </c>
      <c r="B194" s="114" t="s">
        <v>140</v>
      </c>
      <c r="C194" s="113" t="s">
        <v>35</v>
      </c>
      <c r="D194" s="113" t="s">
        <v>218</v>
      </c>
      <c r="E194" s="115" t="s">
        <v>141</v>
      </c>
      <c r="F194" s="113" t="s">
        <v>142</v>
      </c>
      <c r="G194" s="116">
        <v>22682422</v>
      </c>
      <c r="H194" s="79">
        <v>46120</v>
      </c>
      <c r="I194" s="114" t="s">
        <v>79</v>
      </c>
      <c r="J194" s="117" t="s">
        <v>905</v>
      </c>
      <c r="K194" s="118">
        <v>46115</v>
      </c>
      <c r="L194" s="114" t="s">
        <v>79</v>
      </c>
      <c r="M194" s="119">
        <v>46119</v>
      </c>
      <c r="N194" s="128">
        <v>46121</v>
      </c>
      <c r="O194" s="120">
        <f>NETWORKDAYS.INTL(K194,N194,1,$AM$2:$AM$10)-1</f>
        <v>4</v>
      </c>
      <c r="P194" s="114" t="s">
        <v>81</v>
      </c>
      <c r="Q194" s="114" t="s">
        <v>79</v>
      </c>
      <c r="R194" s="115" t="s">
        <v>906</v>
      </c>
      <c r="S194" s="145">
        <v>446</v>
      </c>
      <c r="T194" s="148" t="s">
        <v>907</v>
      </c>
      <c r="U194" s="147">
        <v>7</v>
      </c>
      <c r="V194" s="121">
        <v>3258</v>
      </c>
      <c r="W194" s="121">
        <v>4450</v>
      </c>
      <c r="X194" s="114" t="s">
        <v>113</v>
      </c>
      <c r="Y194" s="115" t="s">
        <v>85</v>
      </c>
      <c r="Z194" s="115" t="s">
        <v>908</v>
      </c>
      <c r="AA194" s="113" t="s">
        <v>87</v>
      </c>
      <c r="AB194" s="122">
        <v>2951.78</v>
      </c>
      <c r="AC194" s="122">
        <f>IF(C194="DENALI", AB194*0.495, IF(C194="SCHNEIDER ELECTRIC", AB194*1.136, IF(C194="WWT", AB194*1.2, AC194)))+AB194</f>
        <v>4412.9111000000003</v>
      </c>
      <c r="AD194" s="129">
        <f>AC194-AB194</f>
        <v>1461.1311000000001</v>
      </c>
      <c r="AE194" s="122">
        <v>904099.49</v>
      </c>
      <c r="AF194" s="130">
        <f>AB194/U194</f>
        <v>421.68285714285719</v>
      </c>
      <c r="AG194" s="130">
        <f>AB194/V194</f>
        <v>0.9060098219766729</v>
      </c>
      <c r="AH194" s="123">
        <f>AB194/S194</f>
        <v>6.6183408071748886</v>
      </c>
      <c r="AI194" s="124" t="s">
        <v>97</v>
      </c>
      <c r="AJ194" s="125" t="s">
        <v>349</v>
      </c>
      <c r="AK194"/>
      <c r="AM194" s="80"/>
    </row>
    <row r="195" spans="1:39" ht="28.5" customHeight="1">
      <c r="A195" s="113" t="s">
        <v>73</v>
      </c>
      <c r="B195" s="114" t="s">
        <v>74</v>
      </c>
      <c r="C195" s="113" t="s">
        <v>35</v>
      </c>
      <c r="D195" s="113" t="s">
        <v>99</v>
      </c>
      <c r="E195" s="115" t="s">
        <v>909</v>
      </c>
      <c r="F195" s="113" t="s">
        <v>228</v>
      </c>
      <c r="G195" s="116" t="s">
        <v>910</v>
      </c>
      <c r="H195" s="79">
        <v>46120</v>
      </c>
      <c r="I195" s="114" t="s">
        <v>79</v>
      </c>
      <c r="J195" s="117" t="s">
        <v>911</v>
      </c>
      <c r="K195" s="118">
        <v>46115</v>
      </c>
      <c r="L195" s="114" t="s">
        <v>81</v>
      </c>
      <c r="M195" s="119">
        <v>46119</v>
      </c>
      <c r="N195" s="128">
        <v>46119</v>
      </c>
      <c r="O195" s="120">
        <f>NETWORKDAYS.INTL(K195,N195,1,$AM$2:$AM$10)-1</f>
        <v>2</v>
      </c>
      <c r="P195" s="114" t="s">
        <v>81</v>
      </c>
      <c r="Q195" s="114" t="s">
        <v>79</v>
      </c>
      <c r="R195" s="115"/>
      <c r="S195" s="145">
        <v>165</v>
      </c>
      <c r="T195" s="148" t="s">
        <v>912</v>
      </c>
      <c r="U195" s="147">
        <v>2</v>
      </c>
      <c r="V195" s="121">
        <v>303</v>
      </c>
      <c r="W195" s="121">
        <v>1505</v>
      </c>
      <c r="X195" s="114" t="s">
        <v>84</v>
      </c>
      <c r="Y195" s="115" t="s">
        <v>85</v>
      </c>
      <c r="Z195" s="115" t="s">
        <v>770</v>
      </c>
      <c r="AA195" s="113" t="s">
        <v>87</v>
      </c>
      <c r="AB195" s="122">
        <v>205.19</v>
      </c>
      <c r="AC195" s="122">
        <f>IF(C195="DENALI", AB195*0.495, IF(C195="SCHNEIDER ELECTRIC", AB195*1.136, IF(C195="WWT", AB195*1.2, AC195)))+AB195</f>
        <v>306.75905</v>
      </c>
      <c r="AD195" s="129">
        <f>AC195-AB195</f>
        <v>101.56905</v>
      </c>
      <c r="AE195" s="122">
        <v>168128.64000000001</v>
      </c>
      <c r="AF195" s="130">
        <f>AB195/U195</f>
        <v>102.595</v>
      </c>
      <c r="AG195" s="130">
        <f>AB195/V195</f>
        <v>0.6771947194719472</v>
      </c>
      <c r="AH195" s="123">
        <f>AB195/S195</f>
        <v>1.2435757575757576</v>
      </c>
      <c r="AI195" s="124" t="s">
        <v>115</v>
      </c>
      <c r="AJ195" s="125" t="s">
        <v>107</v>
      </c>
      <c r="AK195"/>
      <c r="AM195" s="80"/>
    </row>
    <row r="196" spans="1:39" ht="28.5" customHeight="1">
      <c r="A196" s="113" t="s">
        <v>73</v>
      </c>
      <c r="B196" s="114" t="s">
        <v>140</v>
      </c>
      <c r="C196" s="113" t="s">
        <v>35</v>
      </c>
      <c r="D196" s="113" t="s">
        <v>218</v>
      </c>
      <c r="E196" s="115" t="s">
        <v>141</v>
      </c>
      <c r="F196" s="113" t="s">
        <v>142</v>
      </c>
      <c r="G196" s="116" t="s">
        <v>913</v>
      </c>
      <c r="H196" s="79">
        <v>46120</v>
      </c>
      <c r="I196" s="114" t="s">
        <v>79</v>
      </c>
      <c r="J196" s="117" t="s">
        <v>914</v>
      </c>
      <c r="K196" s="118">
        <v>46115</v>
      </c>
      <c r="L196" s="114" t="s">
        <v>81</v>
      </c>
      <c r="M196" s="119">
        <v>46120</v>
      </c>
      <c r="N196" s="128">
        <v>46120</v>
      </c>
      <c r="O196" s="120">
        <f>NETWORKDAYS.INTL(K196,N196,1,$AM$2:$AM$10)-1</f>
        <v>3</v>
      </c>
      <c r="P196" s="114" t="s">
        <v>81</v>
      </c>
      <c r="Q196" s="114" t="s">
        <v>79</v>
      </c>
      <c r="R196" s="115"/>
      <c r="S196" s="145">
        <v>441</v>
      </c>
      <c r="T196" s="148" t="s">
        <v>915</v>
      </c>
      <c r="U196" s="147">
        <v>2</v>
      </c>
      <c r="V196" s="121">
        <v>1717</v>
      </c>
      <c r="W196" s="121">
        <v>1500</v>
      </c>
      <c r="X196" s="114" t="s">
        <v>84</v>
      </c>
      <c r="Y196" s="115" t="s">
        <v>85</v>
      </c>
      <c r="Z196" s="115" t="s">
        <v>342</v>
      </c>
      <c r="AA196" s="113" t="s">
        <v>87</v>
      </c>
      <c r="AB196" s="122">
        <v>450.48</v>
      </c>
      <c r="AC196" s="122">
        <f>IF(C196="DENALI", AB196*0.495, IF(C196="SCHNEIDER ELECTRIC", AB196*1.136, IF(C196="WWT", AB196*1.2, AC196)))+AB196</f>
        <v>673.46760000000006</v>
      </c>
      <c r="AD196" s="129">
        <f>AC196-AB196</f>
        <v>222.98760000000004</v>
      </c>
      <c r="AE196" s="122">
        <v>338752.83399999997</v>
      </c>
      <c r="AF196" s="130">
        <f>AB196/U196</f>
        <v>225.24</v>
      </c>
      <c r="AG196" s="130">
        <f>AB196/V196</f>
        <v>0.26236458940011648</v>
      </c>
      <c r="AH196" s="123">
        <f>AB196/S196</f>
        <v>1.0214965986394557</v>
      </c>
      <c r="AI196" s="124" t="s">
        <v>147</v>
      </c>
      <c r="AJ196" s="125" t="s">
        <v>343</v>
      </c>
      <c r="AK196"/>
      <c r="AM196" s="80"/>
    </row>
    <row r="197" spans="1:39" ht="28.5" customHeight="1">
      <c r="A197" s="113" t="s">
        <v>73</v>
      </c>
      <c r="B197" s="114" t="s">
        <v>74</v>
      </c>
      <c r="C197" s="113" t="s">
        <v>35</v>
      </c>
      <c r="D197" s="113" t="s">
        <v>99</v>
      </c>
      <c r="E197" s="115" t="s">
        <v>395</v>
      </c>
      <c r="F197" s="113" t="s">
        <v>396</v>
      </c>
      <c r="G197" s="116" t="s">
        <v>916</v>
      </c>
      <c r="H197" s="79">
        <v>46120</v>
      </c>
      <c r="I197" s="114" t="s">
        <v>79</v>
      </c>
      <c r="J197" s="117" t="s">
        <v>917</v>
      </c>
      <c r="K197" s="118">
        <v>46115</v>
      </c>
      <c r="L197" s="114" t="s">
        <v>81</v>
      </c>
      <c r="M197" s="119">
        <v>46120</v>
      </c>
      <c r="N197" s="128">
        <v>46125</v>
      </c>
      <c r="O197" s="120">
        <f>NETWORKDAYS.INTL(K197,N197,1,$AM$2:$AM$10)-1</f>
        <v>6</v>
      </c>
      <c r="P197" s="114" t="s">
        <v>79</v>
      </c>
      <c r="Q197" s="114" t="s">
        <v>81</v>
      </c>
      <c r="R197" s="115"/>
      <c r="S197" s="145">
        <v>653</v>
      </c>
      <c r="T197" s="148" t="s">
        <v>399</v>
      </c>
      <c r="U197" s="147">
        <v>2</v>
      </c>
      <c r="V197" s="121">
        <v>692</v>
      </c>
      <c r="W197" s="121">
        <v>1055</v>
      </c>
      <c r="X197" s="114" t="s">
        <v>84</v>
      </c>
      <c r="Y197" s="115" t="s">
        <v>85</v>
      </c>
      <c r="Z197" s="115" t="s">
        <v>342</v>
      </c>
      <c r="AA197" s="113" t="s">
        <v>87</v>
      </c>
      <c r="AB197" s="122">
        <v>638.34</v>
      </c>
      <c r="AC197" s="122">
        <f>IF(C197="DENALI", AB197*0.495, IF(C197="SCHNEIDER ELECTRIC", AB197*1.136, IF(C197="WWT", AB197*1.2, AC197)))+AB197</f>
        <v>954.31830000000002</v>
      </c>
      <c r="AD197" s="129">
        <f>AC197-AB197</f>
        <v>315.97829999999999</v>
      </c>
      <c r="AE197" s="122">
        <v>326070.03999999998</v>
      </c>
      <c r="AF197" s="130">
        <f>AB197/U197</f>
        <v>319.17</v>
      </c>
      <c r="AG197" s="130">
        <f>AB197/V197</f>
        <v>0.92245664739884403</v>
      </c>
      <c r="AH197" s="123">
        <f>AB197/S197</f>
        <v>0.97754977029096479</v>
      </c>
      <c r="AI197" s="124" t="s">
        <v>97</v>
      </c>
      <c r="AJ197" s="125" t="s">
        <v>349</v>
      </c>
      <c r="AK197"/>
      <c r="AM197" s="80"/>
    </row>
    <row r="198" spans="1:39" ht="28.5" customHeight="1">
      <c r="A198" s="113" t="s">
        <v>73</v>
      </c>
      <c r="B198" s="114" t="s">
        <v>140</v>
      </c>
      <c r="C198" s="113" t="s">
        <v>36</v>
      </c>
      <c r="D198" s="113" t="s">
        <v>75</v>
      </c>
      <c r="E198" s="115" t="s">
        <v>141</v>
      </c>
      <c r="F198" s="113" t="s">
        <v>142</v>
      </c>
      <c r="G198" s="116">
        <v>22697370</v>
      </c>
      <c r="H198" s="79">
        <v>46122</v>
      </c>
      <c r="I198" s="114" t="s">
        <v>79</v>
      </c>
      <c r="J198" s="117" t="s">
        <v>918</v>
      </c>
      <c r="K198" s="118">
        <v>46118</v>
      </c>
      <c r="L198" s="114" t="s">
        <v>81</v>
      </c>
      <c r="M198" s="119">
        <v>46119</v>
      </c>
      <c r="N198" s="128">
        <v>46119</v>
      </c>
      <c r="O198" s="120">
        <f>NETWORKDAYS.INTL(K198,N198,1,$AM$2:$AM$10)-1</f>
        <v>1</v>
      </c>
      <c r="P198" s="114" t="s">
        <v>81</v>
      </c>
      <c r="Q198" s="114" t="s">
        <v>79</v>
      </c>
      <c r="R198" s="115"/>
      <c r="S198" s="145">
        <v>722</v>
      </c>
      <c r="T198" s="148" t="s">
        <v>746</v>
      </c>
      <c r="U198" s="147">
        <v>26</v>
      </c>
      <c r="V198" s="121">
        <v>209</v>
      </c>
      <c r="W198" s="121">
        <v>16020</v>
      </c>
      <c r="X198" s="114" t="s">
        <v>113</v>
      </c>
      <c r="Y198" s="115" t="s">
        <v>85</v>
      </c>
      <c r="Z198" s="115" t="s">
        <v>919</v>
      </c>
      <c r="AA198" s="113" t="s">
        <v>87</v>
      </c>
      <c r="AB198" s="122">
        <v>2548.92</v>
      </c>
      <c r="AC198" s="122">
        <f>IF(C198="DENALI", AB198*0.495, IF(C198="SCHNEIDER ELECTRIC", AB198*1.136, IF(C198="WWT", AB198*1.2, AC198)))+AB198</f>
        <v>5444.4931200000001</v>
      </c>
      <c r="AD198" s="129">
        <f>AC198-AB198</f>
        <v>2895.57312</v>
      </c>
      <c r="AE198" s="122">
        <v>242947.87</v>
      </c>
      <c r="AF198" s="130">
        <f>AB198/U198</f>
        <v>98.035384615384615</v>
      </c>
      <c r="AG198" s="130">
        <f>AB198/V198</f>
        <v>12.195789473684211</v>
      </c>
      <c r="AH198" s="123">
        <f>AB198/S198</f>
        <v>3.5303601108033242</v>
      </c>
      <c r="AI198" s="124" t="s">
        <v>155</v>
      </c>
      <c r="AJ198" s="125" t="s">
        <v>89</v>
      </c>
      <c r="AK198"/>
      <c r="AM198" s="80"/>
    </row>
    <row r="199" spans="1:39" ht="28.5" customHeight="1">
      <c r="A199" s="113" t="s">
        <v>73</v>
      </c>
      <c r="B199" s="114" t="s">
        <v>140</v>
      </c>
      <c r="C199" s="113" t="s">
        <v>35</v>
      </c>
      <c r="D199" s="113" t="s">
        <v>218</v>
      </c>
      <c r="E199" s="115" t="s">
        <v>416</v>
      </c>
      <c r="F199" s="113" t="s">
        <v>90</v>
      </c>
      <c r="G199" s="116" t="s">
        <v>920</v>
      </c>
      <c r="H199" s="79">
        <v>46125</v>
      </c>
      <c r="I199" s="114" t="s">
        <v>79</v>
      </c>
      <c r="J199" s="117" t="s">
        <v>921</v>
      </c>
      <c r="K199" s="118">
        <v>46118</v>
      </c>
      <c r="L199" s="114" t="s">
        <v>79</v>
      </c>
      <c r="M199" s="119">
        <v>46125</v>
      </c>
      <c r="N199" s="128">
        <v>46125</v>
      </c>
      <c r="O199" s="120">
        <f>NETWORKDAYS.INTL(K199,N199,1,$AM$2:$AM$10)-1</f>
        <v>5</v>
      </c>
      <c r="P199" s="114" t="s">
        <v>81</v>
      </c>
      <c r="Q199" s="114" t="s">
        <v>79</v>
      </c>
      <c r="R199" s="115"/>
      <c r="S199" s="145">
        <v>2257</v>
      </c>
      <c r="T199" s="148" t="s">
        <v>922</v>
      </c>
      <c r="U199" s="147">
        <v>2</v>
      </c>
      <c r="V199" s="121">
        <v>778</v>
      </c>
      <c r="W199" s="121">
        <v>1345</v>
      </c>
      <c r="X199" s="114" t="s">
        <v>84</v>
      </c>
      <c r="Y199" s="115" t="s">
        <v>85</v>
      </c>
      <c r="Z199" s="115" t="s">
        <v>342</v>
      </c>
      <c r="AA199" s="113" t="s">
        <v>87</v>
      </c>
      <c r="AB199" s="122">
        <v>664.38</v>
      </c>
      <c r="AC199" s="122">
        <f>IF(C199="DENALI", AB199*0.495, IF(C199="SCHNEIDER ELECTRIC", AB199*1.136, IF(C199="WWT", AB199*1.2, AC199)))+AB199</f>
        <v>993.24810000000002</v>
      </c>
      <c r="AD199" s="129">
        <f>AC199-AB199</f>
        <v>328.86810000000003</v>
      </c>
      <c r="AE199" s="122">
        <v>66864.55</v>
      </c>
      <c r="AF199" s="130">
        <f>AB199/U199</f>
        <v>332.19</v>
      </c>
      <c r="AG199" s="130">
        <f>AB199/V199</f>
        <v>0.85395886889460149</v>
      </c>
      <c r="AH199" s="123">
        <f>AB199/S199</f>
        <v>0.29436420026583959</v>
      </c>
      <c r="AI199" s="124" t="s">
        <v>147</v>
      </c>
      <c r="AJ199" s="125" t="s">
        <v>343</v>
      </c>
      <c r="AK199"/>
      <c r="AM199" s="80"/>
    </row>
    <row r="200" spans="1:39" ht="28.5" customHeight="1">
      <c r="A200" s="113" t="s">
        <v>73</v>
      </c>
      <c r="B200" s="114" t="s">
        <v>74</v>
      </c>
      <c r="C200" s="113" t="s">
        <v>35</v>
      </c>
      <c r="D200" s="113" t="s">
        <v>218</v>
      </c>
      <c r="E200" s="115" t="s">
        <v>923</v>
      </c>
      <c r="F200" s="113" t="s">
        <v>457</v>
      </c>
      <c r="G200" s="116" t="s">
        <v>924</v>
      </c>
      <c r="H200" s="79">
        <v>46125</v>
      </c>
      <c r="I200" s="114" t="s">
        <v>79</v>
      </c>
      <c r="J200" s="117" t="s">
        <v>925</v>
      </c>
      <c r="K200" s="118">
        <v>46118</v>
      </c>
      <c r="L200" s="114" t="s">
        <v>81</v>
      </c>
      <c r="M200" s="119">
        <v>46121</v>
      </c>
      <c r="N200" s="128">
        <v>46132</v>
      </c>
      <c r="O200" s="120">
        <f>NETWORKDAYS.INTL(K200,N200,1,$AM$2:$AM$10)-1</f>
        <v>10</v>
      </c>
      <c r="P200" s="114" t="s">
        <v>79</v>
      </c>
      <c r="Q200" s="114" t="s">
        <v>81</v>
      </c>
      <c r="R200" s="115" t="s">
        <v>926</v>
      </c>
      <c r="S200" s="145">
        <v>373</v>
      </c>
      <c r="T200" s="148" t="s">
        <v>927</v>
      </c>
      <c r="U200" s="147">
        <v>1</v>
      </c>
      <c r="V200" s="121">
        <v>120</v>
      </c>
      <c r="W200" s="121">
        <v>345</v>
      </c>
      <c r="X200" s="114" t="s">
        <v>84</v>
      </c>
      <c r="Y200" s="115" t="s">
        <v>85</v>
      </c>
      <c r="Z200" s="115" t="s">
        <v>474</v>
      </c>
      <c r="AA200" s="113" t="s">
        <v>87</v>
      </c>
      <c r="AB200" s="122">
        <v>204.85</v>
      </c>
      <c r="AC200" s="122">
        <f>IF(C200="DENALI", AB200*0.495, IF(C200="SCHNEIDER ELECTRIC", AB200*1.136, IF(C200="WWT", AB200*1.2, AC200)))+AB200</f>
        <v>306.25074999999998</v>
      </c>
      <c r="AD200" s="129">
        <f>AC200-AB200</f>
        <v>101.40074999999999</v>
      </c>
      <c r="AE200" s="122">
        <v>2625.6</v>
      </c>
      <c r="AF200" s="130">
        <f>AB200/U200</f>
        <v>204.85</v>
      </c>
      <c r="AG200" s="130">
        <f>AB200/V200</f>
        <v>1.7070833333333333</v>
      </c>
      <c r="AH200" s="123">
        <f>AB200/S200</f>
        <v>0.5491957104557641</v>
      </c>
      <c r="AI200" s="124" t="s">
        <v>97</v>
      </c>
      <c r="AJ200" s="125" t="s">
        <v>349</v>
      </c>
      <c r="AK200"/>
      <c r="AM200" s="80"/>
    </row>
    <row r="201" spans="1:39" ht="28.5" customHeight="1">
      <c r="A201" s="113" t="s">
        <v>73</v>
      </c>
      <c r="B201" s="114" t="s">
        <v>140</v>
      </c>
      <c r="C201" s="113" t="s">
        <v>35</v>
      </c>
      <c r="D201" s="113" t="s">
        <v>99</v>
      </c>
      <c r="E201" s="115" t="s">
        <v>141</v>
      </c>
      <c r="F201" s="113" t="s">
        <v>142</v>
      </c>
      <c r="G201" s="116" t="s">
        <v>928</v>
      </c>
      <c r="H201" s="79">
        <v>46120</v>
      </c>
      <c r="I201" s="114" t="s">
        <v>79</v>
      </c>
      <c r="J201" s="117" t="s">
        <v>929</v>
      </c>
      <c r="K201" s="118">
        <v>46115</v>
      </c>
      <c r="L201" s="114" t="s">
        <v>79</v>
      </c>
      <c r="M201" s="119">
        <v>46126</v>
      </c>
      <c r="N201" s="128">
        <v>46126</v>
      </c>
      <c r="O201" s="120">
        <f>NETWORKDAYS.INTL(K201,N201,1,$AM$2:$AM$10)-1</f>
        <v>7</v>
      </c>
      <c r="P201" s="114" t="s">
        <v>81</v>
      </c>
      <c r="Q201" s="114" t="s">
        <v>79</v>
      </c>
      <c r="R201" s="115"/>
      <c r="S201" s="145">
        <v>2435</v>
      </c>
      <c r="T201" s="148" t="s">
        <v>930</v>
      </c>
      <c r="U201" s="147">
        <v>3</v>
      </c>
      <c r="V201" s="121">
        <v>1088</v>
      </c>
      <c r="W201" s="121">
        <v>1640</v>
      </c>
      <c r="X201" s="114" t="s">
        <v>84</v>
      </c>
      <c r="Y201" s="115" t="s">
        <v>85</v>
      </c>
      <c r="Z201" s="115" t="s">
        <v>342</v>
      </c>
      <c r="AA201" s="113" t="s">
        <v>87</v>
      </c>
      <c r="AB201" s="122">
        <v>814.44</v>
      </c>
      <c r="AC201" s="122">
        <f>IF(C201="DENALI", AB201*0.495, IF(C201="SCHNEIDER ELECTRIC", AB201*1.136, IF(C201="WWT", AB201*1.2, AC201)))+AB201</f>
        <v>1217.5878</v>
      </c>
      <c r="AD201" s="129">
        <f>AC201-AB201</f>
        <v>403.14779999999996</v>
      </c>
      <c r="AE201" s="122">
        <v>205632</v>
      </c>
      <c r="AF201" s="130">
        <f>AB201/U201</f>
        <v>271.48</v>
      </c>
      <c r="AG201" s="130">
        <f>AB201/V201</f>
        <v>0.74856617647058832</v>
      </c>
      <c r="AH201" s="123">
        <f>AB201/S201</f>
        <v>0.33447227926078033</v>
      </c>
      <c r="AI201" s="124" t="s">
        <v>97</v>
      </c>
      <c r="AJ201" s="125" t="s">
        <v>349</v>
      </c>
      <c r="AK201"/>
      <c r="AM201" s="80"/>
    </row>
    <row r="202" spans="1:39" ht="28.5" customHeight="1">
      <c r="A202" s="113" t="s">
        <v>73</v>
      </c>
      <c r="B202" s="114" t="s">
        <v>74</v>
      </c>
      <c r="C202" s="113" t="s">
        <v>35</v>
      </c>
      <c r="D202" s="113" t="s">
        <v>218</v>
      </c>
      <c r="E202" s="115" t="s">
        <v>731</v>
      </c>
      <c r="F202" s="113" t="s">
        <v>457</v>
      </c>
      <c r="G202" s="116" t="s">
        <v>931</v>
      </c>
      <c r="H202" s="79">
        <v>46125</v>
      </c>
      <c r="I202" s="114" t="s">
        <v>79</v>
      </c>
      <c r="J202" s="117" t="s">
        <v>932</v>
      </c>
      <c r="K202" s="118">
        <v>46118</v>
      </c>
      <c r="L202" s="114" t="s">
        <v>81</v>
      </c>
      <c r="M202" s="119">
        <v>46120</v>
      </c>
      <c r="N202" s="128">
        <v>46129</v>
      </c>
      <c r="O202" s="120">
        <f>NETWORKDAYS.INTL(K202,N202,1,$AM$2:$AM$10)-1</f>
        <v>9</v>
      </c>
      <c r="P202" s="114" t="s">
        <v>79</v>
      </c>
      <c r="Q202" s="114" t="s">
        <v>81</v>
      </c>
      <c r="R202" s="115" t="s">
        <v>933</v>
      </c>
      <c r="S202" s="145">
        <v>378</v>
      </c>
      <c r="T202" s="148" t="s">
        <v>934</v>
      </c>
      <c r="U202" s="147">
        <v>4</v>
      </c>
      <c r="V202" s="121">
        <v>477</v>
      </c>
      <c r="W202" s="121">
        <v>2380</v>
      </c>
      <c r="X202" s="114" t="s">
        <v>84</v>
      </c>
      <c r="Y202" s="115" t="s">
        <v>85</v>
      </c>
      <c r="Z202" s="115" t="s">
        <v>935</v>
      </c>
      <c r="AA202" s="113" t="s">
        <v>87</v>
      </c>
      <c r="AB202" s="122">
        <v>528.79999999999995</v>
      </c>
      <c r="AC202" s="122">
        <f>IF(C202="DENALI", AB202*0.495, IF(C202="SCHNEIDER ELECTRIC", AB202*1.136, IF(C202="WWT", AB202*1.2, AC202)))+AB202</f>
        <v>790.55599999999993</v>
      </c>
      <c r="AD202" s="129">
        <f>AC202-AB202</f>
        <v>261.75599999999997</v>
      </c>
      <c r="AE202" s="122">
        <v>54176.75</v>
      </c>
      <c r="AF202" s="130">
        <f>AB202/U202</f>
        <v>132.19999999999999</v>
      </c>
      <c r="AG202" s="130">
        <f>AB202/V202</f>
        <v>1.1085953878406707</v>
      </c>
      <c r="AH202" s="123">
        <f>AB202/S202</f>
        <v>1.3989417989417989</v>
      </c>
      <c r="AI202" s="124" t="s">
        <v>97</v>
      </c>
      <c r="AJ202" s="125" t="s">
        <v>349</v>
      </c>
      <c r="AK202"/>
      <c r="AM202" s="80"/>
    </row>
    <row r="203" spans="1:39" ht="28.5" customHeight="1">
      <c r="A203" s="113" t="s">
        <v>73</v>
      </c>
      <c r="B203" s="114" t="s">
        <v>140</v>
      </c>
      <c r="C203" s="113" t="s">
        <v>35</v>
      </c>
      <c r="D203" s="113" t="s">
        <v>99</v>
      </c>
      <c r="E203" s="115" t="s">
        <v>141</v>
      </c>
      <c r="F203" s="113" t="s">
        <v>142</v>
      </c>
      <c r="G203" s="116" t="s">
        <v>936</v>
      </c>
      <c r="H203" s="79">
        <v>46125</v>
      </c>
      <c r="I203" s="114" t="s">
        <v>79</v>
      </c>
      <c r="J203" s="117" t="s">
        <v>937</v>
      </c>
      <c r="K203" s="118">
        <v>46118</v>
      </c>
      <c r="L203" s="114" t="s">
        <v>81</v>
      </c>
      <c r="M203" s="119">
        <v>46125</v>
      </c>
      <c r="N203" s="128">
        <v>46122</v>
      </c>
      <c r="O203" s="120">
        <f>NETWORKDAYS.INTL(K203,N203,1,$AM$2:$AM$10)-1</f>
        <v>4</v>
      </c>
      <c r="P203" s="114" t="s">
        <v>81</v>
      </c>
      <c r="Q203" s="114" t="s">
        <v>79</v>
      </c>
      <c r="R203" s="115"/>
      <c r="S203" s="145">
        <v>2435</v>
      </c>
      <c r="T203" s="148" t="s">
        <v>938</v>
      </c>
      <c r="U203" s="147">
        <v>1</v>
      </c>
      <c r="V203" s="121">
        <v>400</v>
      </c>
      <c r="W203" s="121">
        <v>595</v>
      </c>
      <c r="X203" s="114" t="s">
        <v>84</v>
      </c>
      <c r="Y203" s="115" t="s">
        <v>85</v>
      </c>
      <c r="Z203" s="115" t="s">
        <v>86</v>
      </c>
      <c r="AA203" s="113" t="s">
        <v>87</v>
      </c>
      <c r="AB203" s="122">
        <v>365.3</v>
      </c>
      <c r="AC203" s="122">
        <f>IF(C203="DENALI", AB203*0.495, IF(C203="SCHNEIDER ELECTRIC", AB203*1.136, IF(C203="WWT", AB203*1.2, AC203)))+AB203</f>
        <v>546.12350000000004</v>
      </c>
      <c r="AD203" s="129">
        <f>AC203-AB203</f>
        <v>180.82350000000002</v>
      </c>
      <c r="AE203" s="122">
        <v>74412</v>
      </c>
      <c r="AF203" s="130">
        <f>AB203/U203</f>
        <v>365.3</v>
      </c>
      <c r="AG203" s="130">
        <f>AB203/V203</f>
        <v>0.91325000000000001</v>
      </c>
      <c r="AH203" s="123">
        <f>AB203/S203</f>
        <v>0.1500205338809035</v>
      </c>
      <c r="AI203" s="124" t="s">
        <v>97</v>
      </c>
      <c r="AJ203" s="125" t="s">
        <v>349</v>
      </c>
      <c r="AK203"/>
      <c r="AM203" s="80"/>
    </row>
    <row r="204" spans="1:39" ht="28.5" customHeight="1">
      <c r="A204" s="113" t="s">
        <v>73</v>
      </c>
      <c r="B204" s="114" t="s">
        <v>74</v>
      </c>
      <c r="C204" s="113" t="s">
        <v>36</v>
      </c>
      <c r="D204" s="113" t="s">
        <v>90</v>
      </c>
      <c r="E204" s="115" t="s">
        <v>939</v>
      </c>
      <c r="F204" s="113" t="s">
        <v>189</v>
      </c>
      <c r="G204" s="116" t="s">
        <v>940</v>
      </c>
      <c r="H204" s="79">
        <v>46125</v>
      </c>
      <c r="I204" s="114" t="s">
        <v>79</v>
      </c>
      <c r="J204" s="117" t="s">
        <v>941</v>
      </c>
      <c r="K204" s="118">
        <v>46118</v>
      </c>
      <c r="L204" s="114" t="s">
        <v>81</v>
      </c>
      <c r="M204" s="119">
        <v>46120</v>
      </c>
      <c r="N204" s="128">
        <v>46121</v>
      </c>
      <c r="O204" s="120">
        <f>NETWORKDAYS.INTL(K204,N204,1,$AM$2:$AM$10)-1</f>
        <v>3</v>
      </c>
      <c r="P204" s="114" t="s">
        <v>81</v>
      </c>
      <c r="Q204" s="114" t="s">
        <v>79</v>
      </c>
      <c r="R204" s="115" t="s">
        <v>942</v>
      </c>
      <c r="S204" s="145">
        <v>630</v>
      </c>
      <c r="T204" s="148" t="s">
        <v>943</v>
      </c>
      <c r="U204" s="147">
        <v>1</v>
      </c>
      <c r="V204" s="121">
        <v>10</v>
      </c>
      <c r="W204" s="121">
        <v>657</v>
      </c>
      <c r="X204" s="114" t="s">
        <v>84</v>
      </c>
      <c r="Y204" s="115" t="s">
        <v>85</v>
      </c>
      <c r="Z204" s="115" t="s">
        <v>86</v>
      </c>
      <c r="AA204" s="113" t="s">
        <v>87</v>
      </c>
      <c r="AB204" s="122">
        <v>279.83999999999997</v>
      </c>
      <c r="AC204" s="122">
        <f>IF(C204="DENALI", AB204*0.495, IF(C204="SCHNEIDER ELECTRIC", AB204*1.136, IF(C204="WWT", AB204*1.2, AC204)))+AB204</f>
        <v>597.73823999999991</v>
      </c>
      <c r="AD204" s="129">
        <f>AC204-AB204</f>
        <v>317.89823999999993</v>
      </c>
      <c r="AE204" s="122">
        <v>5297.8</v>
      </c>
      <c r="AF204" s="130">
        <f>AB204/U204</f>
        <v>279.83999999999997</v>
      </c>
      <c r="AG204" s="130">
        <f>AB204/V204</f>
        <v>27.983999999999998</v>
      </c>
      <c r="AH204" s="123">
        <f>AB204/S204</f>
        <v>0.44419047619047614</v>
      </c>
      <c r="AI204" s="124" t="s">
        <v>155</v>
      </c>
      <c r="AJ204" s="125" t="s">
        <v>89</v>
      </c>
      <c r="AK204"/>
      <c r="AM204" s="80"/>
    </row>
    <row r="205" spans="1:39" ht="28.5" customHeight="1">
      <c r="A205" s="113" t="s">
        <v>73</v>
      </c>
      <c r="B205" s="114" t="s">
        <v>74</v>
      </c>
      <c r="C205" s="113" t="s">
        <v>35</v>
      </c>
      <c r="D205" s="113" t="s">
        <v>99</v>
      </c>
      <c r="E205" s="115" t="s">
        <v>883</v>
      </c>
      <c r="F205" s="113" t="s">
        <v>254</v>
      </c>
      <c r="G205" s="116">
        <v>22705673</v>
      </c>
      <c r="H205" s="79">
        <v>46125</v>
      </c>
      <c r="I205" s="114" t="s">
        <v>79</v>
      </c>
      <c r="J205" s="117" t="s">
        <v>944</v>
      </c>
      <c r="K205" s="118">
        <v>46119</v>
      </c>
      <c r="L205" s="114" t="s">
        <v>79</v>
      </c>
      <c r="M205" s="119">
        <v>46120</v>
      </c>
      <c r="N205" s="128">
        <v>46120</v>
      </c>
      <c r="O205" s="120">
        <f>NETWORKDAYS.INTL(K205,N205,1,$AM$2:$AM$10)-1</f>
        <v>1</v>
      </c>
      <c r="P205" s="114" t="s">
        <v>81</v>
      </c>
      <c r="Q205" s="114" t="s">
        <v>79</v>
      </c>
      <c r="R205" s="115"/>
      <c r="S205" s="145">
        <v>2776</v>
      </c>
      <c r="T205" s="148" t="s">
        <v>886</v>
      </c>
      <c r="U205" s="147">
        <v>24</v>
      </c>
      <c r="V205" s="121">
        <v>24</v>
      </c>
      <c r="W205" s="121">
        <v>17040</v>
      </c>
      <c r="X205" s="114" t="s">
        <v>113</v>
      </c>
      <c r="Y205" s="115" t="s">
        <v>85</v>
      </c>
      <c r="Z205" s="115" t="s">
        <v>342</v>
      </c>
      <c r="AA205" s="113" t="s">
        <v>87</v>
      </c>
      <c r="AB205" s="122">
        <v>5952.78</v>
      </c>
      <c r="AC205" s="122">
        <f>IF(C205="DENALI", AB205*0.495, IF(C205="SCHNEIDER ELECTRIC", AB205*1.136, IF(C205="WWT", AB205*1.2, AC205)))+AB205</f>
        <v>8899.4061000000002</v>
      </c>
      <c r="AD205" s="129">
        <f>AC205-AB205</f>
        <v>2946.6261000000004</v>
      </c>
      <c r="AE205" s="122">
        <v>222413.28</v>
      </c>
      <c r="AF205" s="130">
        <f>AB205/U205</f>
        <v>248.0325</v>
      </c>
      <c r="AG205" s="130">
        <f>AB205/V205</f>
        <v>248.0325</v>
      </c>
      <c r="AH205" s="123">
        <f>AB205/S205</f>
        <v>2.1443731988472621</v>
      </c>
      <c r="AI205" s="124" t="s">
        <v>97</v>
      </c>
      <c r="AJ205" s="125" t="s">
        <v>349</v>
      </c>
      <c r="AK205"/>
      <c r="AM205" s="80"/>
    </row>
    <row r="206" spans="1:39" ht="28.5" customHeight="1">
      <c r="A206" s="113" t="s">
        <v>73</v>
      </c>
      <c r="B206" s="114" t="s">
        <v>74</v>
      </c>
      <c r="C206" s="113" t="s">
        <v>35</v>
      </c>
      <c r="D206" s="113" t="s">
        <v>99</v>
      </c>
      <c r="E206" s="115" t="s">
        <v>589</v>
      </c>
      <c r="F206" s="113" t="s">
        <v>292</v>
      </c>
      <c r="G206" s="116" t="s">
        <v>945</v>
      </c>
      <c r="H206" s="79">
        <v>46125</v>
      </c>
      <c r="I206" s="114" t="s">
        <v>79</v>
      </c>
      <c r="J206" s="117" t="s">
        <v>946</v>
      </c>
      <c r="K206" s="118">
        <v>46118</v>
      </c>
      <c r="L206" s="114" t="s">
        <v>79</v>
      </c>
      <c r="M206" s="119">
        <v>46121</v>
      </c>
      <c r="N206" s="128">
        <v>46122</v>
      </c>
      <c r="O206" s="120">
        <f>NETWORKDAYS.INTL(K206,N206,1,$AM$2:$AM$10)-1</f>
        <v>4</v>
      </c>
      <c r="P206" s="114" t="s">
        <v>81</v>
      </c>
      <c r="Q206" s="114" t="s">
        <v>79</v>
      </c>
      <c r="R206" s="115"/>
      <c r="S206" s="145">
        <v>1254</v>
      </c>
      <c r="T206" s="148" t="s">
        <v>947</v>
      </c>
      <c r="U206" s="147">
        <v>1</v>
      </c>
      <c r="V206" s="121">
        <v>118</v>
      </c>
      <c r="W206" s="121">
        <v>430</v>
      </c>
      <c r="X206" s="114" t="s">
        <v>84</v>
      </c>
      <c r="Y206" s="115" t="s">
        <v>85</v>
      </c>
      <c r="Z206" s="115" t="s">
        <v>86</v>
      </c>
      <c r="AA206" s="113" t="s">
        <v>87</v>
      </c>
      <c r="AB206" s="122">
        <v>270.39999999999998</v>
      </c>
      <c r="AC206" s="122">
        <f>IF(C206="DENALI", AB206*0.495, IF(C206="SCHNEIDER ELECTRIC", AB206*1.136, IF(C206="WWT", AB206*1.2, AC206)))+AB206</f>
        <v>404.24799999999993</v>
      </c>
      <c r="AD206" s="129">
        <f>AC206-AB206</f>
        <v>133.84799999999996</v>
      </c>
      <c r="AE206" s="122">
        <v>282115.58</v>
      </c>
      <c r="AF206" s="130">
        <f>AB206/U206</f>
        <v>270.39999999999998</v>
      </c>
      <c r="AG206" s="130">
        <f>AB206/V206</f>
        <v>2.2915254237288134</v>
      </c>
      <c r="AH206" s="123">
        <f>AB206/S206</f>
        <v>0.21562998405103667</v>
      </c>
      <c r="AI206" s="124" t="s">
        <v>97</v>
      </c>
      <c r="AJ206" s="125" t="s">
        <v>349</v>
      </c>
      <c r="AK206"/>
      <c r="AM206" s="80"/>
    </row>
    <row r="207" spans="1:39" ht="28.5" customHeight="1">
      <c r="A207" s="113" t="s">
        <v>73</v>
      </c>
      <c r="B207" s="114" t="s">
        <v>74</v>
      </c>
      <c r="C207" s="113" t="s">
        <v>35</v>
      </c>
      <c r="D207" s="113" t="s">
        <v>99</v>
      </c>
      <c r="E207" s="115" t="s">
        <v>551</v>
      </c>
      <c r="F207" s="113" t="s">
        <v>213</v>
      </c>
      <c r="G207" s="116" t="s">
        <v>948</v>
      </c>
      <c r="H207" s="79">
        <v>46125</v>
      </c>
      <c r="I207" s="114" t="s">
        <v>79</v>
      </c>
      <c r="J207" s="117" t="s">
        <v>949</v>
      </c>
      <c r="K207" s="118">
        <v>46118</v>
      </c>
      <c r="L207" s="114" t="s">
        <v>79</v>
      </c>
      <c r="M207" s="119">
        <v>46127</v>
      </c>
      <c r="N207" s="128">
        <v>46127</v>
      </c>
      <c r="O207" s="120">
        <f>NETWORKDAYS.INTL(K207,N207,1,$AM$2:$AM$10)-1</f>
        <v>7</v>
      </c>
      <c r="P207" s="114" t="s">
        <v>81</v>
      </c>
      <c r="Q207" s="114" t="s">
        <v>79</v>
      </c>
      <c r="R207" s="115"/>
      <c r="S207" s="145">
        <v>2963</v>
      </c>
      <c r="T207" s="148" t="s">
        <v>950</v>
      </c>
      <c r="U207" s="147">
        <v>1</v>
      </c>
      <c r="V207" s="121">
        <v>22</v>
      </c>
      <c r="W207" s="121">
        <v>485</v>
      </c>
      <c r="X207" s="114" t="s">
        <v>84</v>
      </c>
      <c r="Y207" s="115" t="s">
        <v>85</v>
      </c>
      <c r="Z207" s="115" t="s">
        <v>86</v>
      </c>
      <c r="AA207" s="113" t="s">
        <v>87</v>
      </c>
      <c r="AB207" s="122">
        <v>358.88</v>
      </c>
      <c r="AC207" s="122">
        <f>IF(C207="DENALI", AB207*0.495, IF(C207="SCHNEIDER ELECTRIC", AB207*1.136, IF(C207="WWT", AB207*1.2, AC207)))+AB207</f>
        <v>536.52559999999994</v>
      </c>
      <c r="AD207" s="129">
        <f>AC207-AB207</f>
        <v>177.64559999999994</v>
      </c>
      <c r="AE207" s="122">
        <v>36773.1</v>
      </c>
      <c r="AF207" s="130">
        <f>AB207/U207</f>
        <v>358.88</v>
      </c>
      <c r="AG207" s="130">
        <f>AB207/V207</f>
        <v>16.312727272727273</v>
      </c>
      <c r="AH207" s="123">
        <f>AB207/S207</f>
        <v>0.12112048599392508</v>
      </c>
      <c r="AI207" s="124" t="s">
        <v>97</v>
      </c>
      <c r="AJ207" s="125" t="s">
        <v>349</v>
      </c>
      <c r="AK207"/>
      <c r="AM207" s="80"/>
    </row>
    <row r="208" spans="1:39" ht="28.5" customHeight="1">
      <c r="A208" s="113" t="s">
        <v>73</v>
      </c>
      <c r="B208" s="114" t="s">
        <v>74</v>
      </c>
      <c r="C208" s="113" t="s">
        <v>35</v>
      </c>
      <c r="D208" s="113" t="s">
        <v>99</v>
      </c>
      <c r="E208" s="115" t="s">
        <v>951</v>
      </c>
      <c r="F208" s="113" t="s">
        <v>109</v>
      </c>
      <c r="G208" s="116">
        <v>22708097</v>
      </c>
      <c r="H208" s="79">
        <v>46125</v>
      </c>
      <c r="I208" s="114" t="s">
        <v>79</v>
      </c>
      <c r="J208" s="117" t="s">
        <v>952</v>
      </c>
      <c r="K208" s="118">
        <v>46122</v>
      </c>
      <c r="L208" s="114" t="s">
        <v>81</v>
      </c>
      <c r="M208" s="119">
        <v>46125</v>
      </c>
      <c r="N208" s="128">
        <v>46128</v>
      </c>
      <c r="O208" s="120">
        <f>NETWORKDAYS.INTL(K208,N208,1,$AM$2:$AM$10)-1</f>
        <v>4</v>
      </c>
      <c r="P208" s="114" t="s">
        <v>81</v>
      </c>
      <c r="Q208" s="114" t="s">
        <v>79</v>
      </c>
      <c r="R208" s="115"/>
      <c r="S208" s="145">
        <v>1734</v>
      </c>
      <c r="T208" s="148" t="s">
        <v>953</v>
      </c>
      <c r="U208" s="147">
        <v>24</v>
      </c>
      <c r="V208" s="121">
        <v>480</v>
      </c>
      <c r="W208" s="121">
        <v>17800</v>
      </c>
      <c r="X208" s="114" t="s">
        <v>113</v>
      </c>
      <c r="Y208" s="115" t="s">
        <v>85</v>
      </c>
      <c r="Z208" s="115" t="s">
        <v>954</v>
      </c>
      <c r="AA208" s="113" t="s">
        <v>87</v>
      </c>
      <c r="AB208" s="122">
        <v>7255.16</v>
      </c>
      <c r="AC208" s="122">
        <f>IF(C208="DENALI", AB208*0.495, IF(C208="SCHNEIDER ELECTRIC", AB208*1.136, IF(C208="WWT", AB208*1.2, AC208)))+AB208</f>
        <v>10846.4642</v>
      </c>
      <c r="AD208" s="129">
        <f>AC208-AB208</f>
        <v>3591.3042000000005</v>
      </c>
      <c r="AE208" s="122">
        <v>222413.28</v>
      </c>
      <c r="AF208" s="130">
        <f>AB208/U208</f>
        <v>302.29833333333335</v>
      </c>
      <c r="AG208" s="130">
        <f>AB208/V208</f>
        <v>15.114916666666666</v>
      </c>
      <c r="AH208" s="123">
        <f>AB208/S208</f>
        <v>4.1840599769319491</v>
      </c>
      <c r="AI208" s="124" t="s">
        <v>97</v>
      </c>
      <c r="AJ208" s="125" t="s">
        <v>349</v>
      </c>
      <c r="AK208"/>
      <c r="AM208" s="80"/>
    </row>
    <row r="209" spans="1:39" ht="28.5" customHeight="1">
      <c r="A209" s="113" t="s">
        <v>73</v>
      </c>
      <c r="B209" s="114" t="s">
        <v>140</v>
      </c>
      <c r="C209" s="113" t="s">
        <v>35</v>
      </c>
      <c r="D209" s="113" t="s">
        <v>955</v>
      </c>
      <c r="E209" s="115" t="s">
        <v>141</v>
      </c>
      <c r="F209" s="113" t="s">
        <v>142</v>
      </c>
      <c r="G209" s="116" t="s">
        <v>956</v>
      </c>
      <c r="H209" s="79">
        <v>46126</v>
      </c>
      <c r="I209" s="114" t="s">
        <v>79</v>
      </c>
      <c r="J209" s="117" t="s">
        <v>957</v>
      </c>
      <c r="K209" s="118">
        <v>46119</v>
      </c>
      <c r="L209" s="114" t="s">
        <v>79</v>
      </c>
      <c r="M209" s="119">
        <v>46121</v>
      </c>
      <c r="N209" s="128">
        <v>46121</v>
      </c>
      <c r="O209" s="120">
        <f>NETWORKDAYS.INTL(K209,N209,1,$AM$2:$AM$10)-1</f>
        <v>2</v>
      </c>
      <c r="P209" s="114" t="s">
        <v>81</v>
      </c>
      <c r="Q209" s="114" t="s">
        <v>79</v>
      </c>
      <c r="R209" s="115"/>
      <c r="S209" s="145">
        <v>446</v>
      </c>
      <c r="T209" s="148" t="s">
        <v>907</v>
      </c>
      <c r="U209" s="147">
        <v>1</v>
      </c>
      <c r="V209" s="121">
        <v>379</v>
      </c>
      <c r="W209" s="121">
        <v>675</v>
      </c>
      <c r="X209" s="114" t="s">
        <v>84</v>
      </c>
      <c r="Y209" s="115" t="s">
        <v>85</v>
      </c>
      <c r="Z209" s="115" t="s">
        <v>234</v>
      </c>
      <c r="AA209" s="113" t="s">
        <v>87</v>
      </c>
      <c r="AB209" s="122">
        <v>245.32</v>
      </c>
      <c r="AC209" s="122">
        <f>IF(C209="DENALI", AB209*0.495, IF(C209="SCHNEIDER ELECTRIC", AB209*1.136, IF(C209="WWT", AB209*1.2, AC209)))+AB209</f>
        <v>366.7534</v>
      </c>
      <c r="AD209" s="129">
        <f>AC209-AB209</f>
        <v>121.43340000000001</v>
      </c>
      <c r="AE209" s="122">
        <v>218191.56</v>
      </c>
      <c r="AF209" s="130">
        <f>AB209/U209</f>
        <v>245.32</v>
      </c>
      <c r="AG209" s="130">
        <f>AB209/V209</f>
        <v>0.64728232189973611</v>
      </c>
      <c r="AH209" s="123">
        <f>AB209/S209</f>
        <v>0.55004484304932733</v>
      </c>
      <c r="AI209" s="124" t="s">
        <v>97</v>
      </c>
      <c r="AJ209" s="125" t="s">
        <v>349</v>
      </c>
      <c r="AK209"/>
      <c r="AM209" s="80"/>
    </row>
    <row r="210" spans="1:39" ht="28.5" customHeight="1">
      <c r="A210" s="113" t="s">
        <v>73</v>
      </c>
      <c r="B210" s="114" t="s">
        <v>74</v>
      </c>
      <c r="C210" s="113" t="s">
        <v>35</v>
      </c>
      <c r="D210" s="113" t="s">
        <v>218</v>
      </c>
      <c r="E210" s="115" t="s">
        <v>958</v>
      </c>
      <c r="F210" s="113" t="s">
        <v>90</v>
      </c>
      <c r="G210" s="116" t="s">
        <v>959</v>
      </c>
      <c r="H210" s="79">
        <v>46126</v>
      </c>
      <c r="I210" s="114" t="s">
        <v>79</v>
      </c>
      <c r="J210" s="117" t="s">
        <v>960</v>
      </c>
      <c r="K210" s="118">
        <v>46119</v>
      </c>
      <c r="L210" s="114" t="s">
        <v>81</v>
      </c>
      <c r="M210" s="119">
        <v>46126</v>
      </c>
      <c r="N210" s="128">
        <v>46126</v>
      </c>
      <c r="O210" s="120">
        <f>NETWORKDAYS.INTL(K210,N210,1,$AM$2:$AM$10)-1</f>
        <v>5</v>
      </c>
      <c r="P210" s="114" t="s">
        <v>81</v>
      </c>
      <c r="Q210" s="114" t="s">
        <v>79</v>
      </c>
      <c r="R210" s="115"/>
      <c r="S210" s="145">
        <v>2284</v>
      </c>
      <c r="T210" s="148" t="s">
        <v>961</v>
      </c>
      <c r="U210" s="147">
        <v>1</v>
      </c>
      <c r="V210" s="121">
        <v>25</v>
      </c>
      <c r="W210" s="121">
        <v>215</v>
      </c>
      <c r="X210" s="114" t="s">
        <v>84</v>
      </c>
      <c r="Y210" s="115" t="s">
        <v>85</v>
      </c>
      <c r="Z210" s="115" t="s">
        <v>962</v>
      </c>
      <c r="AA210" s="113" t="s">
        <v>87</v>
      </c>
      <c r="AB210" s="122">
        <v>374.26</v>
      </c>
      <c r="AC210" s="122">
        <f>IF(C210="DENALI", AB210*0.495, IF(C210="SCHNEIDER ELECTRIC", AB210*1.136, IF(C210="WWT", AB210*1.2, AC210)))+AB210</f>
        <v>559.51869999999997</v>
      </c>
      <c r="AD210" s="129">
        <f>AC210-AB210</f>
        <v>185.25869999999998</v>
      </c>
      <c r="AE210" s="122">
        <v>8883.25</v>
      </c>
      <c r="AF210" s="130">
        <f>AB210/U210</f>
        <v>374.26</v>
      </c>
      <c r="AG210" s="130">
        <f>AB210/V210</f>
        <v>14.9704</v>
      </c>
      <c r="AH210" s="123">
        <f>AB210/S210</f>
        <v>0.163861646234676</v>
      </c>
      <c r="AI210" s="124" t="s">
        <v>97</v>
      </c>
      <c r="AJ210" s="125" t="s">
        <v>349</v>
      </c>
      <c r="AK210"/>
      <c r="AM210" s="80"/>
    </row>
    <row r="211" spans="1:39" ht="28.5" customHeight="1">
      <c r="A211" s="113" t="s">
        <v>73</v>
      </c>
      <c r="B211" s="114" t="s">
        <v>74</v>
      </c>
      <c r="C211" s="113" t="s">
        <v>35</v>
      </c>
      <c r="D211" s="113" t="s">
        <v>218</v>
      </c>
      <c r="E211" s="115" t="s">
        <v>832</v>
      </c>
      <c r="F211" s="113" t="s">
        <v>833</v>
      </c>
      <c r="G211" s="116" t="s">
        <v>963</v>
      </c>
      <c r="H211" s="79">
        <v>46126</v>
      </c>
      <c r="I211" s="114" t="s">
        <v>79</v>
      </c>
      <c r="J211" s="117" t="s">
        <v>964</v>
      </c>
      <c r="K211" s="118">
        <v>46119</v>
      </c>
      <c r="L211" s="114" t="s">
        <v>81</v>
      </c>
      <c r="M211" s="119">
        <v>46121</v>
      </c>
      <c r="N211" s="128">
        <v>46122</v>
      </c>
      <c r="O211" s="120">
        <f>NETWORKDAYS.INTL(K211,N211,1,$AM$2:$AM$10)-1</f>
        <v>3</v>
      </c>
      <c r="P211" s="114" t="s">
        <v>81</v>
      </c>
      <c r="Q211" s="114" t="s">
        <v>79</v>
      </c>
      <c r="R211" s="115"/>
      <c r="S211" s="145">
        <v>731</v>
      </c>
      <c r="T211" s="148" t="s">
        <v>836</v>
      </c>
      <c r="U211" s="147">
        <v>2</v>
      </c>
      <c r="V211" s="121">
        <v>182</v>
      </c>
      <c r="W211" s="121">
        <v>895</v>
      </c>
      <c r="X211" s="114" t="s">
        <v>84</v>
      </c>
      <c r="Y211" s="115" t="s">
        <v>85</v>
      </c>
      <c r="Z211" s="115" t="s">
        <v>962</v>
      </c>
      <c r="AA211" s="113" t="s">
        <v>87</v>
      </c>
      <c r="AB211" s="122">
        <v>418.74</v>
      </c>
      <c r="AC211" s="122">
        <f>IF(C211="DENALI", AB211*0.495, IF(C211="SCHNEIDER ELECTRIC", AB211*1.136, IF(C211="WWT", AB211*1.2, AC211)))+AB211</f>
        <v>626.0163</v>
      </c>
      <c r="AD211" s="129">
        <f>AC211-AB211</f>
        <v>207.27629999999999</v>
      </c>
      <c r="AE211" s="122">
        <v>111524.14</v>
      </c>
      <c r="AF211" s="130">
        <f>AB211/U211</f>
        <v>209.37</v>
      </c>
      <c r="AG211" s="130">
        <f>AB211/V211</f>
        <v>2.3007692307692307</v>
      </c>
      <c r="AH211" s="123">
        <f>AB211/S211</f>
        <v>0.57283173734610127</v>
      </c>
      <c r="AI211" s="124" t="s">
        <v>97</v>
      </c>
      <c r="AJ211" s="125" t="s">
        <v>349</v>
      </c>
      <c r="AK211"/>
      <c r="AM211" s="80"/>
    </row>
    <row r="212" spans="1:39" ht="28.5" customHeight="1">
      <c r="A212" s="113" t="s">
        <v>73</v>
      </c>
      <c r="B212" s="114" t="s">
        <v>74</v>
      </c>
      <c r="C212" s="113" t="s">
        <v>35</v>
      </c>
      <c r="D212" s="113" t="s">
        <v>99</v>
      </c>
      <c r="E212" s="115" t="s">
        <v>844</v>
      </c>
      <c r="F212" s="113" t="s">
        <v>845</v>
      </c>
      <c r="G212" s="116" t="s">
        <v>965</v>
      </c>
      <c r="H212" s="79">
        <v>46126</v>
      </c>
      <c r="I212" s="114" t="s">
        <v>79</v>
      </c>
      <c r="J212" s="117" t="s">
        <v>966</v>
      </c>
      <c r="K212" s="118">
        <v>46119</v>
      </c>
      <c r="L212" s="114" t="s">
        <v>81</v>
      </c>
      <c r="M212" s="119">
        <v>46122</v>
      </c>
      <c r="N212" s="128">
        <v>46129</v>
      </c>
      <c r="O212" s="120">
        <f>NETWORKDAYS.INTL(K212,N212,1,$AM$2:$AM$10)-1</f>
        <v>8</v>
      </c>
      <c r="P212" s="114" t="s">
        <v>79</v>
      </c>
      <c r="Q212" s="114" t="s">
        <v>81</v>
      </c>
      <c r="R212" s="115" t="s">
        <v>967</v>
      </c>
      <c r="S212" s="145">
        <v>625</v>
      </c>
      <c r="T212" s="148" t="s">
        <v>848</v>
      </c>
      <c r="U212" s="147">
        <v>2</v>
      </c>
      <c r="V212" s="121">
        <v>73</v>
      </c>
      <c r="W212" s="121">
        <v>730</v>
      </c>
      <c r="X212" s="114" t="s">
        <v>84</v>
      </c>
      <c r="Y212" s="115" t="s">
        <v>85</v>
      </c>
      <c r="Z212" s="115" t="s">
        <v>234</v>
      </c>
      <c r="AA212" s="113" t="s">
        <v>87</v>
      </c>
      <c r="AB212" s="122">
        <v>421.23</v>
      </c>
      <c r="AC212" s="122">
        <f>IF(C212="DENALI", AB212*0.495, IF(C212="SCHNEIDER ELECTRIC", AB212*1.136, IF(C212="WWT", AB212*1.2, AC212)))+AB212</f>
        <v>629.73884999999996</v>
      </c>
      <c r="AD212" s="129">
        <f>AC212-AB212</f>
        <v>208.50884999999994</v>
      </c>
      <c r="AE212" s="122">
        <v>89464.42</v>
      </c>
      <c r="AF212" s="130">
        <f>AB212/U212</f>
        <v>210.61500000000001</v>
      </c>
      <c r="AG212" s="130">
        <f>AB212/V212</f>
        <v>5.7702739726027401</v>
      </c>
      <c r="AH212" s="123">
        <f>AB212/S212</f>
        <v>0.67396800000000001</v>
      </c>
      <c r="AI212" s="124" t="s">
        <v>97</v>
      </c>
      <c r="AJ212" s="125" t="s">
        <v>349</v>
      </c>
      <c r="AK212"/>
      <c r="AM212" s="80"/>
    </row>
    <row r="213" spans="1:39" ht="28.5" customHeight="1">
      <c r="A213" s="113" t="s">
        <v>73</v>
      </c>
      <c r="B213" s="114" t="s">
        <v>74</v>
      </c>
      <c r="C213" s="113" t="s">
        <v>35</v>
      </c>
      <c r="D213" s="113" t="s">
        <v>218</v>
      </c>
      <c r="E213" s="115" t="s">
        <v>968</v>
      </c>
      <c r="F213" s="113" t="s">
        <v>77</v>
      </c>
      <c r="G213" s="116" t="s">
        <v>969</v>
      </c>
      <c r="H213" s="79">
        <v>46126</v>
      </c>
      <c r="I213" s="114" t="s">
        <v>79</v>
      </c>
      <c r="J213" s="117" t="s">
        <v>970</v>
      </c>
      <c r="K213" s="118">
        <v>46119</v>
      </c>
      <c r="L213" s="114" t="s">
        <v>81</v>
      </c>
      <c r="M213" s="119">
        <v>46120</v>
      </c>
      <c r="N213" s="128">
        <v>46120</v>
      </c>
      <c r="O213" s="120">
        <f>NETWORKDAYS.INTL(K213,N213,1,$AM$2:$AM$10)-1</f>
        <v>1</v>
      </c>
      <c r="P213" s="114" t="s">
        <v>81</v>
      </c>
      <c r="Q213" s="114" t="s">
        <v>79</v>
      </c>
      <c r="R213" s="115"/>
      <c r="S213" s="145">
        <v>654</v>
      </c>
      <c r="T213" s="148" t="s">
        <v>971</v>
      </c>
      <c r="U213" s="147">
        <v>1</v>
      </c>
      <c r="V213" s="121">
        <v>61</v>
      </c>
      <c r="W213" s="121">
        <v>600</v>
      </c>
      <c r="X213" s="114" t="s">
        <v>84</v>
      </c>
      <c r="Y213" s="115" t="s">
        <v>85</v>
      </c>
      <c r="Z213" s="115" t="s">
        <v>770</v>
      </c>
      <c r="AA213" s="113" t="s">
        <v>87</v>
      </c>
      <c r="AB213" s="122">
        <v>239.55</v>
      </c>
      <c r="AC213" s="122">
        <f>IF(C213="DENALI", AB213*0.495, IF(C213="SCHNEIDER ELECTRIC", AB213*1.136, IF(C213="WWT", AB213*1.2, AC213)))+AB213</f>
        <v>358.12725</v>
      </c>
      <c r="AD213" s="129">
        <f>AC213-AB213</f>
        <v>118.57724999999999</v>
      </c>
      <c r="AE213" s="122">
        <v>49407.79</v>
      </c>
      <c r="AF213" s="130">
        <f>AB213/U213</f>
        <v>239.55</v>
      </c>
      <c r="AG213" s="130">
        <f>AB213/V213</f>
        <v>3.9270491803278689</v>
      </c>
      <c r="AH213" s="123">
        <f>AB213/S213</f>
        <v>0.36628440366972481</v>
      </c>
      <c r="AI213" s="124" t="s">
        <v>115</v>
      </c>
      <c r="AJ213" s="125" t="s">
        <v>107</v>
      </c>
      <c r="AK213"/>
      <c r="AM213" s="80"/>
    </row>
    <row r="214" spans="1:39" ht="28.5" customHeight="1">
      <c r="A214" s="113" t="s">
        <v>73</v>
      </c>
      <c r="B214" s="114" t="s">
        <v>74</v>
      </c>
      <c r="C214" s="113" t="s">
        <v>35</v>
      </c>
      <c r="D214" s="113" t="s">
        <v>218</v>
      </c>
      <c r="E214" s="115" t="s">
        <v>901</v>
      </c>
      <c r="F214" s="113" t="s">
        <v>142</v>
      </c>
      <c r="G214" s="116" t="s">
        <v>972</v>
      </c>
      <c r="H214" s="79">
        <v>46126</v>
      </c>
      <c r="I214" s="114" t="s">
        <v>79</v>
      </c>
      <c r="J214" s="117" t="s">
        <v>973</v>
      </c>
      <c r="K214" s="118">
        <v>46119</v>
      </c>
      <c r="L214" s="114" t="s">
        <v>79</v>
      </c>
      <c r="M214" s="119">
        <v>46121</v>
      </c>
      <c r="N214" s="128">
        <v>46121</v>
      </c>
      <c r="O214" s="120">
        <f>NETWORKDAYS.INTL(K214,N214,1,$AM$2:$AM$10)-1</f>
        <v>2</v>
      </c>
      <c r="P214" s="114" t="s">
        <v>81</v>
      </c>
      <c r="Q214" s="114" t="s">
        <v>79</v>
      </c>
      <c r="R214" s="115"/>
      <c r="S214" s="145">
        <v>415</v>
      </c>
      <c r="T214" s="148" t="s">
        <v>974</v>
      </c>
      <c r="U214" s="147">
        <v>2</v>
      </c>
      <c r="V214" s="121">
        <v>764</v>
      </c>
      <c r="W214" s="121">
        <v>995</v>
      </c>
      <c r="X214" s="114" t="s">
        <v>84</v>
      </c>
      <c r="Y214" s="115" t="s">
        <v>85</v>
      </c>
      <c r="Z214" s="115" t="s">
        <v>86</v>
      </c>
      <c r="AA214" s="113" t="s">
        <v>87</v>
      </c>
      <c r="AB214" s="122">
        <v>320.68</v>
      </c>
      <c r="AC214" s="122">
        <f>IF(C214="DENALI", AB214*0.495, IF(C214="SCHNEIDER ELECTRIC", AB214*1.136, IF(C214="WWT", AB214*1.2, AC214)))+AB214</f>
        <v>479.41660000000002</v>
      </c>
      <c r="AD214" s="129">
        <f>AC214-AB214</f>
        <v>158.73660000000001</v>
      </c>
      <c r="AE214" s="122">
        <v>864.74</v>
      </c>
      <c r="AF214" s="130">
        <f>AB214/U214</f>
        <v>160.34</v>
      </c>
      <c r="AG214" s="130">
        <f>AB214/V214</f>
        <v>0.41973821989528798</v>
      </c>
      <c r="AH214" s="123">
        <f>AB214/S214</f>
        <v>0.77272289156626506</v>
      </c>
      <c r="AI214" s="124" t="s">
        <v>97</v>
      </c>
      <c r="AJ214" s="125" t="s">
        <v>349</v>
      </c>
      <c r="AK214"/>
      <c r="AM214" s="80"/>
    </row>
    <row r="215" spans="1:39" ht="28.5" customHeight="1">
      <c r="A215" s="113" t="s">
        <v>73</v>
      </c>
      <c r="B215" s="114" t="s">
        <v>74</v>
      </c>
      <c r="C215" s="113" t="s">
        <v>35</v>
      </c>
      <c r="D215" s="113" t="s">
        <v>218</v>
      </c>
      <c r="E215" s="115" t="s">
        <v>242</v>
      </c>
      <c r="F215" s="113" t="s">
        <v>243</v>
      </c>
      <c r="G215" s="116">
        <v>22712030</v>
      </c>
      <c r="H215" s="79">
        <v>46126</v>
      </c>
      <c r="I215" s="114" t="s">
        <v>79</v>
      </c>
      <c r="J215" s="117" t="s">
        <v>975</v>
      </c>
      <c r="K215" s="118">
        <v>46119</v>
      </c>
      <c r="L215" s="114" t="s">
        <v>79</v>
      </c>
      <c r="M215" s="119" t="s">
        <v>95</v>
      </c>
      <c r="N215" s="128" t="s">
        <v>95</v>
      </c>
      <c r="O215" s="120" t="e">
        <f>NETWORKDAYS.INTL(K215,N215,1,$AM$2:$AM$10)-1</f>
        <v>#VALUE!</v>
      </c>
      <c r="P215" s="114" t="s">
        <v>976</v>
      </c>
      <c r="Q215" s="114" t="s">
        <v>81</v>
      </c>
      <c r="R215" s="115" t="s">
        <v>977</v>
      </c>
      <c r="S215" s="145"/>
      <c r="T215" s="148"/>
      <c r="U215" s="147">
        <v>0</v>
      </c>
      <c r="V215" s="121">
        <v>0</v>
      </c>
      <c r="W215" s="121"/>
      <c r="X215" s="114"/>
      <c r="Y215" s="115"/>
      <c r="Z215" s="115"/>
      <c r="AA215" s="113" t="s">
        <v>87</v>
      </c>
      <c r="AB215" s="122">
        <v>269.18</v>
      </c>
      <c r="AC215" s="122">
        <f>IF(C215="DENALI", AB215*0.495, IF(C215="SCHNEIDER ELECTRIC", AB215*1.136, IF(C215="WWT", AB215*1.2, AC215)))+AB215</f>
        <v>402.42410000000001</v>
      </c>
      <c r="AD215" s="129">
        <f>AC215-AB215</f>
        <v>133.2441</v>
      </c>
      <c r="AE215" s="122">
        <v>0</v>
      </c>
      <c r="AF215" s="130" t="e">
        <f>AB215/U215</f>
        <v>#DIV/0!</v>
      </c>
      <c r="AG215" s="130" t="e">
        <f>AB215/V215</f>
        <v>#DIV/0!</v>
      </c>
      <c r="AH215" s="123" t="e">
        <f>AB215/S215</f>
        <v>#DIV/0!</v>
      </c>
      <c r="AI215" s="124">
        <v>1290</v>
      </c>
      <c r="AJ215" s="125" t="s">
        <v>349</v>
      </c>
      <c r="AK215"/>
      <c r="AM215" s="80"/>
    </row>
    <row r="216" spans="1:39" ht="28.5" customHeight="1">
      <c r="A216" s="113" t="s">
        <v>73</v>
      </c>
      <c r="B216" s="114" t="s">
        <v>74</v>
      </c>
      <c r="C216" s="113" t="s">
        <v>35</v>
      </c>
      <c r="D216" s="113" t="s">
        <v>218</v>
      </c>
      <c r="E216" s="115" t="s">
        <v>551</v>
      </c>
      <c r="F216" s="113" t="s">
        <v>213</v>
      </c>
      <c r="G216" s="116" t="s">
        <v>978</v>
      </c>
      <c r="H216" s="79">
        <v>46127</v>
      </c>
      <c r="I216" s="114" t="s">
        <v>79</v>
      </c>
      <c r="J216" s="117" t="s">
        <v>979</v>
      </c>
      <c r="K216" s="118">
        <v>46120</v>
      </c>
      <c r="L216" s="114" t="s">
        <v>81</v>
      </c>
      <c r="M216" s="119">
        <v>46122</v>
      </c>
      <c r="N216" s="128">
        <v>46125</v>
      </c>
      <c r="O216" s="120">
        <f>NETWORKDAYS.INTL(K216,N216,1,$AM$2:$AM$10)-1</f>
        <v>3</v>
      </c>
      <c r="P216" s="114" t="s">
        <v>81</v>
      </c>
      <c r="Q216" s="114" t="s">
        <v>81</v>
      </c>
      <c r="R216" s="115" t="s">
        <v>980</v>
      </c>
      <c r="S216" s="145">
        <v>741</v>
      </c>
      <c r="T216" s="148" t="s">
        <v>981</v>
      </c>
      <c r="U216" s="147">
        <v>2</v>
      </c>
      <c r="V216" s="121">
        <v>697</v>
      </c>
      <c r="W216" s="121">
        <v>1235</v>
      </c>
      <c r="X216" s="114" t="s">
        <v>84</v>
      </c>
      <c r="Y216" s="115" t="s">
        <v>85</v>
      </c>
      <c r="Z216" s="115" t="s">
        <v>962</v>
      </c>
      <c r="AA216" s="113" t="s">
        <v>87</v>
      </c>
      <c r="AB216" s="122">
        <v>473.5</v>
      </c>
      <c r="AC216" s="122">
        <f>IF(C216="DENALI", AB216*0.495, IF(C216="SCHNEIDER ELECTRIC", AB216*1.136, IF(C216="WWT", AB216*1.2, AC216)))+AB216</f>
        <v>707.88249999999994</v>
      </c>
      <c r="AD216" s="129">
        <f>AC216-AB216</f>
        <v>234.38249999999994</v>
      </c>
      <c r="AE216" s="122">
        <v>47626.43</v>
      </c>
      <c r="AF216" s="130">
        <f>AB216/U216</f>
        <v>236.75</v>
      </c>
      <c r="AG216" s="130">
        <f>AB216/V216</f>
        <v>0.67934002869440457</v>
      </c>
      <c r="AH216" s="123">
        <f>AB216/S216</f>
        <v>0.6390013495276653</v>
      </c>
      <c r="AI216" s="124" t="s">
        <v>97</v>
      </c>
      <c r="AJ216" s="125" t="s">
        <v>349</v>
      </c>
      <c r="AK216"/>
      <c r="AM216" s="80"/>
    </row>
    <row r="217" spans="1:39" ht="28.5" customHeight="1">
      <c r="A217" s="113" t="s">
        <v>73</v>
      </c>
      <c r="B217" s="114" t="s">
        <v>74</v>
      </c>
      <c r="C217" s="113" t="s">
        <v>35</v>
      </c>
      <c r="D217" s="113" t="s">
        <v>218</v>
      </c>
      <c r="E217" s="115" t="s">
        <v>589</v>
      </c>
      <c r="F217" s="113" t="s">
        <v>292</v>
      </c>
      <c r="G217" s="116" t="s">
        <v>982</v>
      </c>
      <c r="H217" s="79">
        <v>46157</v>
      </c>
      <c r="I217" s="114" t="s">
        <v>79</v>
      </c>
      <c r="J217" s="117" t="s">
        <v>983</v>
      </c>
      <c r="K217" s="118">
        <v>46119</v>
      </c>
      <c r="L217" s="114" t="s">
        <v>79</v>
      </c>
      <c r="M217" s="119">
        <v>46122</v>
      </c>
      <c r="N217" s="128">
        <v>46125</v>
      </c>
      <c r="O217" s="120">
        <f>NETWORKDAYS.INTL(K217,N217,1,$AM$2:$AM$10)-1</f>
        <v>4</v>
      </c>
      <c r="P217" s="114" t="s">
        <v>81</v>
      </c>
      <c r="Q217" s="114" t="s">
        <v>79</v>
      </c>
      <c r="R217" s="115"/>
      <c r="S217" s="145">
        <v>1142</v>
      </c>
      <c r="T217" s="148" t="s">
        <v>984</v>
      </c>
      <c r="U217" s="147">
        <v>1</v>
      </c>
      <c r="V217" s="121">
        <v>1</v>
      </c>
      <c r="W217" s="121">
        <v>560</v>
      </c>
      <c r="X217" s="114" t="s">
        <v>84</v>
      </c>
      <c r="Y217" s="115" t="s">
        <v>85</v>
      </c>
      <c r="Z217" s="115" t="s">
        <v>86</v>
      </c>
      <c r="AA217" s="113" t="s">
        <v>87</v>
      </c>
      <c r="AB217" s="122">
        <v>519.83000000000004</v>
      </c>
      <c r="AC217" s="122">
        <f>IF(C217="DENALI", AB217*0.495, IF(C217="SCHNEIDER ELECTRIC", AB217*1.136, IF(C217="WWT", AB217*1.2, AC217)))+AB217</f>
        <v>777.14585000000011</v>
      </c>
      <c r="AD217" s="129">
        <f>AC217-AB217</f>
        <v>257.31585000000007</v>
      </c>
      <c r="AE217" s="122">
        <v>13881.5</v>
      </c>
      <c r="AF217" s="130">
        <f>AB217/U217</f>
        <v>519.83000000000004</v>
      </c>
      <c r="AG217" s="130">
        <f>AB217/V217</f>
        <v>519.83000000000004</v>
      </c>
      <c r="AH217" s="123">
        <f>AB217/S217</f>
        <v>0.45519264448336255</v>
      </c>
      <c r="AI217" s="124" t="s">
        <v>97</v>
      </c>
      <c r="AJ217" s="125" t="s">
        <v>349</v>
      </c>
      <c r="AK217"/>
      <c r="AM217" s="80"/>
    </row>
    <row r="218" spans="1:39" ht="28.5" customHeight="1">
      <c r="A218" s="113" t="s">
        <v>73</v>
      </c>
      <c r="B218" s="114" t="s">
        <v>74</v>
      </c>
      <c r="C218" s="113" t="s">
        <v>35</v>
      </c>
      <c r="D218" s="113" t="s">
        <v>99</v>
      </c>
      <c r="E218" s="115" t="s">
        <v>287</v>
      </c>
      <c r="F218" s="113" t="s">
        <v>90</v>
      </c>
      <c r="G218" s="116">
        <v>22715103</v>
      </c>
      <c r="H218" s="79">
        <v>46127</v>
      </c>
      <c r="I218" s="114" t="s">
        <v>79</v>
      </c>
      <c r="J218" s="117" t="s">
        <v>985</v>
      </c>
      <c r="K218" s="118">
        <v>46120</v>
      </c>
      <c r="L218" s="114" t="s">
        <v>81</v>
      </c>
      <c r="M218" s="119">
        <v>46121</v>
      </c>
      <c r="N218" s="128">
        <v>46121</v>
      </c>
      <c r="O218" s="120">
        <f>NETWORKDAYS.INTL(K218,N218,1,$AM$2:$AM$10)-1</f>
        <v>1</v>
      </c>
      <c r="P218" s="114" t="s">
        <v>81</v>
      </c>
      <c r="Q218" s="114" t="s">
        <v>79</v>
      </c>
      <c r="R218" s="115"/>
      <c r="S218" s="145">
        <v>1180</v>
      </c>
      <c r="T218" s="148" t="s">
        <v>986</v>
      </c>
      <c r="U218" s="147">
        <v>3</v>
      </c>
      <c r="V218" s="121">
        <v>3</v>
      </c>
      <c r="W218" s="121">
        <v>985</v>
      </c>
      <c r="X218" s="114" t="s">
        <v>113</v>
      </c>
      <c r="Y218" s="115" t="s">
        <v>85</v>
      </c>
      <c r="Z218" s="115" t="s">
        <v>987</v>
      </c>
      <c r="AA218" s="113" t="s">
        <v>87</v>
      </c>
      <c r="AB218" s="122">
        <v>1858.11</v>
      </c>
      <c r="AC218" s="122">
        <f>IF(C218="DENALI", AB218*0.495, IF(C218="SCHNEIDER ELECTRIC", AB218*1.136, IF(C218="WWT", AB218*1.2, AC218)))+AB218</f>
        <v>2777.8744499999998</v>
      </c>
      <c r="AD218" s="129">
        <f>AC218-AB218</f>
        <v>919.7644499999999</v>
      </c>
      <c r="AE218" s="122">
        <v>93803.87</v>
      </c>
      <c r="AF218" s="130">
        <f>AB218/U218</f>
        <v>619.37</v>
      </c>
      <c r="AG218" s="130">
        <f>AB218/V218</f>
        <v>619.37</v>
      </c>
      <c r="AH218" s="123">
        <f>AB218/S218</f>
        <v>1.5746694915254236</v>
      </c>
      <c r="AI218" s="124" t="s">
        <v>115</v>
      </c>
      <c r="AJ218" s="125" t="s">
        <v>107</v>
      </c>
      <c r="AK218"/>
      <c r="AM218" s="80"/>
    </row>
    <row r="219" spans="1:39" ht="28.5" customHeight="1">
      <c r="A219" s="113" t="s">
        <v>73</v>
      </c>
      <c r="B219" s="114" t="s">
        <v>74</v>
      </c>
      <c r="C219" s="113" t="s">
        <v>35</v>
      </c>
      <c r="D219" s="113" t="s">
        <v>99</v>
      </c>
      <c r="E219" s="115" t="s">
        <v>988</v>
      </c>
      <c r="F219" s="113" t="s">
        <v>75</v>
      </c>
      <c r="G219" s="116">
        <v>22715235</v>
      </c>
      <c r="H219" s="79">
        <v>46127</v>
      </c>
      <c r="I219" s="114" t="s">
        <v>79</v>
      </c>
      <c r="J219" s="117" t="s">
        <v>989</v>
      </c>
      <c r="K219" s="118">
        <v>46122</v>
      </c>
      <c r="L219" s="114" t="s">
        <v>81</v>
      </c>
      <c r="M219" s="119">
        <v>46125</v>
      </c>
      <c r="N219" s="128">
        <v>46125</v>
      </c>
      <c r="O219" s="120">
        <f>NETWORKDAYS.INTL(K219,N219,1,$AM$2:$AM$10)-1</f>
        <v>1</v>
      </c>
      <c r="P219" s="114" t="s">
        <v>81</v>
      </c>
      <c r="Q219" s="114" t="s">
        <v>79</v>
      </c>
      <c r="R219" s="115"/>
      <c r="S219" s="145">
        <v>2737</v>
      </c>
      <c r="T219" s="148" t="s">
        <v>990</v>
      </c>
      <c r="U219" s="147">
        <v>24</v>
      </c>
      <c r="V219" s="121">
        <v>24</v>
      </c>
      <c r="W219" s="121">
        <v>17040</v>
      </c>
      <c r="X219" s="114" t="s">
        <v>113</v>
      </c>
      <c r="Y219" s="115" t="s">
        <v>85</v>
      </c>
      <c r="Z219" s="115" t="s">
        <v>991</v>
      </c>
      <c r="AA219" s="113" t="s">
        <v>87</v>
      </c>
      <c r="AB219" s="122">
        <v>6420.58</v>
      </c>
      <c r="AC219" s="122">
        <f>IF(C219="DENALI", AB219*0.495, IF(C219="SCHNEIDER ELECTRIC", AB219*1.136, IF(C219="WWT", AB219*1.2, AC219)))+AB219</f>
        <v>9598.7671000000009</v>
      </c>
      <c r="AD219" s="129">
        <f>AC219-AB219</f>
        <v>3178.187100000001</v>
      </c>
      <c r="AE219" s="122">
        <v>222413.28</v>
      </c>
      <c r="AF219" s="130">
        <f>AB219/U219</f>
        <v>267.52416666666664</v>
      </c>
      <c r="AG219" s="130">
        <f>AB219/V219</f>
        <v>267.52416666666664</v>
      </c>
      <c r="AH219" s="123">
        <f>AB219/S219</f>
        <v>2.3458458165875045</v>
      </c>
      <c r="AI219" s="124" t="s">
        <v>97</v>
      </c>
      <c r="AJ219" s="125" t="s">
        <v>349</v>
      </c>
      <c r="AK219"/>
      <c r="AM219" s="80"/>
    </row>
    <row r="220" spans="1:39" ht="28.5" customHeight="1">
      <c r="A220" s="113" t="s">
        <v>73</v>
      </c>
      <c r="B220" s="114" t="s">
        <v>140</v>
      </c>
      <c r="C220" s="113" t="s">
        <v>35</v>
      </c>
      <c r="D220" s="113" t="s">
        <v>99</v>
      </c>
      <c r="E220" s="115" t="s">
        <v>992</v>
      </c>
      <c r="F220" s="113" t="s">
        <v>75</v>
      </c>
      <c r="G220" s="116">
        <v>22715837</v>
      </c>
      <c r="H220" s="79">
        <v>46126</v>
      </c>
      <c r="I220" s="114" t="s">
        <v>79</v>
      </c>
      <c r="J220" s="117" t="s">
        <v>993</v>
      </c>
      <c r="K220" s="118">
        <v>46122</v>
      </c>
      <c r="L220" s="114" t="s">
        <v>81</v>
      </c>
      <c r="M220" s="119">
        <v>46125</v>
      </c>
      <c r="N220" s="128">
        <v>46126</v>
      </c>
      <c r="O220" s="120">
        <f>NETWORKDAYS.INTL(K220,N220,1,$AM$2:$AM$10)-1</f>
        <v>2</v>
      </c>
      <c r="P220" s="114" t="s">
        <v>81</v>
      </c>
      <c r="Q220" s="114" t="s">
        <v>79</v>
      </c>
      <c r="R220" s="115"/>
      <c r="S220" s="145">
        <v>2737</v>
      </c>
      <c r="T220" s="148" t="s">
        <v>994</v>
      </c>
      <c r="U220" s="147">
        <v>7</v>
      </c>
      <c r="V220" s="121">
        <v>7</v>
      </c>
      <c r="W220" s="121">
        <v>3890</v>
      </c>
      <c r="X220" s="114" t="s">
        <v>113</v>
      </c>
      <c r="Y220" s="115" t="s">
        <v>85</v>
      </c>
      <c r="Z220" s="115" t="s">
        <v>995</v>
      </c>
      <c r="AA220" s="113" t="s">
        <v>87</v>
      </c>
      <c r="AB220" s="122">
        <v>6062.68</v>
      </c>
      <c r="AC220" s="122">
        <f>IF(C220="DENALI", AB220*0.495, IF(C220="SCHNEIDER ELECTRIC", AB220*1.136, IF(C220="WWT", AB220*1.2, AC220)))+AB220</f>
        <v>9063.7066000000013</v>
      </c>
      <c r="AD220" s="129">
        <f>AC220-AB220</f>
        <v>3001.0266000000011</v>
      </c>
      <c r="AE220" s="122">
        <v>398184</v>
      </c>
      <c r="AF220" s="130">
        <f>AB220/U220</f>
        <v>866.0971428571429</v>
      </c>
      <c r="AG220" s="130">
        <f>AB220/V220</f>
        <v>866.0971428571429</v>
      </c>
      <c r="AH220" s="123">
        <f>AB220/S220</f>
        <v>2.2150822067957621</v>
      </c>
      <c r="AI220" s="124" t="s">
        <v>97</v>
      </c>
      <c r="AJ220" s="125" t="s">
        <v>349</v>
      </c>
      <c r="AK220"/>
      <c r="AM220" s="80"/>
    </row>
    <row r="221" spans="1:39" ht="28.5" customHeight="1">
      <c r="A221" s="113" t="s">
        <v>73</v>
      </c>
      <c r="B221" s="114" t="s">
        <v>140</v>
      </c>
      <c r="C221" s="113" t="s">
        <v>35</v>
      </c>
      <c r="D221" s="113" t="s">
        <v>99</v>
      </c>
      <c r="E221" s="115" t="s">
        <v>992</v>
      </c>
      <c r="F221" s="113" t="s">
        <v>75</v>
      </c>
      <c r="G221" s="116" t="s">
        <v>996</v>
      </c>
      <c r="H221" s="79">
        <v>46126</v>
      </c>
      <c r="I221" s="114" t="s">
        <v>79</v>
      </c>
      <c r="J221" s="117" t="s">
        <v>997</v>
      </c>
      <c r="K221" s="118">
        <v>46120</v>
      </c>
      <c r="L221" s="114" t="s">
        <v>81</v>
      </c>
      <c r="M221" s="119">
        <v>46128</v>
      </c>
      <c r="N221" s="128">
        <v>46127</v>
      </c>
      <c r="O221" s="120">
        <f>NETWORKDAYS.INTL(K221,N221,1,$AM$2:$AM$10)-1</f>
        <v>5</v>
      </c>
      <c r="P221" s="114" t="s">
        <v>81</v>
      </c>
      <c r="Q221" s="114" t="s">
        <v>79</v>
      </c>
      <c r="R221" s="115"/>
      <c r="S221" s="145">
        <v>2737</v>
      </c>
      <c r="T221" s="148" t="s">
        <v>998</v>
      </c>
      <c r="U221" s="147">
        <v>4</v>
      </c>
      <c r="V221" s="121">
        <v>96</v>
      </c>
      <c r="W221" s="121">
        <v>1885</v>
      </c>
      <c r="X221" s="114" t="s">
        <v>84</v>
      </c>
      <c r="Y221" s="115" t="s">
        <v>85</v>
      </c>
      <c r="Z221" s="115" t="s">
        <v>962</v>
      </c>
      <c r="AA221" s="113" t="s">
        <v>87</v>
      </c>
      <c r="AB221" s="122">
        <v>1033.49</v>
      </c>
      <c r="AC221" s="122">
        <f>IF(C221="DENALI", AB221*0.495, IF(C221="SCHNEIDER ELECTRIC", AB221*1.136, IF(C221="WWT", AB221*1.2, AC221)))+AB221</f>
        <v>1545.06755</v>
      </c>
      <c r="AD221" s="129">
        <f>AC221-AB221</f>
        <v>511.57754999999997</v>
      </c>
      <c r="AE221" s="122">
        <v>199092</v>
      </c>
      <c r="AF221" s="130">
        <f>AB221/U221</f>
        <v>258.3725</v>
      </c>
      <c r="AG221" s="130">
        <f>AB221/V221</f>
        <v>10.765520833333333</v>
      </c>
      <c r="AH221" s="123">
        <f>AB221/S221</f>
        <v>0.37759956156375596</v>
      </c>
      <c r="AI221" s="124" t="s">
        <v>97</v>
      </c>
      <c r="AJ221" s="125" t="s">
        <v>349</v>
      </c>
      <c r="AK221"/>
      <c r="AM221" s="80"/>
    </row>
    <row r="222" spans="1:39" ht="28.5" customHeight="1">
      <c r="A222" s="113" t="s">
        <v>73</v>
      </c>
      <c r="B222" s="114" t="s">
        <v>140</v>
      </c>
      <c r="C222" s="113" t="s">
        <v>35</v>
      </c>
      <c r="D222" s="113" t="s">
        <v>218</v>
      </c>
      <c r="E222" s="115" t="s">
        <v>141</v>
      </c>
      <c r="F222" s="113" t="s">
        <v>142</v>
      </c>
      <c r="G222" s="116" t="s">
        <v>999</v>
      </c>
      <c r="H222" s="79">
        <v>46127</v>
      </c>
      <c r="I222" s="114" t="s">
        <v>79</v>
      </c>
      <c r="J222" s="117" t="s">
        <v>1000</v>
      </c>
      <c r="K222" s="118">
        <v>46121</v>
      </c>
      <c r="L222" s="114" t="s">
        <v>81</v>
      </c>
      <c r="M222" s="119">
        <v>46122</v>
      </c>
      <c r="N222" s="128">
        <v>46126</v>
      </c>
      <c r="O222" s="120">
        <f>NETWORKDAYS.INTL(K222,N222,1,$AM$2:$AM$10)-1</f>
        <v>3</v>
      </c>
      <c r="P222" s="114" t="s">
        <v>81</v>
      </c>
      <c r="Q222" s="114" t="s">
        <v>79</v>
      </c>
      <c r="R222" s="115" t="s">
        <v>1001</v>
      </c>
      <c r="S222" s="145">
        <v>438</v>
      </c>
      <c r="T222" s="148" t="s">
        <v>410</v>
      </c>
      <c r="U222" s="147">
        <v>4</v>
      </c>
      <c r="V222" s="121">
        <v>58</v>
      </c>
      <c r="W222" s="121">
        <v>1480</v>
      </c>
      <c r="X222" s="114" t="s">
        <v>84</v>
      </c>
      <c r="Y222" s="115" t="s">
        <v>85</v>
      </c>
      <c r="Z222" s="115" t="s">
        <v>962</v>
      </c>
      <c r="AA222" s="113" t="s">
        <v>87</v>
      </c>
      <c r="AB222" s="122">
        <v>528.05999999999995</v>
      </c>
      <c r="AC222" s="122">
        <f>IF(C222="DENALI", AB222*0.495, IF(C222="SCHNEIDER ELECTRIC", AB222*1.136, IF(C222="WWT", AB222*1.2, AC222)))+AB222</f>
        <v>789.44969999999989</v>
      </c>
      <c r="AD222" s="129">
        <f>AC222-AB222</f>
        <v>261.38969999999995</v>
      </c>
      <c r="AE222" s="122">
        <v>393451.7</v>
      </c>
      <c r="AF222" s="130">
        <f>AB222/U222</f>
        <v>132.01499999999999</v>
      </c>
      <c r="AG222" s="130">
        <f>AB222/V222</f>
        <v>9.1044827586206889</v>
      </c>
      <c r="AH222" s="123">
        <f>AB222/S222</f>
        <v>1.2056164383561643</v>
      </c>
      <c r="AI222" s="124" t="s">
        <v>155</v>
      </c>
      <c r="AJ222" s="125" t="s">
        <v>89</v>
      </c>
      <c r="AK222"/>
      <c r="AM222" s="80"/>
    </row>
    <row r="223" spans="1:39" ht="28.5" customHeight="1">
      <c r="A223" s="113" t="s">
        <v>73</v>
      </c>
      <c r="B223" s="114" t="s">
        <v>140</v>
      </c>
      <c r="C223" s="113" t="s">
        <v>35</v>
      </c>
      <c r="D223" s="113" t="s">
        <v>218</v>
      </c>
      <c r="E223" s="115" t="s">
        <v>141</v>
      </c>
      <c r="F223" s="113" t="s">
        <v>142</v>
      </c>
      <c r="G223" s="116" t="s">
        <v>1002</v>
      </c>
      <c r="H223" s="79">
        <v>46127</v>
      </c>
      <c r="I223" s="114" t="s">
        <v>79</v>
      </c>
      <c r="J223" s="117" t="s">
        <v>1003</v>
      </c>
      <c r="K223" s="118">
        <v>46121</v>
      </c>
      <c r="L223" s="114" t="s">
        <v>81</v>
      </c>
      <c r="M223" s="119">
        <v>46128</v>
      </c>
      <c r="N223" s="128">
        <v>46128</v>
      </c>
      <c r="O223" s="120">
        <f>NETWORKDAYS.INTL(K223,N223,1,$AM$2:$AM$10)-1</f>
        <v>5</v>
      </c>
      <c r="P223" s="114" t="s">
        <v>81</v>
      </c>
      <c r="Q223" s="114" t="s">
        <v>79</v>
      </c>
      <c r="R223" s="115" t="s">
        <v>1004</v>
      </c>
      <c r="S223" s="145">
        <v>2435</v>
      </c>
      <c r="T223" s="148" t="s">
        <v>200</v>
      </c>
      <c r="U223" s="147">
        <v>3</v>
      </c>
      <c r="V223" s="121">
        <v>64</v>
      </c>
      <c r="W223" s="121">
        <v>665</v>
      </c>
      <c r="X223" s="114" t="s">
        <v>84</v>
      </c>
      <c r="Y223" s="115" t="s">
        <v>85</v>
      </c>
      <c r="Z223" s="115" t="s">
        <v>86</v>
      </c>
      <c r="AA223" s="113" t="s">
        <v>87</v>
      </c>
      <c r="AB223" s="122">
        <v>1546.37</v>
      </c>
      <c r="AC223" s="122">
        <f>IF(C223="DENALI", AB223*0.495, IF(C223="SCHNEIDER ELECTRIC", AB223*1.136, IF(C223="WWT", AB223*1.2, AC223)))+AB223</f>
        <v>2311.8231499999997</v>
      </c>
      <c r="AD223" s="129">
        <f>AC223-AB223</f>
        <v>765.45314999999982</v>
      </c>
      <c r="AE223" s="122">
        <v>116677.3</v>
      </c>
      <c r="AF223" s="130">
        <f>AB223/U223</f>
        <v>515.45666666666659</v>
      </c>
      <c r="AG223" s="130">
        <f>AB223/V223</f>
        <v>24.162031249999998</v>
      </c>
      <c r="AH223" s="123">
        <f>AB223/S223</f>
        <v>0.63505954825462008</v>
      </c>
      <c r="AI223" s="124" t="s">
        <v>155</v>
      </c>
      <c r="AJ223" s="125" t="s">
        <v>89</v>
      </c>
      <c r="AK223"/>
      <c r="AM223" s="80"/>
    </row>
    <row r="224" spans="1:39" ht="28.5" customHeight="1">
      <c r="A224" s="113" t="s">
        <v>73</v>
      </c>
      <c r="B224" s="114" t="s">
        <v>140</v>
      </c>
      <c r="C224" s="113" t="s">
        <v>35</v>
      </c>
      <c r="D224" s="113" t="s">
        <v>218</v>
      </c>
      <c r="E224" s="115" t="s">
        <v>141</v>
      </c>
      <c r="F224" s="113" t="s">
        <v>142</v>
      </c>
      <c r="G224" s="116">
        <v>22729290</v>
      </c>
      <c r="H224" s="79">
        <v>46122</v>
      </c>
      <c r="I224" s="114" t="s">
        <v>79</v>
      </c>
      <c r="J224" s="117" t="s">
        <v>1005</v>
      </c>
      <c r="K224" s="118">
        <v>46121</v>
      </c>
      <c r="L224" s="114" t="s">
        <v>81</v>
      </c>
      <c r="M224" s="119">
        <v>46122</v>
      </c>
      <c r="N224" s="128">
        <v>46122</v>
      </c>
      <c r="O224" s="120">
        <f>NETWORKDAYS.INTL(K224,N224,1,$AM$2:$AM$10)-1</f>
        <v>1</v>
      </c>
      <c r="P224" s="114" t="s">
        <v>81</v>
      </c>
      <c r="Q224" s="114" t="s">
        <v>79</v>
      </c>
      <c r="R224" s="115" t="s">
        <v>967</v>
      </c>
      <c r="S224" s="145">
        <v>439</v>
      </c>
      <c r="T224" s="148" t="s">
        <v>410</v>
      </c>
      <c r="U224" s="147">
        <v>18</v>
      </c>
      <c r="V224" s="121">
        <v>18</v>
      </c>
      <c r="W224" s="121">
        <v>6660</v>
      </c>
      <c r="X224" s="114" t="s">
        <v>113</v>
      </c>
      <c r="Y224" s="115" t="s">
        <v>85</v>
      </c>
      <c r="Z224" s="115" t="s">
        <v>1006</v>
      </c>
      <c r="AA224" s="113" t="s">
        <v>87</v>
      </c>
      <c r="AB224" s="122">
        <v>2951.78</v>
      </c>
      <c r="AC224" s="122">
        <f>IF(C224="DENALI", AB224*0.495, IF(C224="SCHNEIDER ELECTRIC", AB224*1.136, IF(C224="WWT", AB224*1.2, AC224)))+AB224</f>
        <v>4412.9111000000003</v>
      </c>
      <c r="AD224" s="129">
        <f>AC224-AB224</f>
        <v>1461.1311000000001</v>
      </c>
      <c r="AE224" s="122">
        <v>131150.56</v>
      </c>
      <c r="AF224" s="130">
        <f>AB224/U224</f>
        <v>163.98777777777778</v>
      </c>
      <c r="AG224" s="130">
        <f>AB224/V224</f>
        <v>163.98777777777778</v>
      </c>
      <c r="AH224" s="123">
        <f>AB224/S224</f>
        <v>6.7238724373576311</v>
      </c>
      <c r="AI224" s="124" t="s">
        <v>155</v>
      </c>
      <c r="AJ224" s="125" t="s">
        <v>89</v>
      </c>
      <c r="AK224"/>
      <c r="AM224" s="80"/>
    </row>
    <row r="225" spans="1:39" ht="28.5" customHeight="1">
      <c r="A225" s="113" t="s">
        <v>73</v>
      </c>
      <c r="B225" s="114" t="s">
        <v>140</v>
      </c>
      <c r="C225" s="113" t="s">
        <v>35</v>
      </c>
      <c r="D225" s="113" t="s">
        <v>218</v>
      </c>
      <c r="E225" s="115" t="s">
        <v>141</v>
      </c>
      <c r="F225" s="113" t="s">
        <v>142</v>
      </c>
      <c r="G225" s="116">
        <v>22729301</v>
      </c>
      <c r="H225" s="79">
        <v>46122</v>
      </c>
      <c r="I225" s="114" t="s">
        <v>79</v>
      </c>
      <c r="J225" s="117" t="s">
        <v>1007</v>
      </c>
      <c r="K225" s="118">
        <v>46121</v>
      </c>
      <c r="L225" s="114" t="s">
        <v>81</v>
      </c>
      <c r="M225" s="119">
        <v>46122</v>
      </c>
      <c r="N225" s="128">
        <v>46122</v>
      </c>
      <c r="O225" s="120">
        <f>NETWORKDAYS.INTL(K225,N225,1,$AM$2:$AM$10)-1</f>
        <v>1</v>
      </c>
      <c r="P225" s="114" t="s">
        <v>81</v>
      </c>
      <c r="Q225" s="114" t="s">
        <v>79</v>
      </c>
      <c r="R225" s="115" t="s">
        <v>967</v>
      </c>
      <c r="S225" s="145">
        <v>439</v>
      </c>
      <c r="T225" s="148" t="s">
        <v>410</v>
      </c>
      <c r="U225" s="147">
        <v>18</v>
      </c>
      <c r="V225" s="121">
        <v>18</v>
      </c>
      <c r="W225" s="121">
        <v>6660</v>
      </c>
      <c r="X225" s="114" t="s">
        <v>113</v>
      </c>
      <c r="Y225" s="115" t="s">
        <v>85</v>
      </c>
      <c r="Z225" s="115" t="s">
        <v>1008</v>
      </c>
      <c r="AA225" s="113" t="s">
        <v>87</v>
      </c>
      <c r="AB225" s="122">
        <v>2951.78</v>
      </c>
      <c r="AC225" s="122">
        <f>IF(C225="DENALI", AB225*0.495, IF(C225="SCHNEIDER ELECTRIC", AB225*1.136, IF(C225="WWT", AB225*1.2, AC225)))+AB225</f>
        <v>4412.9111000000003</v>
      </c>
      <c r="AD225" s="129">
        <f>AC225-AB225</f>
        <v>1461.1311000000001</v>
      </c>
      <c r="AE225" s="122">
        <v>131151.56</v>
      </c>
      <c r="AF225" s="130">
        <f>AB225/U225</f>
        <v>163.98777777777778</v>
      </c>
      <c r="AG225" s="130">
        <f>AB225/V225</f>
        <v>163.98777777777778</v>
      </c>
      <c r="AH225" s="123">
        <f>AB225/S225</f>
        <v>6.7238724373576311</v>
      </c>
      <c r="AI225" s="124" t="s">
        <v>155</v>
      </c>
      <c r="AJ225" s="125" t="s">
        <v>89</v>
      </c>
      <c r="AK225"/>
      <c r="AM225" s="80"/>
    </row>
    <row r="226" spans="1:39" ht="28.5" customHeight="1">
      <c r="A226" s="113" t="s">
        <v>73</v>
      </c>
      <c r="B226" s="114" t="s">
        <v>140</v>
      </c>
      <c r="C226" s="113" t="s">
        <v>35</v>
      </c>
      <c r="D226" s="113" t="s">
        <v>218</v>
      </c>
      <c r="E226" s="115" t="s">
        <v>141</v>
      </c>
      <c r="F226" s="113" t="s">
        <v>142</v>
      </c>
      <c r="G226" s="116">
        <v>22729314</v>
      </c>
      <c r="H226" s="79">
        <v>46122</v>
      </c>
      <c r="I226" s="114" t="s">
        <v>79</v>
      </c>
      <c r="J226" s="117" t="s">
        <v>1009</v>
      </c>
      <c r="K226" s="118">
        <v>46121</v>
      </c>
      <c r="L226" s="114" t="s">
        <v>81</v>
      </c>
      <c r="M226" s="119">
        <v>46122</v>
      </c>
      <c r="N226" s="128">
        <v>46122</v>
      </c>
      <c r="O226" s="120">
        <f>NETWORKDAYS.INTL(K226,N226,1,$AM$2:$AM$10)-1</f>
        <v>1</v>
      </c>
      <c r="P226" s="114" t="s">
        <v>81</v>
      </c>
      <c r="Q226" s="114" t="s">
        <v>79</v>
      </c>
      <c r="R226" s="115" t="s">
        <v>967</v>
      </c>
      <c r="S226" s="145">
        <v>439</v>
      </c>
      <c r="T226" s="148" t="s">
        <v>410</v>
      </c>
      <c r="U226" s="147">
        <v>18</v>
      </c>
      <c r="V226" s="121">
        <v>18</v>
      </c>
      <c r="W226" s="121">
        <v>6660</v>
      </c>
      <c r="X226" s="114" t="s">
        <v>113</v>
      </c>
      <c r="Y226" s="115" t="s">
        <v>85</v>
      </c>
      <c r="Z226" s="115" t="s">
        <v>1010</v>
      </c>
      <c r="AA226" s="113" t="s">
        <v>87</v>
      </c>
      <c r="AB226" s="122">
        <v>2951.78</v>
      </c>
      <c r="AC226" s="122">
        <f>IF(C226="DENALI", AB226*0.495, IF(C226="SCHNEIDER ELECTRIC", AB226*1.136, IF(C226="WWT", AB226*1.2, AC226)))+AB226</f>
        <v>4412.9111000000003</v>
      </c>
      <c r="AD226" s="129">
        <f>AC226-AB226</f>
        <v>1461.1311000000001</v>
      </c>
      <c r="AE226" s="122">
        <v>131152.56</v>
      </c>
      <c r="AF226" s="130">
        <f>AB226/U226</f>
        <v>163.98777777777778</v>
      </c>
      <c r="AG226" s="130">
        <f>AB226/V226</f>
        <v>163.98777777777778</v>
      </c>
      <c r="AH226" s="123">
        <f>AB226/S226</f>
        <v>6.7238724373576311</v>
      </c>
      <c r="AI226" s="124" t="s">
        <v>155</v>
      </c>
      <c r="AJ226" s="125" t="s">
        <v>89</v>
      </c>
      <c r="AK226"/>
      <c r="AM226" s="80"/>
    </row>
    <row r="227" spans="1:39" ht="28.5" customHeight="1">
      <c r="A227" s="113" t="s">
        <v>73</v>
      </c>
      <c r="B227" s="114" t="s">
        <v>74</v>
      </c>
      <c r="C227" s="113" t="s">
        <v>36</v>
      </c>
      <c r="D227" s="113" t="s">
        <v>90</v>
      </c>
      <c r="E227" s="115" t="s">
        <v>1011</v>
      </c>
      <c r="F227" s="113" t="s">
        <v>90</v>
      </c>
      <c r="G227" s="116" t="s">
        <v>1012</v>
      </c>
      <c r="H227" s="79">
        <v>46129</v>
      </c>
      <c r="I227" s="114" t="s">
        <v>79</v>
      </c>
      <c r="J227" s="117" t="s">
        <v>1013</v>
      </c>
      <c r="K227" s="118">
        <v>46122</v>
      </c>
      <c r="L227" s="114" t="s">
        <v>81</v>
      </c>
      <c r="M227" s="119">
        <v>46125</v>
      </c>
      <c r="N227" s="128">
        <v>46125</v>
      </c>
      <c r="O227" s="120">
        <f>NETWORKDAYS.INTL(K227,N227,1,$AM$2:$AM$10)-1</f>
        <v>1</v>
      </c>
      <c r="P227" s="114" t="s">
        <v>81</v>
      </c>
      <c r="Q227" s="114" t="s">
        <v>79</v>
      </c>
      <c r="R227" s="115"/>
      <c r="S227" s="145">
        <v>124</v>
      </c>
      <c r="T227" s="148" t="s">
        <v>1014</v>
      </c>
      <c r="U227" s="147">
        <v>1</v>
      </c>
      <c r="V227" s="121">
        <v>5</v>
      </c>
      <c r="W227" s="121">
        <v>234</v>
      </c>
      <c r="X227" s="114" t="s">
        <v>84</v>
      </c>
      <c r="Y227" s="115" t="s">
        <v>85</v>
      </c>
      <c r="Z227" s="115" t="s">
        <v>86</v>
      </c>
      <c r="AA227" s="113" t="s">
        <v>87</v>
      </c>
      <c r="AB227" s="122">
        <v>188.74</v>
      </c>
      <c r="AC227" s="122">
        <f>IF(C227="DENALI", AB227*0.495, IF(C227="SCHNEIDER ELECTRIC", AB227*1.136, IF(C227="WWT", AB227*1.2, AC227)))+AB227</f>
        <v>403.14864</v>
      </c>
      <c r="AD227" s="129">
        <f>AC227-AB227</f>
        <v>214.40863999999999</v>
      </c>
      <c r="AE227" s="122">
        <v>1414</v>
      </c>
      <c r="AF227" s="130">
        <f>AB227/U227</f>
        <v>188.74</v>
      </c>
      <c r="AG227" s="130">
        <f>AB227/V227</f>
        <v>37.748000000000005</v>
      </c>
      <c r="AH227" s="123">
        <f>AB227/S227</f>
        <v>1.5220967741935485</v>
      </c>
      <c r="AI227" s="124" t="s">
        <v>240</v>
      </c>
      <c r="AJ227" s="125" t="s">
        <v>98</v>
      </c>
      <c r="AK227"/>
      <c r="AM227" s="80"/>
    </row>
    <row r="228" spans="1:39" ht="28.5" customHeight="1">
      <c r="A228" s="113" t="s">
        <v>73</v>
      </c>
      <c r="B228" s="114" t="s">
        <v>74</v>
      </c>
      <c r="C228" s="113" t="s">
        <v>36</v>
      </c>
      <c r="D228" s="113" t="s">
        <v>90</v>
      </c>
      <c r="E228" s="115" t="s">
        <v>1015</v>
      </c>
      <c r="F228" s="113" t="s">
        <v>150</v>
      </c>
      <c r="G228" s="116" t="s">
        <v>1016</v>
      </c>
      <c r="H228" s="79">
        <v>46129</v>
      </c>
      <c r="I228" s="114" t="s">
        <v>79</v>
      </c>
      <c r="J228" s="117" t="s">
        <v>1017</v>
      </c>
      <c r="K228" s="118">
        <v>46122</v>
      </c>
      <c r="L228" s="114" t="s">
        <v>79</v>
      </c>
      <c r="M228" s="119">
        <v>46125</v>
      </c>
      <c r="N228" s="128">
        <v>46127</v>
      </c>
      <c r="O228" s="120">
        <f>NETWORKDAYS.INTL(K228,N228,1,$AM$2:$AM$10)-1</f>
        <v>3</v>
      </c>
      <c r="P228" s="114" t="s">
        <v>81</v>
      </c>
      <c r="Q228" s="114" t="s">
        <v>79</v>
      </c>
      <c r="R228" s="115"/>
      <c r="S228" s="145">
        <v>1005</v>
      </c>
      <c r="T228" s="148" t="s">
        <v>1018</v>
      </c>
      <c r="U228" s="147">
        <v>1</v>
      </c>
      <c r="V228" s="121">
        <v>2</v>
      </c>
      <c r="W228" s="121">
        <v>278</v>
      </c>
      <c r="X228" s="114" t="s">
        <v>84</v>
      </c>
      <c r="Y228" s="115" t="s">
        <v>85</v>
      </c>
      <c r="Z228" s="115" t="s">
        <v>86</v>
      </c>
      <c r="AA228" s="113" t="s">
        <v>87</v>
      </c>
      <c r="AB228" s="122">
        <v>336.66</v>
      </c>
      <c r="AC228" s="122">
        <f>IF(C228="DENALI", AB228*0.495, IF(C228="SCHNEIDER ELECTRIC", AB228*1.136, IF(C228="WWT", AB228*1.2, AC228)))+AB228</f>
        <v>719.10576000000003</v>
      </c>
      <c r="AD228" s="129">
        <f>AC228-AB228</f>
        <v>382.44576000000001</v>
      </c>
      <c r="AE228" s="122">
        <v>68237.399999999994</v>
      </c>
      <c r="AF228" s="130">
        <f>AB228/U228</f>
        <v>336.66</v>
      </c>
      <c r="AG228" s="130">
        <f>AB228/V228</f>
        <v>168.33</v>
      </c>
      <c r="AH228" s="123">
        <f>AB228/S228</f>
        <v>0.33498507462686572</v>
      </c>
      <c r="AI228" s="124" t="s">
        <v>97</v>
      </c>
      <c r="AJ228" s="125" t="s">
        <v>349</v>
      </c>
      <c r="AK228"/>
      <c r="AM228" s="80"/>
    </row>
    <row r="229" spans="1:39" ht="28.5" customHeight="1">
      <c r="A229" s="113" t="s">
        <v>73</v>
      </c>
      <c r="B229" s="114" t="s">
        <v>74</v>
      </c>
      <c r="C229" s="113" t="s">
        <v>36</v>
      </c>
      <c r="D229" s="113" t="s">
        <v>90</v>
      </c>
      <c r="E229" s="115" t="s">
        <v>1019</v>
      </c>
      <c r="F229" s="113" t="s">
        <v>1020</v>
      </c>
      <c r="G229" s="116" t="s">
        <v>1021</v>
      </c>
      <c r="H229" s="79">
        <v>46132</v>
      </c>
      <c r="I229" s="114" t="s">
        <v>79</v>
      </c>
      <c r="J229" s="117" t="s">
        <v>1022</v>
      </c>
      <c r="K229" s="118">
        <v>46125</v>
      </c>
      <c r="L229" s="114" t="s">
        <v>81</v>
      </c>
      <c r="M229" s="119">
        <v>46129</v>
      </c>
      <c r="N229" s="128">
        <v>46129</v>
      </c>
      <c r="O229" s="120">
        <f>NETWORKDAYS.INTL(K229,N229,1,$AM$2:$AM$10)-1</f>
        <v>4</v>
      </c>
      <c r="P229" s="114" t="s">
        <v>81</v>
      </c>
      <c r="Q229" s="114" t="s">
        <v>79</v>
      </c>
      <c r="R229" s="115"/>
      <c r="S229" s="145">
        <v>1527</v>
      </c>
      <c r="T229" s="148" t="s">
        <v>1023</v>
      </c>
      <c r="U229" s="147">
        <v>1</v>
      </c>
      <c r="V229" s="121">
        <v>5</v>
      </c>
      <c r="W229" s="121">
        <v>425</v>
      </c>
      <c r="X229" s="114" t="s">
        <v>84</v>
      </c>
      <c r="Y229" s="115" t="s">
        <v>85</v>
      </c>
      <c r="Z229" s="115" t="s">
        <v>86</v>
      </c>
      <c r="AA229" s="113" t="s">
        <v>87</v>
      </c>
      <c r="AB229" s="122">
        <v>426.85</v>
      </c>
      <c r="AC229" s="122">
        <f>IF(C229="DENALI", AB229*0.495, IF(C229="SCHNEIDER ELECTRIC", AB229*1.136, IF(C229="WWT", AB229*1.2, AC229)))+AB229</f>
        <v>911.75160000000005</v>
      </c>
      <c r="AD229" s="129">
        <f>AC229-AB229</f>
        <v>484.90160000000003</v>
      </c>
      <c r="AE229" s="122">
        <v>11918.4</v>
      </c>
      <c r="AF229" s="130">
        <f>AB229/U229</f>
        <v>426.85</v>
      </c>
      <c r="AG229" s="130">
        <f>AB229/V229</f>
        <v>85.37</v>
      </c>
      <c r="AH229" s="123">
        <f>AB229/S229</f>
        <v>0.27953503601833662</v>
      </c>
      <c r="AI229" s="124" t="s">
        <v>97</v>
      </c>
      <c r="AJ229" s="125" t="s">
        <v>98</v>
      </c>
      <c r="AK229"/>
      <c r="AM229" s="80"/>
    </row>
    <row r="230" spans="1:39" ht="28.5" customHeight="1">
      <c r="A230" s="113" t="s">
        <v>73</v>
      </c>
      <c r="B230" s="114" t="s">
        <v>74</v>
      </c>
      <c r="C230" s="113" t="s">
        <v>36</v>
      </c>
      <c r="D230" s="113" t="s">
        <v>75</v>
      </c>
      <c r="E230" s="115" t="s">
        <v>1024</v>
      </c>
      <c r="F230" s="113" t="s">
        <v>370</v>
      </c>
      <c r="G230" s="116" t="s">
        <v>1025</v>
      </c>
      <c r="H230" s="79">
        <v>46132</v>
      </c>
      <c r="I230" s="114" t="s">
        <v>79</v>
      </c>
      <c r="J230" s="117" t="s">
        <v>1026</v>
      </c>
      <c r="K230" s="118">
        <v>46126</v>
      </c>
      <c r="L230" s="114" t="s">
        <v>81</v>
      </c>
      <c r="M230" s="119">
        <v>46128</v>
      </c>
      <c r="N230" s="128">
        <v>46134</v>
      </c>
      <c r="O230" s="120">
        <f>NETWORKDAYS.INTL(K230,N230,1,$AM$2:$AM$10)-1</f>
        <v>6</v>
      </c>
      <c r="P230" s="114" t="s">
        <v>81</v>
      </c>
      <c r="Q230" s="114" t="s">
        <v>81</v>
      </c>
      <c r="R230" s="115"/>
      <c r="S230" s="145">
        <v>666</v>
      </c>
      <c r="T230" s="148" t="s">
        <v>1027</v>
      </c>
      <c r="U230" s="147">
        <v>1</v>
      </c>
      <c r="V230" s="121">
        <v>6</v>
      </c>
      <c r="W230" s="121">
        <v>502</v>
      </c>
      <c r="X230" s="114" t="s">
        <v>84</v>
      </c>
      <c r="Y230" s="115" t="s">
        <v>85</v>
      </c>
      <c r="Z230" s="115" t="s">
        <v>86</v>
      </c>
      <c r="AA230" s="113" t="s">
        <v>87</v>
      </c>
      <c r="AB230" s="122">
        <v>540.53</v>
      </c>
      <c r="AC230" s="122">
        <f>IF(C230="DENALI", AB230*0.495, IF(C230="SCHNEIDER ELECTRIC", AB230*1.136, IF(C230="WWT", AB230*1.2, AC230)))+AB230</f>
        <v>1154.5720799999999</v>
      </c>
      <c r="AD230" s="129">
        <f>AC230-AB230</f>
        <v>614.04207999999994</v>
      </c>
      <c r="AE230" s="122">
        <v>3127.92</v>
      </c>
      <c r="AF230" s="130">
        <f>AB230/U230</f>
        <v>540.53</v>
      </c>
      <c r="AG230" s="130">
        <f>AB230/V230</f>
        <v>90.088333333333324</v>
      </c>
      <c r="AH230" s="123">
        <f>AB230/S230</f>
        <v>0.81160660660660655</v>
      </c>
      <c r="AI230" s="124" t="s">
        <v>115</v>
      </c>
      <c r="AJ230" s="125" t="s">
        <v>98</v>
      </c>
      <c r="AK230"/>
      <c r="AM230" s="80"/>
    </row>
    <row r="231" spans="1:39" ht="28.5" customHeight="1">
      <c r="A231" s="113" t="s">
        <v>73</v>
      </c>
      <c r="B231" s="114" t="s">
        <v>74</v>
      </c>
      <c r="C231" s="113" t="s">
        <v>36</v>
      </c>
      <c r="D231" s="113" t="s">
        <v>90</v>
      </c>
      <c r="E231" s="115" t="s">
        <v>1019</v>
      </c>
      <c r="F231" s="113" t="s">
        <v>1020</v>
      </c>
      <c r="G231" s="116" t="s">
        <v>1028</v>
      </c>
      <c r="H231" s="79">
        <v>46132</v>
      </c>
      <c r="I231" s="114" t="s">
        <v>79</v>
      </c>
      <c r="J231" s="117" t="s">
        <v>1029</v>
      </c>
      <c r="K231" s="118">
        <v>46126</v>
      </c>
      <c r="L231" s="114" t="s">
        <v>81</v>
      </c>
      <c r="M231" s="119">
        <v>46132</v>
      </c>
      <c r="N231" s="128">
        <v>46133</v>
      </c>
      <c r="O231" s="120">
        <f>NETWORKDAYS.INTL(K231,N231,1,$AM$2:$AM$10)-1</f>
        <v>5</v>
      </c>
      <c r="P231" s="114" t="s">
        <v>81</v>
      </c>
      <c r="Q231" s="114" t="s">
        <v>79</v>
      </c>
      <c r="R231" s="115"/>
      <c r="S231" s="145">
        <v>1508</v>
      </c>
      <c r="T231" s="148" t="s">
        <v>1030</v>
      </c>
      <c r="U231" s="147">
        <v>1</v>
      </c>
      <c r="V231" s="121">
        <v>4</v>
      </c>
      <c r="W231" s="121">
        <v>639</v>
      </c>
      <c r="X231" s="114" t="s">
        <v>84</v>
      </c>
      <c r="Y231" s="115" t="s">
        <v>85</v>
      </c>
      <c r="Z231" s="115" t="s">
        <v>86</v>
      </c>
      <c r="AA231" s="113" t="s">
        <v>87</v>
      </c>
      <c r="AB231" s="122">
        <v>495.6</v>
      </c>
      <c r="AC231" s="122">
        <f>IF(C231="DENALI", AB231*0.495, IF(C231="SCHNEIDER ELECTRIC", AB231*1.136, IF(C231="WWT", AB231*1.2, AC231)))+AB231</f>
        <v>1058.6016</v>
      </c>
      <c r="AD231" s="129">
        <f>AC231-AB231</f>
        <v>563.00159999999994</v>
      </c>
      <c r="AE231" s="122">
        <v>17418.240000000002</v>
      </c>
      <c r="AF231" s="130">
        <f>AB231/U231</f>
        <v>495.6</v>
      </c>
      <c r="AG231" s="130">
        <f>AB231/V231</f>
        <v>123.9</v>
      </c>
      <c r="AH231" s="123">
        <f>AB231/S231</f>
        <v>0.32864721485411141</v>
      </c>
      <c r="AI231" s="124" t="s">
        <v>97</v>
      </c>
      <c r="AJ231" s="125" t="s">
        <v>98</v>
      </c>
      <c r="AK231"/>
      <c r="AM231" s="80"/>
    </row>
    <row r="232" spans="1:39" ht="28.5" customHeight="1">
      <c r="A232" s="113" t="s">
        <v>73</v>
      </c>
      <c r="B232" s="114" t="s">
        <v>140</v>
      </c>
      <c r="C232" s="113" t="s">
        <v>36</v>
      </c>
      <c r="D232" s="113" t="s">
        <v>75</v>
      </c>
      <c r="E232" s="115" t="s">
        <v>141</v>
      </c>
      <c r="F232" s="113" t="s">
        <v>142</v>
      </c>
      <c r="G232" s="116">
        <v>22774504</v>
      </c>
      <c r="H232" s="79">
        <v>46132</v>
      </c>
      <c r="I232" s="114" t="s">
        <v>79</v>
      </c>
      <c r="J232" s="117" t="s">
        <v>1031</v>
      </c>
      <c r="K232" s="118">
        <v>46127</v>
      </c>
      <c r="L232" s="114" t="s">
        <v>81</v>
      </c>
      <c r="M232" s="119">
        <v>46128</v>
      </c>
      <c r="N232" s="128">
        <v>46129</v>
      </c>
      <c r="O232" s="120">
        <f>NETWORKDAYS.INTL(K232,N232,1,$AM$2:$AM$10)-1</f>
        <v>2</v>
      </c>
      <c r="P232" s="114" t="s">
        <v>81</v>
      </c>
      <c r="Q232" s="114" t="s">
        <v>79</v>
      </c>
      <c r="R232" s="115"/>
      <c r="S232" s="145">
        <v>722</v>
      </c>
      <c r="T232" s="148" t="s">
        <v>1032</v>
      </c>
      <c r="U232" s="147">
        <v>9</v>
      </c>
      <c r="V232" s="121">
        <v>62</v>
      </c>
      <c r="W232" s="121">
        <v>28345</v>
      </c>
      <c r="X232" s="114" t="s">
        <v>113</v>
      </c>
      <c r="Y232" s="115" t="s">
        <v>85</v>
      </c>
      <c r="Z232" s="115" t="s">
        <v>1033</v>
      </c>
      <c r="AA232" s="113" t="s">
        <v>87</v>
      </c>
      <c r="AB232" s="122">
        <v>2683.34</v>
      </c>
      <c r="AC232" s="122">
        <f>IF(C232="DENALI", AB232*0.495, IF(C232="SCHNEIDER ELECTRIC", AB232*1.136, IF(C232="WWT", AB232*1.2, AC232)))+AB232</f>
        <v>5731.6142399999999</v>
      </c>
      <c r="AD232" s="129">
        <f>AC232-AB232</f>
        <v>3048.2742399999997</v>
      </c>
      <c r="AE232" s="122">
        <v>202435.04</v>
      </c>
      <c r="AF232" s="130">
        <f>AB232/U232</f>
        <v>298.14888888888891</v>
      </c>
      <c r="AG232" s="130">
        <f>AB232/V232</f>
        <v>43.27967741935484</v>
      </c>
      <c r="AH232" s="123">
        <f>AB232/S232</f>
        <v>3.7165373961218839</v>
      </c>
      <c r="AI232" s="124" t="s">
        <v>183</v>
      </c>
      <c r="AJ232" s="125" t="s">
        <v>379</v>
      </c>
      <c r="AK232"/>
      <c r="AM232" s="80"/>
    </row>
    <row r="233" spans="1:39" ht="28.5" customHeight="1">
      <c r="A233" s="113" t="s">
        <v>73</v>
      </c>
      <c r="B233" s="114" t="s">
        <v>74</v>
      </c>
      <c r="C233" s="113" t="s">
        <v>36</v>
      </c>
      <c r="D233" s="113" t="s">
        <v>90</v>
      </c>
      <c r="E233" s="115" t="s">
        <v>438</v>
      </c>
      <c r="F233" s="113" t="s">
        <v>92</v>
      </c>
      <c r="G233" s="116" t="s">
        <v>1034</v>
      </c>
      <c r="H233" s="79">
        <v>46133</v>
      </c>
      <c r="I233" s="114" t="s">
        <v>79</v>
      </c>
      <c r="J233" s="117" t="s">
        <v>1035</v>
      </c>
      <c r="K233" s="118">
        <v>46127</v>
      </c>
      <c r="L233" s="114" t="s">
        <v>81</v>
      </c>
      <c r="M233" s="119">
        <v>46128</v>
      </c>
      <c r="N233" s="128">
        <v>46128</v>
      </c>
      <c r="O233" s="120">
        <f>NETWORKDAYS.INTL(K233,N233,1,$AM$2:$AM$10)-1</f>
        <v>1</v>
      </c>
      <c r="P233" s="114" t="s">
        <v>81</v>
      </c>
      <c r="Q233" s="114" t="s">
        <v>79</v>
      </c>
      <c r="R233" s="115"/>
      <c r="S233" s="145">
        <v>1517</v>
      </c>
      <c r="T233" s="148" t="s">
        <v>1036</v>
      </c>
      <c r="U233" s="147">
        <v>1</v>
      </c>
      <c r="V233" s="121">
        <v>3</v>
      </c>
      <c r="W233" s="121">
        <v>311</v>
      </c>
      <c r="X233" s="114" t="s">
        <v>84</v>
      </c>
      <c r="Y233" s="115" t="s">
        <v>85</v>
      </c>
      <c r="Z233" s="115" t="s">
        <v>962</v>
      </c>
      <c r="AA233" s="113" t="s">
        <v>87</v>
      </c>
      <c r="AB233" s="122">
        <v>379.56</v>
      </c>
      <c r="AC233" s="122">
        <f>IF(C233="DENALI", AB233*0.495, IF(C233="SCHNEIDER ELECTRIC", AB233*1.136, IF(C233="WWT", AB233*1.2, AC233)))+AB233</f>
        <v>810.74015999999995</v>
      </c>
      <c r="AD233" s="129">
        <f>AC233-AB233</f>
        <v>431.18015999999994</v>
      </c>
      <c r="AE233" s="122">
        <v>202436.04</v>
      </c>
      <c r="AF233" s="130">
        <f>AB233/U233</f>
        <v>379.56</v>
      </c>
      <c r="AG233" s="130">
        <f>AB233/V233</f>
        <v>126.52</v>
      </c>
      <c r="AH233" s="123">
        <f>AB233/S233</f>
        <v>0.25020435069215557</v>
      </c>
      <c r="AI233" s="124" t="s">
        <v>97</v>
      </c>
      <c r="AJ233" s="125" t="s">
        <v>349</v>
      </c>
      <c r="AK233"/>
      <c r="AM233" s="80"/>
    </row>
    <row r="234" spans="1:39" ht="28.5" customHeight="1">
      <c r="A234" s="113" t="s">
        <v>73</v>
      </c>
      <c r="B234" s="114" t="s">
        <v>140</v>
      </c>
      <c r="C234" s="113" t="s">
        <v>35</v>
      </c>
      <c r="D234" s="113" t="s">
        <v>99</v>
      </c>
      <c r="E234" s="115" t="s">
        <v>141</v>
      </c>
      <c r="F234" s="113" t="s">
        <v>142</v>
      </c>
      <c r="G234" s="116" t="s">
        <v>1037</v>
      </c>
      <c r="H234" s="79">
        <v>46135</v>
      </c>
      <c r="I234" s="114" t="s">
        <v>79</v>
      </c>
      <c r="J234" s="117" t="s">
        <v>1038</v>
      </c>
      <c r="K234" s="118">
        <v>46128</v>
      </c>
      <c r="L234" s="114" t="s">
        <v>81</v>
      </c>
      <c r="M234" s="119">
        <v>46135</v>
      </c>
      <c r="N234" s="128">
        <v>46135</v>
      </c>
      <c r="O234" s="120">
        <f>NETWORKDAYS.INTL(K234,N234,1,$AM$2:$AM$10)-1</f>
        <v>5</v>
      </c>
      <c r="P234" s="114" t="s">
        <v>81</v>
      </c>
      <c r="Q234" s="114" t="s">
        <v>79</v>
      </c>
      <c r="R234" s="115"/>
      <c r="S234" s="145">
        <v>2435</v>
      </c>
      <c r="T234" s="148" t="s">
        <v>907</v>
      </c>
      <c r="U234" s="147">
        <v>1</v>
      </c>
      <c r="V234" s="121">
        <v>34</v>
      </c>
      <c r="W234" s="121">
        <v>350</v>
      </c>
      <c r="X234" s="114" t="s">
        <v>84</v>
      </c>
      <c r="Y234" s="115" t="s">
        <v>85</v>
      </c>
      <c r="Z234" s="115" t="s">
        <v>86</v>
      </c>
      <c r="AA234" s="113" t="s">
        <v>87</v>
      </c>
      <c r="AB234" s="122">
        <v>326.98</v>
      </c>
      <c r="AC234" s="122">
        <f>IF(C234="DENALI", AB234*0.495, IF(C234="SCHNEIDER ELECTRIC", AB234*1.136, IF(C234="WWT", AB234*1.2, AC234)))+AB234</f>
        <v>488.83510000000001</v>
      </c>
      <c r="AD234" s="129">
        <f>AC234-AB234</f>
        <v>161.85509999999999</v>
      </c>
      <c r="AE234" s="122">
        <v>34243.199999999997</v>
      </c>
      <c r="AF234" s="130">
        <f>AB234/U234</f>
        <v>326.98</v>
      </c>
      <c r="AG234" s="130">
        <f>AB234/V234</f>
        <v>9.6170588235294119</v>
      </c>
      <c r="AH234" s="123">
        <f>AB234/S234</f>
        <v>0.13428336755646819</v>
      </c>
      <c r="AI234" s="124" t="s">
        <v>97</v>
      </c>
      <c r="AJ234" s="125" t="s">
        <v>349</v>
      </c>
      <c r="AK234"/>
      <c r="AM234" s="80"/>
    </row>
    <row r="235" spans="1:39" ht="28.5" customHeight="1">
      <c r="A235" s="113" t="s">
        <v>73</v>
      </c>
      <c r="B235" s="114" t="s">
        <v>74</v>
      </c>
      <c r="C235" s="113" t="s">
        <v>35</v>
      </c>
      <c r="D235" s="113" t="s">
        <v>99</v>
      </c>
      <c r="E235" s="115" t="s">
        <v>1039</v>
      </c>
      <c r="F235" s="113" t="s">
        <v>90</v>
      </c>
      <c r="G235" s="116">
        <v>22793724</v>
      </c>
      <c r="H235" s="79">
        <v>46134</v>
      </c>
      <c r="I235" s="114" t="s">
        <v>79</v>
      </c>
      <c r="J235" s="117" t="s">
        <v>1040</v>
      </c>
      <c r="K235" s="118">
        <v>46129</v>
      </c>
      <c r="L235" s="114" t="s">
        <v>81</v>
      </c>
      <c r="M235" s="119">
        <v>46132</v>
      </c>
      <c r="N235" s="128">
        <v>46133</v>
      </c>
      <c r="O235" s="120">
        <f>NETWORKDAYS.INTL(K235,N235,1,$AM$2:$AM$10)-1</f>
        <v>2</v>
      </c>
      <c r="P235" s="114" t="s">
        <v>81</v>
      </c>
      <c r="Q235" s="114" t="s">
        <v>79</v>
      </c>
      <c r="R235" s="115" t="s">
        <v>1041</v>
      </c>
      <c r="S235" s="145">
        <v>1290</v>
      </c>
      <c r="T235" s="148" t="s">
        <v>1042</v>
      </c>
      <c r="U235" s="147">
        <v>29</v>
      </c>
      <c r="V235" s="121">
        <v>888</v>
      </c>
      <c r="W235" s="121">
        <v>19670</v>
      </c>
      <c r="X235" s="114" t="s">
        <v>113</v>
      </c>
      <c r="Y235" s="115" t="s">
        <v>85</v>
      </c>
      <c r="Z235" s="115" t="s">
        <v>1043</v>
      </c>
      <c r="AA235" s="113" t="s">
        <v>87</v>
      </c>
      <c r="AB235" s="122">
        <v>2388.7600000000002</v>
      </c>
      <c r="AC235" s="122">
        <f>IF(C235="DENALI", AB235*0.495, IF(C235="SCHNEIDER ELECTRIC", AB235*1.136, IF(C235="WWT", AB235*1.2, AC235)))+AB235</f>
        <v>3571.1962000000003</v>
      </c>
      <c r="AD235" s="129">
        <f>AC235-AB235</f>
        <v>1182.4362000000001</v>
      </c>
      <c r="AE235" s="122">
        <v>483796.8</v>
      </c>
      <c r="AF235" s="130">
        <f>AB235/U235</f>
        <v>82.371034482758631</v>
      </c>
      <c r="AG235" s="130">
        <f>AB235/V235</f>
        <v>2.6900450450450455</v>
      </c>
      <c r="AH235" s="123">
        <f>AB235/S235</f>
        <v>1.8517519379844962</v>
      </c>
      <c r="AI235" s="124" t="s">
        <v>1044</v>
      </c>
      <c r="AJ235" s="125" t="s">
        <v>349</v>
      </c>
      <c r="AK235"/>
      <c r="AM235" s="80"/>
    </row>
    <row r="236" spans="1:39" ht="45.75">
      <c r="A236" s="113" t="s">
        <v>73</v>
      </c>
      <c r="B236" s="114" t="s">
        <v>140</v>
      </c>
      <c r="C236" s="113" t="s">
        <v>36</v>
      </c>
      <c r="D236" s="113" t="s">
        <v>75</v>
      </c>
      <c r="E236" s="115" t="s">
        <v>141</v>
      </c>
      <c r="F236" s="113" t="s">
        <v>142</v>
      </c>
      <c r="G236" s="116" t="s">
        <v>1045</v>
      </c>
      <c r="H236" s="79">
        <v>46134</v>
      </c>
      <c r="I236" s="114" t="s">
        <v>79</v>
      </c>
      <c r="J236" s="117" t="s">
        <v>1046</v>
      </c>
      <c r="K236" s="118">
        <v>46128</v>
      </c>
      <c r="L236" s="114" t="s">
        <v>81</v>
      </c>
      <c r="M236" s="119">
        <v>46132</v>
      </c>
      <c r="N236" s="128">
        <v>46135</v>
      </c>
      <c r="O236" s="120">
        <f>NETWORKDAYS.INTL(K236,N236,1,$AM$2:$AM$10)-1</f>
        <v>5</v>
      </c>
      <c r="P236" s="114" t="s">
        <v>81</v>
      </c>
      <c r="Q236" s="114" t="s">
        <v>79</v>
      </c>
      <c r="R236" s="115"/>
      <c r="S236" s="145">
        <v>692</v>
      </c>
      <c r="T236" s="148" t="s">
        <v>1047</v>
      </c>
      <c r="U236" s="147">
        <v>1</v>
      </c>
      <c r="V236" s="121">
        <v>8</v>
      </c>
      <c r="W236" s="121">
        <v>1016</v>
      </c>
      <c r="X236" s="114" t="s">
        <v>84</v>
      </c>
      <c r="Y236" s="115" t="s">
        <v>85</v>
      </c>
      <c r="Z236" s="115" t="s">
        <v>86</v>
      </c>
      <c r="AA236" s="113" t="s">
        <v>87</v>
      </c>
      <c r="AB236" s="122">
        <v>330.99</v>
      </c>
      <c r="AC236" s="122">
        <f>IF(C236="DENALI", AB236*0.495, IF(C236="SCHNEIDER ELECTRIC", AB236*1.136, IF(C236="WWT", AB236*1.2, AC236)))+AB236</f>
        <v>706.99464</v>
      </c>
      <c r="AD236" s="129">
        <f>AC236-AB236</f>
        <v>376.00463999999999</v>
      </c>
      <c r="AE236" s="122">
        <v>31315.919999999998</v>
      </c>
      <c r="AF236" s="130">
        <f>AB236/U236</f>
        <v>330.99</v>
      </c>
      <c r="AG236" s="130">
        <f>AB236/V236</f>
        <v>41.373750000000001</v>
      </c>
      <c r="AH236" s="123">
        <f>AB236/S236</f>
        <v>0.4783092485549133</v>
      </c>
      <c r="AI236" s="124" t="s">
        <v>183</v>
      </c>
      <c r="AJ236" s="125" t="s">
        <v>98</v>
      </c>
      <c r="AK236"/>
      <c r="AM236" s="80"/>
    </row>
    <row r="237" spans="1:39" ht="28.5" customHeight="1">
      <c r="A237" s="113" t="s">
        <v>73</v>
      </c>
      <c r="B237" s="114" t="s">
        <v>140</v>
      </c>
      <c r="C237" s="113" t="s">
        <v>36</v>
      </c>
      <c r="D237" s="113" t="s">
        <v>75</v>
      </c>
      <c r="E237" s="115" t="s">
        <v>141</v>
      </c>
      <c r="F237" s="113" t="s">
        <v>142</v>
      </c>
      <c r="G237" s="116" t="s">
        <v>1048</v>
      </c>
      <c r="H237" s="79">
        <v>46134</v>
      </c>
      <c r="I237" s="114" t="s">
        <v>79</v>
      </c>
      <c r="J237" s="117" t="s">
        <v>1049</v>
      </c>
      <c r="K237" s="118">
        <v>46128</v>
      </c>
      <c r="L237" s="114" t="s">
        <v>81</v>
      </c>
      <c r="M237" s="119">
        <v>46132</v>
      </c>
      <c r="N237" s="128">
        <v>46135</v>
      </c>
      <c r="O237" s="120">
        <f>NETWORKDAYS.INTL(K237,N237,1,$AM$2:$AM$10)-1</f>
        <v>5</v>
      </c>
      <c r="P237" s="114" t="s">
        <v>81</v>
      </c>
      <c r="Q237" s="114" t="s">
        <v>79</v>
      </c>
      <c r="R237" s="115"/>
      <c r="S237" s="145">
        <v>692</v>
      </c>
      <c r="T237" s="148" t="s">
        <v>1050</v>
      </c>
      <c r="U237" s="147">
        <v>1</v>
      </c>
      <c r="V237" s="121">
        <v>7</v>
      </c>
      <c r="W237" s="121">
        <v>841</v>
      </c>
      <c r="X237" s="114" t="s">
        <v>84</v>
      </c>
      <c r="Y237" s="115" t="s">
        <v>85</v>
      </c>
      <c r="Z237" s="115" t="s">
        <v>86</v>
      </c>
      <c r="AA237" s="113" t="s">
        <v>87</v>
      </c>
      <c r="AB237" s="122">
        <v>262.24</v>
      </c>
      <c r="AC237" s="122">
        <f>IF(C237="DENALI", AB237*0.495, IF(C237="SCHNEIDER ELECTRIC", AB237*1.136, IF(C237="WWT", AB237*1.2, AC237)))+AB237</f>
        <v>560.14463999999998</v>
      </c>
      <c r="AD237" s="129">
        <f>AC237-AB237</f>
        <v>297.90463999999997</v>
      </c>
      <c r="AE237" s="122">
        <v>25231.84</v>
      </c>
      <c r="AF237" s="130">
        <f>AB237/U237</f>
        <v>262.24</v>
      </c>
      <c r="AG237" s="130">
        <f>AB237/V237</f>
        <v>37.462857142857146</v>
      </c>
      <c r="AH237" s="123">
        <f>AB237/S237</f>
        <v>0.37895953757225437</v>
      </c>
      <c r="AI237" s="124" t="s">
        <v>183</v>
      </c>
      <c r="AJ237" s="125" t="s">
        <v>98</v>
      </c>
      <c r="AK237"/>
      <c r="AM237" s="80"/>
    </row>
    <row r="238" spans="1:39" ht="28.5" customHeight="1">
      <c r="A238" s="113" t="s">
        <v>73</v>
      </c>
      <c r="B238" s="114" t="s">
        <v>140</v>
      </c>
      <c r="C238" s="113" t="s">
        <v>36</v>
      </c>
      <c r="D238" s="113" t="s">
        <v>75</v>
      </c>
      <c r="E238" s="115" t="s">
        <v>141</v>
      </c>
      <c r="F238" s="113" t="s">
        <v>142</v>
      </c>
      <c r="G238" s="116" t="s">
        <v>1051</v>
      </c>
      <c r="H238" s="79">
        <v>46134</v>
      </c>
      <c r="I238" s="114" t="s">
        <v>79</v>
      </c>
      <c r="J238" s="117" t="s">
        <v>1052</v>
      </c>
      <c r="K238" s="118">
        <v>46128</v>
      </c>
      <c r="L238" s="114" t="s">
        <v>81</v>
      </c>
      <c r="M238" s="119">
        <v>46132</v>
      </c>
      <c r="N238" s="128">
        <v>46135</v>
      </c>
      <c r="O238" s="120">
        <f>NETWORKDAYS.INTL(K238,N238,1,$AM$2:$AM$10)-1</f>
        <v>5</v>
      </c>
      <c r="P238" s="114" t="s">
        <v>81</v>
      </c>
      <c r="Q238" s="114" t="s">
        <v>79</v>
      </c>
      <c r="R238" s="115"/>
      <c r="S238" s="145">
        <v>692</v>
      </c>
      <c r="T238" s="148" t="s">
        <v>1053</v>
      </c>
      <c r="U238" s="147">
        <v>2</v>
      </c>
      <c r="V238" s="121">
        <v>7</v>
      </c>
      <c r="W238" s="121">
        <v>881</v>
      </c>
      <c r="X238" s="114" t="s">
        <v>84</v>
      </c>
      <c r="Y238" s="115" t="s">
        <v>85</v>
      </c>
      <c r="Z238" s="115" t="s">
        <v>86</v>
      </c>
      <c r="AA238" s="113" t="s">
        <v>87</v>
      </c>
      <c r="AB238" s="122">
        <v>264.77999999999997</v>
      </c>
      <c r="AC238" s="122">
        <f>IF(C238="DENALI", AB238*0.495, IF(C238="SCHNEIDER ELECTRIC", AB238*1.136, IF(C238="WWT", AB238*1.2, AC238)))+AB238</f>
        <v>565.57007999999996</v>
      </c>
      <c r="AD238" s="129">
        <f>AC238-AB238</f>
        <v>300.79007999999999</v>
      </c>
      <c r="AE238" s="122">
        <v>25231.84</v>
      </c>
      <c r="AF238" s="130">
        <f>AB238/U238</f>
        <v>132.38999999999999</v>
      </c>
      <c r="AG238" s="130">
        <f>AB238/V238</f>
        <v>37.825714285714284</v>
      </c>
      <c r="AH238" s="123">
        <f>AB238/S238</f>
        <v>0.38263005780346815</v>
      </c>
      <c r="AI238" s="124" t="s">
        <v>183</v>
      </c>
      <c r="AJ238" s="125" t="s">
        <v>98</v>
      </c>
      <c r="AK238"/>
      <c r="AM238" s="80"/>
    </row>
    <row r="239" spans="1:39" ht="28.5" customHeight="1">
      <c r="A239" s="113" t="s">
        <v>73</v>
      </c>
      <c r="B239" s="114" t="s">
        <v>140</v>
      </c>
      <c r="C239" s="113" t="s">
        <v>36</v>
      </c>
      <c r="D239" s="113" t="s">
        <v>75</v>
      </c>
      <c r="E239" s="115" t="s">
        <v>141</v>
      </c>
      <c r="F239" s="113" t="s">
        <v>142</v>
      </c>
      <c r="G239" s="116" t="s">
        <v>1054</v>
      </c>
      <c r="H239" s="79">
        <v>46134</v>
      </c>
      <c r="I239" s="114" t="s">
        <v>79</v>
      </c>
      <c r="J239" s="117" t="s">
        <v>1055</v>
      </c>
      <c r="K239" s="118">
        <v>46128</v>
      </c>
      <c r="L239" s="114" t="s">
        <v>81</v>
      </c>
      <c r="M239" s="119">
        <v>46134</v>
      </c>
      <c r="N239" s="128">
        <v>46135</v>
      </c>
      <c r="O239" s="120">
        <f>NETWORKDAYS.INTL(K239,N239,1,$AM$2:$AM$10)-1</f>
        <v>5</v>
      </c>
      <c r="P239" s="114" t="s">
        <v>81</v>
      </c>
      <c r="Q239" s="114" t="s">
        <v>79</v>
      </c>
      <c r="R239" s="115"/>
      <c r="S239" s="145">
        <v>692</v>
      </c>
      <c r="T239" s="148" t="s">
        <v>1056</v>
      </c>
      <c r="U239" s="147">
        <v>1</v>
      </c>
      <c r="V239" s="121">
        <v>5</v>
      </c>
      <c r="W239" s="121">
        <v>425</v>
      </c>
      <c r="X239" s="114" t="s">
        <v>84</v>
      </c>
      <c r="Y239" s="115" t="s">
        <v>85</v>
      </c>
      <c r="Z239" s="115" t="s">
        <v>621</v>
      </c>
      <c r="AA239" s="113" t="s">
        <v>87</v>
      </c>
      <c r="AB239" s="122">
        <v>753.21</v>
      </c>
      <c r="AC239" s="122">
        <f>IF(C239="DENALI", AB239*0.495, IF(C239="SCHNEIDER ELECTRIC", AB239*1.136, IF(C239="WWT", AB239*1.2, AC239)))+AB239</f>
        <v>1608.8565599999999</v>
      </c>
      <c r="AD239" s="129">
        <f>AC239-AB239</f>
        <v>855.64655999999991</v>
      </c>
      <c r="AE239" s="122">
        <v>5660.6</v>
      </c>
      <c r="AF239" s="130">
        <f>AB239/U239</f>
        <v>753.21</v>
      </c>
      <c r="AG239" s="130">
        <f>AB239/V239</f>
        <v>150.642</v>
      </c>
      <c r="AH239" s="123">
        <f>AB239/S239</f>
        <v>1.0884537572254336</v>
      </c>
      <c r="AI239" s="124" t="s">
        <v>115</v>
      </c>
      <c r="AJ239" s="125" t="s">
        <v>98</v>
      </c>
      <c r="AK239"/>
      <c r="AM239" s="80"/>
    </row>
    <row r="240" spans="1:39" ht="28.5" customHeight="1">
      <c r="A240" s="113" t="s">
        <v>73</v>
      </c>
      <c r="B240" s="114" t="s">
        <v>140</v>
      </c>
      <c r="C240" s="113" t="s">
        <v>36</v>
      </c>
      <c r="D240" s="113" t="s">
        <v>75</v>
      </c>
      <c r="E240" s="115" t="s">
        <v>141</v>
      </c>
      <c r="F240" s="113" t="s">
        <v>142</v>
      </c>
      <c r="G240" s="116" t="s">
        <v>1057</v>
      </c>
      <c r="H240" s="79">
        <v>46134</v>
      </c>
      <c r="I240" s="114" t="s">
        <v>79</v>
      </c>
      <c r="J240" s="117" t="s">
        <v>1058</v>
      </c>
      <c r="K240" s="118">
        <v>46128</v>
      </c>
      <c r="L240" s="114" t="s">
        <v>81</v>
      </c>
      <c r="M240" s="119">
        <v>46132</v>
      </c>
      <c r="N240" s="128">
        <v>46135</v>
      </c>
      <c r="O240" s="120">
        <f>NETWORKDAYS.INTL(K240,N240,1,$AM$2:$AM$10)-1</f>
        <v>5</v>
      </c>
      <c r="P240" s="114" t="s">
        <v>81</v>
      </c>
      <c r="Q240" s="114" t="s">
        <v>79</v>
      </c>
      <c r="R240" s="115"/>
      <c r="S240" s="145">
        <v>692</v>
      </c>
      <c r="T240" s="148" t="s">
        <v>1059</v>
      </c>
      <c r="U240" s="147">
        <v>1</v>
      </c>
      <c r="V240" s="121">
        <v>4</v>
      </c>
      <c r="W240" s="121">
        <v>516</v>
      </c>
      <c r="X240" s="114" t="s">
        <v>84</v>
      </c>
      <c r="Y240" s="115" t="s">
        <v>85</v>
      </c>
      <c r="Z240" s="115" t="s">
        <v>86</v>
      </c>
      <c r="AA240" s="113" t="s">
        <v>87</v>
      </c>
      <c r="AB240" s="122">
        <v>277.24</v>
      </c>
      <c r="AC240" s="122">
        <f>IF(C240="DENALI", AB240*0.495, IF(C240="SCHNEIDER ELECTRIC", AB240*1.136, IF(C240="WWT", AB240*1.2, AC240)))+AB240</f>
        <v>592.18463999999994</v>
      </c>
      <c r="AD240" s="129">
        <f>AC240-AB240</f>
        <v>314.94463999999994</v>
      </c>
      <c r="AE240" s="122">
        <v>14029.54</v>
      </c>
      <c r="AF240" s="130">
        <f>AB240/U240</f>
        <v>277.24</v>
      </c>
      <c r="AG240" s="130">
        <f>AB240/V240</f>
        <v>69.31</v>
      </c>
      <c r="AH240" s="123">
        <f>AB240/S240</f>
        <v>0.40063583815028903</v>
      </c>
      <c r="AI240" s="124" t="s">
        <v>183</v>
      </c>
      <c r="AJ240" s="125" t="s">
        <v>98</v>
      </c>
      <c r="AK240"/>
      <c r="AM240" s="80"/>
    </row>
    <row r="241" spans="1:39" ht="28.5" customHeight="1">
      <c r="A241" s="113" t="s">
        <v>73</v>
      </c>
      <c r="B241" s="114" t="s">
        <v>140</v>
      </c>
      <c r="C241" s="113" t="s">
        <v>36</v>
      </c>
      <c r="D241" s="113" t="s">
        <v>75</v>
      </c>
      <c r="E241" s="115" t="s">
        <v>141</v>
      </c>
      <c r="F241" s="113" t="s">
        <v>142</v>
      </c>
      <c r="G241" s="116" t="s">
        <v>1060</v>
      </c>
      <c r="H241" s="79">
        <v>46134</v>
      </c>
      <c r="I241" s="114" t="s">
        <v>79</v>
      </c>
      <c r="J241" s="117" t="s">
        <v>1061</v>
      </c>
      <c r="K241" s="118">
        <v>46128</v>
      </c>
      <c r="L241" s="114" t="s">
        <v>81</v>
      </c>
      <c r="M241" s="119">
        <v>46132</v>
      </c>
      <c r="N241" s="128">
        <v>46135</v>
      </c>
      <c r="O241" s="120">
        <f>NETWORKDAYS.INTL(K241,N241,1,$AM$2:$AM$10)-1</f>
        <v>5</v>
      </c>
      <c r="P241" s="114" t="s">
        <v>81</v>
      </c>
      <c r="Q241" s="114" t="s">
        <v>79</v>
      </c>
      <c r="R241" s="115"/>
      <c r="S241" s="145">
        <v>692</v>
      </c>
      <c r="T241" s="148" t="s">
        <v>1062</v>
      </c>
      <c r="U241" s="147">
        <v>1</v>
      </c>
      <c r="V241" s="121">
        <v>4</v>
      </c>
      <c r="W241" s="121">
        <v>516</v>
      </c>
      <c r="X241" s="114" t="s">
        <v>84</v>
      </c>
      <c r="Y241" s="115" t="s">
        <v>85</v>
      </c>
      <c r="Z241" s="115" t="s">
        <v>86</v>
      </c>
      <c r="AA241" s="113" t="s">
        <v>87</v>
      </c>
      <c r="AB241" s="122">
        <v>262.24</v>
      </c>
      <c r="AC241" s="122">
        <f>IF(C241="DENALI", AB241*0.495, IF(C241="SCHNEIDER ELECTRIC", AB241*1.136, IF(C241="WWT", AB241*1.2, AC241)))+AB241</f>
        <v>560.14463999999998</v>
      </c>
      <c r="AD241" s="129">
        <f>AC241-AB241</f>
        <v>297.90463999999997</v>
      </c>
      <c r="AE241" s="122">
        <v>14029.54</v>
      </c>
      <c r="AF241" s="130">
        <f>AB241/U241</f>
        <v>262.24</v>
      </c>
      <c r="AG241" s="130">
        <f>AB241/V241</f>
        <v>65.56</v>
      </c>
      <c r="AH241" s="123">
        <f>AB241/S241</f>
        <v>0.37895953757225437</v>
      </c>
      <c r="AI241" s="124" t="s">
        <v>183</v>
      </c>
      <c r="AJ241" s="125" t="s">
        <v>98</v>
      </c>
      <c r="AK241"/>
      <c r="AM241" s="80"/>
    </row>
    <row r="242" spans="1:39" ht="28.5" customHeight="1">
      <c r="A242" s="113" t="s">
        <v>73</v>
      </c>
      <c r="B242" s="114" t="s">
        <v>140</v>
      </c>
      <c r="C242" s="113" t="s">
        <v>36</v>
      </c>
      <c r="D242" s="113" t="s">
        <v>75</v>
      </c>
      <c r="E242" s="115" t="s">
        <v>141</v>
      </c>
      <c r="F242" s="113" t="s">
        <v>142</v>
      </c>
      <c r="G242" s="116" t="s">
        <v>1063</v>
      </c>
      <c r="H242" s="79">
        <v>46134</v>
      </c>
      <c r="I242" s="114" t="s">
        <v>79</v>
      </c>
      <c r="J242" s="117" t="s">
        <v>1064</v>
      </c>
      <c r="K242" s="118">
        <v>46128</v>
      </c>
      <c r="L242" s="114" t="s">
        <v>81</v>
      </c>
      <c r="M242" s="119">
        <v>46132</v>
      </c>
      <c r="N242" s="128">
        <v>46135</v>
      </c>
      <c r="O242" s="120">
        <f>NETWORKDAYS.INTL(K242,N242,1,$AM$2:$AM$10)-1</f>
        <v>5</v>
      </c>
      <c r="P242" s="114" t="s">
        <v>81</v>
      </c>
      <c r="Q242" s="114" t="s">
        <v>79</v>
      </c>
      <c r="R242" s="115"/>
      <c r="S242" s="145">
        <v>692</v>
      </c>
      <c r="T242" s="148" t="s">
        <v>1065</v>
      </c>
      <c r="U242" s="147">
        <v>1</v>
      </c>
      <c r="V242" s="121">
        <v>4</v>
      </c>
      <c r="W242" s="121">
        <v>516</v>
      </c>
      <c r="X242" s="114" t="s">
        <v>84</v>
      </c>
      <c r="Y242" s="115" t="s">
        <v>85</v>
      </c>
      <c r="Z242" s="115" t="s">
        <v>86</v>
      </c>
      <c r="AA242" s="113" t="s">
        <v>87</v>
      </c>
      <c r="AB242" s="122">
        <v>262.24</v>
      </c>
      <c r="AC242" s="122">
        <f>IF(C242="DENALI", AB242*0.495, IF(C242="SCHNEIDER ELECTRIC", AB242*1.136, IF(C242="WWT", AB242*1.2, AC242)))+AB242</f>
        <v>560.14463999999998</v>
      </c>
      <c r="AD242" s="129">
        <f>AC242-AB242</f>
        <v>297.90463999999997</v>
      </c>
      <c r="AE242" s="122">
        <v>14029.54</v>
      </c>
      <c r="AF242" s="130">
        <f>AB242/U242</f>
        <v>262.24</v>
      </c>
      <c r="AG242" s="130">
        <f>AB242/V242</f>
        <v>65.56</v>
      </c>
      <c r="AH242" s="123">
        <f>AB242/S242</f>
        <v>0.37895953757225437</v>
      </c>
      <c r="AI242" s="124" t="s">
        <v>183</v>
      </c>
      <c r="AJ242" s="125" t="s">
        <v>98</v>
      </c>
      <c r="AK242"/>
      <c r="AM242" s="80"/>
    </row>
    <row r="243" spans="1:39" ht="28.5" customHeight="1">
      <c r="A243" s="113" t="s">
        <v>73</v>
      </c>
      <c r="B243" s="114" t="s">
        <v>74</v>
      </c>
      <c r="C243" s="113" t="s">
        <v>35</v>
      </c>
      <c r="D243" s="113" t="s">
        <v>99</v>
      </c>
      <c r="E243" s="115" t="s">
        <v>1066</v>
      </c>
      <c r="F243" s="113" t="s">
        <v>370</v>
      </c>
      <c r="G243" s="116">
        <v>22809126</v>
      </c>
      <c r="H243" s="79">
        <v>46134</v>
      </c>
      <c r="I243" s="114" t="s">
        <v>79</v>
      </c>
      <c r="J243" s="117" t="s">
        <v>1067</v>
      </c>
      <c r="K243" s="118">
        <v>46129</v>
      </c>
      <c r="L243" s="114" t="s">
        <v>81</v>
      </c>
      <c r="M243" s="119">
        <v>46132</v>
      </c>
      <c r="N243" s="128">
        <v>46132</v>
      </c>
      <c r="O243" s="120">
        <f>NETWORKDAYS.INTL(K243,N243,1,$AM$2:$AM$10)-1</f>
        <v>1</v>
      </c>
      <c r="P243" s="114" t="s">
        <v>81</v>
      </c>
      <c r="Q243" s="114" t="s">
        <v>79</v>
      </c>
      <c r="R243" s="115"/>
      <c r="S243" s="145">
        <v>2708</v>
      </c>
      <c r="T243" s="148" t="s">
        <v>1068</v>
      </c>
      <c r="U243" s="147">
        <v>24</v>
      </c>
      <c r="V243" s="121">
        <v>24</v>
      </c>
      <c r="W243" s="121">
        <v>17280</v>
      </c>
      <c r="X243" s="114" t="s">
        <v>113</v>
      </c>
      <c r="Y243" s="115" t="s">
        <v>85</v>
      </c>
      <c r="Z243" s="115" t="s">
        <v>1069</v>
      </c>
      <c r="AA243" s="113" t="s">
        <v>87</v>
      </c>
      <c r="AB243" s="122">
        <v>6670.65</v>
      </c>
      <c r="AC243" s="122">
        <f>IF(C243="DENALI", AB243*0.495, IF(C243="SCHNEIDER ELECTRIC", AB243*1.136, IF(C243="WWT", AB243*1.2, AC243)))+AB243</f>
        <v>9972.6217499999984</v>
      </c>
      <c r="AD243" s="129">
        <f>AC243-AB243</f>
        <v>3301.9717499999988</v>
      </c>
      <c r="AE243" s="122">
        <v>222413.28</v>
      </c>
      <c r="AF243" s="130">
        <f>AB243/U243</f>
        <v>277.94374999999997</v>
      </c>
      <c r="AG243" s="130">
        <f>AB243/V243</f>
        <v>277.94374999999997</v>
      </c>
      <c r="AH243" s="123">
        <f>AB243/S243</f>
        <v>2.4633124076809452</v>
      </c>
      <c r="AI243" s="124" t="s">
        <v>97</v>
      </c>
      <c r="AJ243" s="125" t="s">
        <v>349</v>
      </c>
      <c r="AK243"/>
      <c r="AM243" s="80"/>
    </row>
    <row r="244" spans="1:39" ht="28.5" customHeight="1">
      <c r="A244" s="113" t="s">
        <v>73</v>
      </c>
      <c r="B244" s="114" t="s">
        <v>74</v>
      </c>
      <c r="C244" s="113" t="s">
        <v>36</v>
      </c>
      <c r="D244" s="113" t="s">
        <v>90</v>
      </c>
      <c r="E244" s="115" t="s">
        <v>438</v>
      </c>
      <c r="F244" s="113" t="s">
        <v>92</v>
      </c>
      <c r="G244" s="116" t="s">
        <v>1070</v>
      </c>
      <c r="H244" s="79">
        <v>46134</v>
      </c>
      <c r="I244" s="114" t="s">
        <v>79</v>
      </c>
      <c r="J244" s="117" t="s">
        <v>1071</v>
      </c>
      <c r="K244" s="118">
        <v>46128</v>
      </c>
      <c r="L244" s="114" t="s">
        <v>79</v>
      </c>
      <c r="M244" s="119">
        <v>46133</v>
      </c>
      <c r="N244" s="128">
        <v>46134</v>
      </c>
      <c r="O244" s="120">
        <f>NETWORKDAYS.INTL(K244,N244,1,$AM$2:$AM$10)-1</f>
        <v>4</v>
      </c>
      <c r="P244" s="114" t="s">
        <v>81</v>
      </c>
      <c r="Q244" s="114" t="s">
        <v>79</v>
      </c>
      <c r="R244" s="115"/>
      <c r="S244" s="145">
        <v>1510</v>
      </c>
      <c r="T244" s="148" t="s">
        <v>1072</v>
      </c>
      <c r="U244" s="147">
        <v>1</v>
      </c>
      <c r="V244" s="121">
        <v>3</v>
      </c>
      <c r="W244" s="121">
        <v>156</v>
      </c>
      <c r="X244" s="114" t="s">
        <v>84</v>
      </c>
      <c r="Y244" s="115" t="s">
        <v>85</v>
      </c>
      <c r="Z244" s="115" t="s">
        <v>962</v>
      </c>
      <c r="AA244" s="113" t="s">
        <v>87</v>
      </c>
      <c r="AB244" s="122">
        <v>480.54</v>
      </c>
      <c r="AC244" s="122">
        <f>IF(C244="DENALI", AB244*0.495, IF(C244="SCHNEIDER ELECTRIC", AB244*1.136, IF(C244="WWT", AB244*1.2, AC244)))+AB244</f>
        <v>1026.43344</v>
      </c>
      <c r="AD244" s="129">
        <f>AC244-AB244</f>
        <v>545.89344000000006</v>
      </c>
      <c r="AE244" s="122">
        <v>1550.19</v>
      </c>
      <c r="AF244" s="130">
        <f>AB244/U244</f>
        <v>480.54</v>
      </c>
      <c r="AG244" s="130">
        <f>AB244/V244</f>
        <v>160.18</v>
      </c>
      <c r="AH244" s="123">
        <f>AB244/S244</f>
        <v>0.31823841059602648</v>
      </c>
      <c r="AI244" s="124" t="s">
        <v>97</v>
      </c>
      <c r="AJ244" s="125" t="s">
        <v>98</v>
      </c>
      <c r="AK244"/>
      <c r="AM244" s="80"/>
    </row>
    <row r="245" spans="1:39" ht="28.5" customHeight="1">
      <c r="A245" s="113" t="s">
        <v>73</v>
      </c>
      <c r="B245" s="114" t="s">
        <v>74</v>
      </c>
      <c r="C245" s="113" t="s">
        <v>35</v>
      </c>
      <c r="D245" s="113" t="s">
        <v>99</v>
      </c>
      <c r="E245" s="115" t="s">
        <v>242</v>
      </c>
      <c r="F245" s="113" t="s">
        <v>243</v>
      </c>
      <c r="G245" s="116" t="s">
        <v>1073</v>
      </c>
      <c r="H245" s="79">
        <v>46135</v>
      </c>
      <c r="I245" s="114" t="s">
        <v>79</v>
      </c>
      <c r="J245" s="117" t="s">
        <v>1074</v>
      </c>
      <c r="K245" s="118">
        <v>46129</v>
      </c>
      <c r="L245" s="114" t="s">
        <v>81</v>
      </c>
      <c r="M245" s="119">
        <v>46132</v>
      </c>
      <c r="N245" s="128">
        <v>46139</v>
      </c>
      <c r="O245" s="120">
        <f>NETWORKDAYS.INTL(K245,N245,1,$AM$2:$AM$10)-1</f>
        <v>6</v>
      </c>
      <c r="P245" s="114" t="s">
        <v>81</v>
      </c>
      <c r="Q245" s="114" t="s">
        <v>79</v>
      </c>
      <c r="R245" s="115"/>
      <c r="S245" s="145">
        <v>2845</v>
      </c>
      <c r="T245" s="148" t="s">
        <v>1075</v>
      </c>
      <c r="U245" s="147">
        <v>4</v>
      </c>
      <c r="V245" s="121">
        <v>148</v>
      </c>
      <c r="W245" s="121">
        <v>2396</v>
      </c>
      <c r="X245" s="114" t="s">
        <v>84</v>
      </c>
      <c r="Y245" s="115" t="s">
        <v>85</v>
      </c>
      <c r="Z245" s="115" t="s">
        <v>962</v>
      </c>
      <c r="AA245" s="113" t="s">
        <v>87</v>
      </c>
      <c r="AB245" s="122">
        <v>838.5</v>
      </c>
      <c r="AC245" s="122">
        <f>IF(C245="DENALI", AB245*0.495, IF(C245="SCHNEIDER ELECTRIC", AB245*1.136, IF(C245="WWT", AB245*1.2, AC245)))+AB245</f>
        <v>1253.5574999999999</v>
      </c>
      <c r="AD245" s="129">
        <f>AC245-AB245</f>
        <v>415.05749999999989</v>
      </c>
      <c r="AE245" s="122">
        <v>196531.25</v>
      </c>
      <c r="AF245" s="130">
        <f>AB245/U245</f>
        <v>209.625</v>
      </c>
      <c r="AG245" s="130">
        <f>AB245/V245</f>
        <v>5.6655405405405403</v>
      </c>
      <c r="AH245" s="123">
        <f>AB245/S245</f>
        <v>0.29472759226713535</v>
      </c>
      <c r="AI245" s="124" t="s">
        <v>97</v>
      </c>
      <c r="AJ245" s="125" t="s">
        <v>349</v>
      </c>
      <c r="AK245"/>
      <c r="AM245" s="80"/>
    </row>
    <row r="246" spans="1:39" ht="76.5">
      <c r="A246" s="113" t="s">
        <v>73</v>
      </c>
      <c r="B246" s="114" t="s">
        <v>140</v>
      </c>
      <c r="C246" s="113" t="s">
        <v>36</v>
      </c>
      <c r="D246" s="113" t="s">
        <v>75</v>
      </c>
      <c r="E246" s="115" t="s">
        <v>141</v>
      </c>
      <c r="F246" s="113" t="s">
        <v>142</v>
      </c>
      <c r="G246" s="116" t="s">
        <v>1076</v>
      </c>
      <c r="H246" s="79">
        <v>46135</v>
      </c>
      <c r="I246" s="114" t="s">
        <v>79</v>
      </c>
      <c r="J246" s="117" t="s">
        <v>1077</v>
      </c>
      <c r="K246" s="118">
        <v>46132</v>
      </c>
      <c r="L246" s="114" t="s">
        <v>81</v>
      </c>
      <c r="M246" s="119">
        <v>46132</v>
      </c>
      <c r="N246" s="128">
        <v>46140</v>
      </c>
      <c r="O246" s="120">
        <f>NETWORKDAYS.INTL(K246,N246,1,$AM$2:$AM$10)-1</f>
        <v>6</v>
      </c>
      <c r="P246" s="114" t="s">
        <v>81</v>
      </c>
      <c r="Q246" s="114" t="s">
        <v>79</v>
      </c>
      <c r="R246" s="115"/>
      <c r="S246" s="145">
        <v>728</v>
      </c>
      <c r="T246" s="148" t="s">
        <v>1078</v>
      </c>
      <c r="U246" s="147">
        <v>5</v>
      </c>
      <c r="V246" s="121">
        <v>18</v>
      </c>
      <c r="W246" s="121">
        <v>280</v>
      </c>
      <c r="X246" s="114" t="s">
        <v>84</v>
      </c>
      <c r="Y246" s="115" t="s">
        <v>85</v>
      </c>
      <c r="Z246" s="115" t="s">
        <v>86</v>
      </c>
      <c r="AA246" s="113" t="s">
        <v>87</v>
      </c>
      <c r="AB246" s="122">
        <v>435.49</v>
      </c>
      <c r="AC246" s="122">
        <f>IF(C246="DENALI", AB246*0.495, IF(C246="SCHNEIDER ELECTRIC", AB246*1.136, IF(C246="WWT", AB246*1.2, AC246)))+AB246</f>
        <v>930.20663999999999</v>
      </c>
      <c r="AD246" s="129">
        <f>AC246-AB246</f>
        <v>494.71663999999998</v>
      </c>
      <c r="AE246" s="122">
        <v>66030.649999999994</v>
      </c>
      <c r="AF246" s="130">
        <f>AB246/U246</f>
        <v>87.097999999999999</v>
      </c>
      <c r="AG246" s="130">
        <f>AB246/V246</f>
        <v>24.193888888888889</v>
      </c>
      <c r="AH246" s="123">
        <f>AB246/S246</f>
        <v>0.59820054945054946</v>
      </c>
      <c r="AI246" s="124" t="s">
        <v>183</v>
      </c>
      <c r="AJ246" s="125" t="s">
        <v>98</v>
      </c>
      <c r="AK246"/>
      <c r="AM246" s="80"/>
    </row>
    <row r="247" spans="1:39" ht="28.5" customHeight="1">
      <c r="A247" s="113" t="s">
        <v>73</v>
      </c>
      <c r="B247" s="114" t="s">
        <v>74</v>
      </c>
      <c r="C247" s="113" t="s">
        <v>36</v>
      </c>
      <c r="D247" s="113" t="s">
        <v>75</v>
      </c>
      <c r="E247" s="115" t="s">
        <v>1079</v>
      </c>
      <c r="F247" s="113" t="s">
        <v>207</v>
      </c>
      <c r="G247" s="116" t="s">
        <v>1080</v>
      </c>
      <c r="H247" s="79">
        <v>46136</v>
      </c>
      <c r="I247" s="114" t="s">
        <v>79</v>
      </c>
      <c r="J247" s="117" t="s">
        <v>1081</v>
      </c>
      <c r="K247" s="118">
        <v>46132</v>
      </c>
      <c r="L247" s="114" t="s">
        <v>81</v>
      </c>
      <c r="M247" s="119">
        <v>46133</v>
      </c>
      <c r="N247" s="128">
        <v>46133</v>
      </c>
      <c r="O247" s="120">
        <f>NETWORKDAYS.INTL(K247,N247,1,$AM$2:$AM$10)-1</f>
        <v>1</v>
      </c>
      <c r="P247" s="114" t="s">
        <v>81</v>
      </c>
      <c r="Q247" s="114" t="s">
        <v>79</v>
      </c>
      <c r="R247" s="115"/>
      <c r="S247" s="145">
        <v>470</v>
      </c>
      <c r="T247" s="148" t="s">
        <v>1082</v>
      </c>
      <c r="U247" s="147">
        <v>1</v>
      </c>
      <c r="V247" s="121">
        <v>4</v>
      </c>
      <c r="W247" s="121">
        <v>494</v>
      </c>
      <c r="X247" s="114" t="s">
        <v>84</v>
      </c>
      <c r="Y247" s="115" t="s">
        <v>85</v>
      </c>
      <c r="Z247" s="115" t="s">
        <v>770</v>
      </c>
      <c r="AA247" s="113" t="s">
        <v>87</v>
      </c>
      <c r="AB247" s="122">
        <v>158.32</v>
      </c>
      <c r="AC247" s="122">
        <f>IF(C247="DENALI", AB247*0.495, IF(C247="SCHNEIDER ELECTRIC", AB247*1.136, IF(C247="WWT", AB247*1.2, AC247)))+AB247</f>
        <v>338.17151999999999</v>
      </c>
      <c r="AD247" s="129">
        <f>AC247-AB247</f>
        <v>179.85151999999999</v>
      </c>
      <c r="AE247" s="122">
        <v>9227.2999999999993</v>
      </c>
      <c r="AF247" s="130">
        <f>AB247/U247</f>
        <v>158.32</v>
      </c>
      <c r="AG247" s="130">
        <f>AB247/V247</f>
        <v>39.58</v>
      </c>
      <c r="AH247" s="123">
        <f>AB247/S247</f>
        <v>0.33685106382978725</v>
      </c>
      <c r="AI247" s="124" t="s">
        <v>1083</v>
      </c>
      <c r="AJ247" s="125" t="s">
        <v>98</v>
      </c>
      <c r="AK247"/>
      <c r="AM247" s="80"/>
    </row>
    <row r="248" spans="1:39" ht="28.5" customHeight="1">
      <c r="A248" s="113" t="s">
        <v>73</v>
      </c>
      <c r="B248" s="114" t="s">
        <v>74</v>
      </c>
      <c r="C248" s="113" t="s">
        <v>35</v>
      </c>
      <c r="D248" s="113" t="s">
        <v>218</v>
      </c>
      <c r="E248" s="115" t="s">
        <v>242</v>
      </c>
      <c r="F248" s="113" t="s">
        <v>243</v>
      </c>
      <c r="G248" s="116">
        <v>22811804</v>
      </c>
      <c r="H248" s="79">
        <v>46136</v>
      </c>
      <c r="I248" s="114" t="s">
        <v>79</v>
      </c>
      <c r="J248" s="117" t="s">
        <v>1084</v>
      </c>
      <c r="K248" s="118">
        <v>46132</v>
      </c>
      <c r="L248" s="114" t="s">
        <v>81</v>
      </c>
      <c r="M248" s="119" t="s">
        <v>95</v>
      </c>
      <c r="N248" s="128" t="s">
        <v>95</v>
      </c>
      <c r="O248" s="120" t="e">
        <f>NETWORKDAYS.INTL(K248,N248,1,$AM$2:$AM$10)-1</f>
        <v>#VALUE!</v>
      </c>
      <c r="P248" s="114" t="s">
        <v>976</v>
      </c>
      <c r="Q248" s="114" t="s">
        <v>81</v>
      </c>
      <c r="R248" s="115" t="s">
        <v>1085</v>
      </c>
      <c r="S248" s="145"/>
      <c r="T248" s="148"/>
      <c r="U248" s="147">
        <v>0</v>
      </c>
      <c r="V248" s="121">
        <v>0</v>
      </c>
      <c r="W248" s="121"/>
      <c r="X248" s="114"/>
      <c r="Y248" s="115"/>
      <c r="Z248" s="115"/>
      <c r="AA248" s="113"/>
      <c r="AB248" s="122">
        <v>250</v>
      </c>
      <c r="AC248" s="122">
        <f>IF(C248="DENALI", AB248*0.495, IF(C248="SCHNEIDER ELECTRIC", AB248*1.136, IF(C248="WWT", AB248*1.2, AC248)))+AB248</f>
        <v>373.75</v>
      </c>
      <c r="AD248" s="129">
        <f>AC248-AB248</f>
        <v>123.75</v>
      </c>
      <c r="AE248" s="122">
        <v>0</v>
      </c>
      <c r="AF248" s="130" t="e">
        <f>AB248/U248</f>
        <v>#DIV/0!</v>
      </c>
      <c r="AG248" s="130" t="e">
        <f>AB248/V248</f>
        <v>#DIV/0!</v>
      </c>
      <c r="AH248" s="123" t="e">
        <f>AB248/S248</f>
        <v>#DIV/0!</v>
      </c>
      <c r="AI248" s="124"/>
      <c r="AJ248" s="125" t="s">
        <v>349</v>
      </c>
      <c r="AK248"/>
      <c r="AM248" s="80"/>
    </row>
    <row r="249" spans="1:39" ht="28.5" customHeight="1">
      <c r="A249" s="113" t="s">
        <v>73</v>
      </c>
      <c r="B249" s="114" t="s">
        <v>74</v>
      </c>
      <c r="C249" s="113" t="s">
        <v>35</v>
      </c>
      <c r="D249" s="113" t="s">
        <v>99</v>
      </c>
      <c r="E249" s="115" t="s">
        <v>1086</v>
      </c>
      <c r="F249" s="113" t="s">
        <v>218</v>
      </c>
      <c r="G249" s="116">
        <v>22813051</v>
      </c>
      <c r="H249" s="79">
        <v>46136</v>
      </c>
      <c r="I249" s="114" t="s">
        <v>79</v>
      </c>
      <c r="J249" s="117" t="s">
        <v>1087</v>
      </c>
      <c r="K249" s="118">
        <v>46132</v>
      </c>
      <c r="L249" s="114" t="s">
        <v>81</v>
      </c>
      <c r="M249" s="119">
        <v>46134</v>
      </c>
      <c r="N249" s="128">
        <v>46139</v>
      </c>
      <c r="O249" s="120">
        <f>NETWORKDAYS.INTL(K249,N249,1,$AM$2:$AM$10)-1</f>
        <v>5</v>
      </c>
      <c r="P249" s="114" t="s">
        <v>81</v>
      </c>
      <c r="Q249" s="114" t="s">
        <v>79</v>
      </c>
      <c r="R249" s="115"/>
      <c r="S249" s="145">
        <v>2335</v>
      </c>
      <c r="T249" s="148" t="s">
        <v>1088</v>
      </c>
      <c r="U249" s="147">
        <v>24</v>
      </c>
      <c r="V249" s="121">
        <v>480</v>
      </c>
      <c r="W249" s="121">
        <v>17280</v>
      </c>
      <c r="X249" s="114" t="s">
        <v>113</v>
      </c>
      <c r="Y249" s="115" t="s">
        <v>85</v>
      </c>
      <c r="Z249" s="115" t="s">
        <v>1089</v>
      </c>
      <c r="AA249" s="113" t="s">
        <v>87</v>
      </c>
      <c r="AB249" s="122">
        <v>4473.97</v>
      </c>
      <c r="AC249" s="122">
        <f>IF(C249="DENALI", AB249*0.495, IF(C249="SCHNEIDER ELECTRIC", AB249*1.136, IF(C249="WWT", AB249*1.2, AC249)))+AB249</f>
        <v>6688.5851500000008</v>
      </c>
      <c r="AD249" s="129">
        <f>AC249-AB249</f>
        <v>2214.6151500000005</v>
      </c>
      <c r="AE249" s="122">
        <v>224198.88</v>
      </c>
      <c r="AF249" s="130">
        <f>AB249/U249</f>
        <v>186.41541666666669</v>
      </c>
      <c r="AG249" s="130">
        <f>AB249/V249</f>
        <v>9.3207708333333343</v>
      </c>
      <c r="AH249" s="123">
        <f>AB249/S249</f>
        <v>1.9160471092077089</v>
      </c>
      <c r="AI249" s="124" t="s">
        <v>97</v>
      </c>
      <c r="AJ249" s="125" t="s">
        <v>349</v>
      </c>
      <c r="AK249"/>
      <c r="AM249" s="80"/>
    </row>
    <row r="250" spans="1:39" ht="28.5" customHeight="1">
      <c r="A250" s="113" t="s">
        <v>73</v>
      </c>
      <c r="B250" s="114" t="s">
        <v>140</v>
      </c>
      <c r="C250" s="113" t="s">
        <v>36</v>
      </c>
      <c r="D250" s="113" t="s">
        <v>75</v>
      </c>
      <c r="E250" s="115" t="s">
        <v>141</v>
      </c>
      <c r="F250" s="113" t="s">
        <v>142</v>
      </c>
      <c r="G250" s="116" t="s">
        <v>1090</v>
      </c>
      <c r="H250" s="79">
        <v>46139</v>
      </c>
      <c r="I250" s="114" t="s">
        <v>79</v>
      </c>
      <c r="J250" s="117" t="s">
        <v>1091</v>
      </c>
      <c r="K250" s="118">
        <v>46133</v>
      </c>
      <c r="L250" s="114" t="s">
        <v>81</v>
      </c>
      <c r="M250" s="119">
        <v>46134</v>
      </c>
      <c r="N250" s="128">
        <v>46135</v>
      </c>
      <c r="O250" s="120">
        <f>NETWORKDAYS.INTL(K250,N250,1,$AM$2:$AM$10)-1</f>
        <v>2</v>
      </c>
      <c r="P250" s="114" t="s">
        <v>81</v>
      </c>
      <c r="Q250" s="114" t="s">
        <v>79</v>
      </c>
      <c r="R250" s="115"/>
      <c r="S250" s="145">
        <v>692</v>
      </c>
      <c r="T250" s="148" t="s">
        <v>1092</v>
      </c>
      <c r="U250" s="147">
        <v>1</v>
      </c>
      <c r="V250" s="121">
        <v>4</v>
      </c>
      <c r="W250" s="121">
        <v>516</v>
      </c>
      <c r="X250" s="114" t="s">
        <v>84</v>
      </c>
      <c r="Y250" s="115" t="s">
        <v>85</v>
      </c>
      <c r="Z250" s="115" t="s">
        <v>86</v>
      </c>
      <c r="AA250" s="113" t="s">
        <v>87</v>
      </c>
      <c r="AB250" s="122">
        <v>364.74</v>
      </c>
      <c r="AC250" s="122">
        <f>IF(C250="DENALI", AB250*0.495, IF(C250="SCHNEIDER ELECTRIC", AB250*1.136, IF(C250="WWT", AB250*1.2, AC250)))+AB250</f>
        <v>779.08464000000004</v>
      </c>
      <c r="AD250" s="129">
        <f>AC250-AB250</f>
        <v>414.34464000000003</v>
      </c>
      <c r="AE250" s="122">
        <v>14793.2</v>
      </c>
      <c r="AF250" s="130">
        <f>AB250/U250</f>
        <v>364.74</v>
      </c>
      <c r="AG250" s="130">
        <f>AB250/V250</f>
        <v>91.185000000000002</v>
      </c>
      <c r="AH250" s="123">
        <f>AB250/S250</f>
        <v>0.5270809248554913</v>
      </c>
      <c r="AI250" s="124" t="s">
        <v>183</v>
      </c>
      <c r="AJ250" s="125" t="s">
        <v>98</v>
      </c>
      <c r="AK250"/>
      <c r="AM250" s="80"/>
    </row>
    <row r="251" spans="1:39" ht="28.5" customHeight="1">
      <c r="A251" s="113" t="s">
        <v>73</v>
      </c>
      <c r="B251" s="114" t="s">
        <v>140</v>
      </c>
      <c r="C251" s="113" t="s">
        <v>35</v>
      </c>
      <c r="D251" s="113" t="s">
        <v>99</v>
      </c>
      <c r="E251" s="115" t="s">
        <v>141</v>
      </c>
      <c r="F251" s="113" t="s">
        <v>142</v>
      </c>
      <c r="G251" s="116" t="s">
        <v>1093</v>
      </c>
      <c r="H251" s="79">
        <v>46140</v>
      </c>
      <c r="I251" s="114" t="s">
        <v>79</v>
      </c>
      <c r="J251" s="117" t="s">
        <v>1094</v>
      </c>
      <c r="K251" s="118">
        <v>46134</v>
      </c>
      <c r="L251" s="114" t="s">
        <v>81</v>
      </c>
      <c r="M251" s="119">
        <v>46135</v>
      </c>
      <c r="N251" s="128">
        <v>46136</v>
      </c>
      <c r="O251" s="120">
        <f>NETWORKDAYS.INTL(K251,N251,1,$AM$2:$AM$10)-1</f>
        <v>2</v>
      </c>
      <c r="P251" s="114" t="s">
        <v>81</v>
      </c>
      <c r="Q251" s="114" t="s">
        <v>79</v>
      </c>
      <c r="R251" s="115"/>
      <c r="S251" s="145">
        <v>692</v>
      </c>
      <c r="T251" s="148" t="s">
        <v>722</v>
      </c>
      <c r="U251" s="147">
        <v>1</v>
      </c>
      <c r="V251" s="121">
        <v>75000</v>
      </c>
      <c r="W251" s="121">
        <v>1050</v>
      </c>
      <c r="X251" s="114" t="s">
        <v>84</v>
      </c>
      <c r="Y251" s="115" t="s">
        <v>85</v>
      </c>
      <c r="Z251" s="115" t="s">
        <v>234</v>
      </c>
      <c r="AA251" s="113" t="s">
        <v>87</v>
      </c>
      <c r="AB251" s="122">
        <v>220.34</v>
      </c>
      <c r="AC251" s="122">
        <f>IF(C251="DENALI", AB251*0.495, IF(C251="SCHNEIDER ELECTRIC", AB251*1.136, IF(C251="WWT", AB251*1.2, AC251)))+AB251</f>
        <v>329.4083</v>
      </c>
      <c r="AD251" s="129">
        <f>AC251-AB251</f>
        <v>109.06829999999999</v>
      </c>
      <c r="AE251" s="122">
        <v>153959.25</v>
      </c>
      <c r="AF251" s="130">
        <f>AB251/U251</f>
        <v>220.34</v>
      </c>
      <c r="AG251" s="130">
        <f>AB251/V251</f>
        <v>2.9378666666666667E-3</v>
      </c>
      <c r="AH251" s="123">
        <f>AB251/S251</f>
        <v>0.31841040462427744</v>
      </c>
      <c r="AI251" s="124" t="s">
        <v>97</v>
      </c>
      <c r="AJ251" s="125" t="s">
        <v>349</v>
      </c>
      <c r="AK251"/>
      <c r="AM251" s="80"/>
    </row>
    <row r="252" spans="1:39" ht="28.5" customHeight="1">
      <c r="A252" s="113" t="s">
        <v>73</v>
      </c>
      <c r="B252" s="114" t="s">
        <v>74</v>
      </c>
      <c r="C252" s="113" t="s">
        <v>35</v>
      </c>
      <c r="D252" s="113" t="s">
        <v>218</v>
      </c>
      <c r="E252" s="115" t="s">
        <v>1095</v>
      </c>
      <c r="F252" s="113" t="s">
        <v>92</v>
      </c>
      <c r="G252" s="116" t="s">
        <v>1096</v>
      </c>
      <c r="H252" s="79">
        <v>46139</v>
      </c>
      <c r="I252" s="114" t="s">
        <v>79</v>
      </c>
      <c r="J252" s="117" t="s">
        <v>1097</v>
      </c>
      <c r="K252" s="118">
        <v>46134</v>
      </c>
      <c r="L252" s="114" t="s">
        <v>81</v>
      </c>
      <c r="M252" s="119">
        <v>46136</v>
      </c>
      <c r="N252" s="128">
        <v>46136</v>
      </c>
      <c r="O252" s="120">
        <f>NETWORKDAYS.INTL(K252,N252,1,$AM$2:$AM$10)-1</f>
        <v>2</v>
      </c>
      <c r="P252" s="114" t="s">
        <v>81</v>
      </c>
      <c r="Q252" s="114" t="s">
        <v>79</v>
      </c>
      <c r="R252" s="115"/>
      <c r="S252" s="145">
        <v>1058</v>
      </c>
      <c r="T252" s="148" t="s">
        <v>1098</v>
      </c>
      <c r="U252" s="147">
        <v>1</v>
      </c>
      <c r="V252" s="121">
        <v>1</v>
      </c>
      <c r="W252" s="121">
        <v>245</v>
      </c>
      <c r="X252" s="114" t="s">
        <v>84</v>
      </c>
      <c r="Y252" s="115" t="s">
        <v>85</v>
      </c>
      <c r="Z252" s="115" t="s">
        <v>962</v>
      </c>
      <c r="AA252" s="113" t="s">
        <v>87</v>
      </c>
      <c r="AB252" s="122">
        <v>358.65</v>
      </c>
      <c r="AC252" s="122">
        <f>IF(C252="DENALI", AB252*0.495, IF(C252="SCHNEIDER ELECTRIC", AB252*1.136, IF(C252="WWT", AB252*1.2, AC252)))+AB252</f>
        <v>536.18174999999997</v>
      </c>
      <c r="AD252" s="129">
        <f>AC252-AB252</f>
        <v>177.53174999999999</v>
      </c>
      <c r="AE252" s="122">
        <v>432.37</v>
      </c>
      <c r="AF252" s="130">
        <f>AB252/U252</f>
        <v>358.65</v>
      </c>
      <c r="AG252" s="130">
        <f>AB252/V252</f>
        <v>358.65</v>
      </c>
      <c r="AH252" s="123">
        <f>AB252/S252</f>
        <v>0.33898865784499055</v>
      </c>
      <c r="AI252" s="124" t="s">
        <v>425</v>
      </c>
      <c r="AJ252" s="125" t="s">
        <v>349</v>
      </c>
      <c r="AK252"/>
      <c r="AM252" s="80"/>
    </row>
    <row r="253" spans="1:39" ht="28.5" customHeight="1">
      <c r="A253" s="113" t="s">
        <v>73</v>
      </c>
      <c r="B253" s="114" t="s">
        <v>140</v>
      </c>
      <c r="C253" s="113" t="s">
        <v>35</v>
      </c>
      <c r="D253" s="113" t="s">
        <v>218</v>
      </c>
      <c r="E253" s="115" t="s">
        <v>992</v>
      </c>
      <c r="F253" s="113" t="s">
        <v>75</v>
      </c>
      <c r="G253" s="116" t="s">
        <v>1099</v>
      </c>
      <c r="H253" s="79">
        <v>46140</v>
      </c>
      <c r="I253" s="114" t="s">
        <v>79</v>
      </c>
      <c r="J253" s="117" t="s">
        <v>1100</v>
      </c>
      <c r="K253" s="118">
        <v>46134</v>
      </c>
      <c r="L253" s="114" t="s">
        <v>81</v>
      </c>
      <c r="M253" s="119">
        <v>46135</v>
      </c>
      <c r="N253" s="128">
        <v>46139</v>
      </c>
      <c r="O253" s="120">
        <f>NETWORKDAYS.INTL(K253,N253,1,$AM$2:$AM$10)-1</f>
        <v>3</v>
      </c>
      <c r="P253" s="114" t="s">
        <v>81</v>
      </c>
      <c r="Q253" s="114" t="s">
        <v>79</v>
      </c>
      <c r="R253" s="115"/>
      <c r="S253" s="145">
        <v>622</v>
      </c>
      <c r="T253" s="148" t="s">
        <v>1101</v>
      </c>
      <c r="U253" s="147">
        <v>2</v>
      </c>
      <c r="V253" s="121">
        <v>1344</v>
      </c>
      <c r="W253" s="121">
        <v>1915</v>
      </c>
      <c r="X253" s="114" t="s">
        <v>84</v>
      </c>
      <c r="Y253" s="115" t="s">
        <v>85</v>
      </c>
      <c r="Z253" s="115" t="s">
        <v>962</v>
      </c>
      <c r="AA253" s="113" t="s">
        <v>87</v>
      </c>
      <c r="AB253" s="122">
        <v>338.45</v>
      </c>
      <c r="AC253" s="122">
        <f>IF(C253="DENALI", AB253*0.495, IF(C253="SCHNEIDER ELECTRIC", AB253*1.136, IF(C253="WWT", AB253*1.2, AC253)))+AB253</f>
        <v>505.98275000000001</v>
      </c>
      <c r="AD253" s="129">
        <f>AC253-AB253</f>
        <v>167.53275000000002</v>
      </c>
      <c r="AE253" s="122">
        <v>259379.04</v>
      </c>
      <c r="AF253" s="130">
        <f>AB253/U253</f>
        <v>169.22499999999999</v>
      </c>
      <c r="AG253" s="130">
        <f>AB253/V253</f>
        <v>0.25182291666666667</v>
      </c>
      <c r="AH253" s="123">
        <f>AB253/S253</f>
        <v>0.54413183279742761</v>
      </c>
      <c r="AI253" s="124" t="s">
        <v>97</v>
      </c>
      <c r="AJ253" s="125" t="s">
        <v>349</v>
      </c>
      <c r="AK253"/>
      <c r="AM253" s="80"/>
    </row>
    <row r="254" spans="1:39" ht="28.5" customHeight="1">
      <c r="A254" s="113" t="s">
        <v>73</v>
      </c>
      <c r="B254" s="114" t="s">
        <v>74</v>
      </c>
      <c r="C254" s="113" t="s">
        <v>35</v>
      </c>
      <c r="D254" s="113" t="s">
        <v>218</v>
      </c>
      <c r="E254" s="115" t="s">
        <v>1102</v>
      </c>
      <c r="F254" s="113" t="s">
        <v>1103</v>
      </c>
      <c r="G254" s="116" t="s">
        <v>1104</v>
      </c>
      <c r="H254" s="79">
        <v>46140</v>
      </c>
      <c r="I254" s="114" t="s">
        <v>79</v>
      </c>
      <c r="J254" s="117" t="s">
        <v>1105</v>
      </c>
      <c r="K254" s="118">
        <v>46134</v>
      </c>
      <c r="L254" s="114" t="s">
        <v>81</v>
      </c>
      <c r="M254" s="119">
        <v>46136</v>
      </c>
      <c r="N254" s="128">
        <v>46136</v>
      </c>
      <c r="O254" s="120">
        <f>NETWORKDAYS.INTL(K254,N254,1,$AM$2:$AM$10)-1</f>
        <v>2</v>
      </c>
      <c r="P254" s="114" t="s">
        <v>81</v>
      </c>
      <c r="Q254" s="114" t="s">
        <v>79</v>
      </c>
      <c r="R254" s="115"/>
      <c r="S254" s="145">
        <v>755</v>
      </c>
      <c r="T254" s="148" t="s">
        <v>1106</v>
      </c>
      <c r="U254" s="147">
        <v>1</v>
      </c>
      <c r="V254" s="121">
        <v>1</v>
      </c>
      <c r="W254" s="121">
        <v>445</v>
      </c>
      <c r="X254" s="114" t="s">
        <v>84</v>
      </c>
      <c r="Y254" s="115" t="s">
        <v>85</v>
      </c>
      <c r="Z254" s="115" t="s">
        <v>86</v>
      </c>
      <c r="AA254" s="113" t="s">
        <v>87</v>
      </c>
      <c r="AB254" s="122">
        <v>296.18</v>
      </c>
      <c r="AC254" s="122">
        <f>IF(C254="DENALI", AB254*0.495, IF(C254="SCHNEIDER ELECTRIC", AB254*1.136, IF(C254="WWT", AB254*1.2, AC254)))+AB254</f>
        <v>442.78910000000002</v>
      </c>
      <c r="AD254" s="129">
        <f>AC254-AB254</f>
        <v>146.60910000000001</v>
      </c>
      <c r="AE254" s="122">
        <v>13547.23</v>
      </c>
      <c r="AF254" s="130">
        <f>AB254/U254</f>
        <v>296.18</v>
      </c>
      <c r="AG254" s="130">
        <f>AB254/V254</f>
        <v>296.18</v>
      </c>
      <c r="AH254" s="123">
        <f>AB254/S254</f>
        <v>0.39229139072847685</v>
      </c>
      <c r="AI254" s="124" t="s">
        <v>183</v>
      </c>
      <c r="AJ254" s="125" t="s">
        <v>379</v>
      </c>
      <c r="AK254"/>
      <c r="AM254" s="80"/>
    </row>
    <row r="255" spans="1:39" ht="28.5" customHeight="1">
      <c r="A255" s="113" t="s">
        <v>73</v>
      </c>
      <c r="B255" s="114" t="s">
        <v>74</v>
      </c>
      <c r="C255" s="113" t="s">
        <v>35</v>
      </c>
      <c r="D255" s="113" t="s">
        <v>218</v>
      </c>
      <c r="E255" s="115" t="s">
        <v>1107</v>
      </c>
      <c r="F255" s="113" t="s">
        <v>150</v>
      </c>
      <c r="G255" s="116" t="s">
        <v>1108</v>
      </c>
      <c r="H255" s="79">
        <v>46140</v>
      </c>
      <c r="I255" s="114" t="s">
        <v>79</v>
      </c>
      <c r="J255" s="117" t="s">
        <v>1109</v>
      </c>
      <c r="K255" s="118">
        <v>46134</v>
      </c>
      <c r="L255" s="114" t="s">
        <v>81</v>
      </c>
      <c r="M255" s="119">
        <v>46135</v>
      </c>
      <c r="N255" s="128">
        <v>46140</v>
      </c>
      <c r="O255" s="120">
        <f>NETWORKDAYS.INTL(K255,N255,1,$AM$2:$AM$10)-1</f>
        <v>4</v>
      </c>
      <c r="P255" s="114" t="s">
        <v>81</v>
      </c>
      <c r="Q255" s="114" t="s">
        <v>79</v>
      </c>
      <c r="R255" s="115"/>
      <c r="S255" s="145">
        <v>2169</v>
      </c>
      <c r="T255" s="148" t="s">
        <v>1110</v>
      </c>
      <c r="U255" s="147">
        <v>1</v>
      </c>
      <c r="V255" s="121">
        <v>140</v>
      </c>
      <c r="W255" s="121">
        <v>630</v>
      </c>
      <c r="X255" s="114" t="s">
        <v>84</v>
      </c>
      <c r="Y255" s="115" t="s">
        <v>85</v>
      </c>
      <c r="Z255" s="115" t="s">
        <v>86</v>
      </c>
      <c r="AA255" s="113" t="s">
        <v>87</v>
      </c>
      <c r="AB255" s="122">
        <v>483.52</v>
      </c>
      <c r="AC255" s="122">
        <f>IF(C255="DENALI", AB255*0.495, IF(C255="SCHNEIDER ELECTRIC", AB255*1.136, IF(C255="WWT", AB255*1.2, AC255)))+AB255</f>
        <v>722.86239999999998</v>
      </c>
      <c r="AD255" s="129">
        <f>AC255-AB255</f>
        <v>239.3424</v>
      </c>
      <c r="AE255" s="122">
        <v>15162.72</v>
      </c>
      <c r="AF255" s="130">
        <f>AB255/U255</f>
        <v>483.52</v>
      </c>
      <c r="AG255" s="130">
        <f>AB255/V255</f>
        <v>3.4537142857142857</v>
      </c>
      <c r="AH255" s="123">
        <f>AB255/S255</f>
        <v>0.22292300599354539</v>
      </c>
      <c r="AI255" s="124" t="s">
        <v>183</v>
      </c>
      <c r="AJ255" s="125" t="s">
        <v>379</v>
      </c>
      <c r="AK255"/>
      <c r="AM255" s="80"/>
    </row>
    <row r="256" spans="1:39" ht="28.5" customHeight="1">
      <c r="A256" s="113" t="s">
        <v>73</v>
      </c>
      <c r="B256" s="114" t="s">
        <v>74</v>
      </c>
      <c r="C256" s="113" t="s">
        <v>35</v>
      </c>
      <c r="D256" s="113" t="s">
        <v>218</v>
      </c>
      <c r="E256" s="115" t="s">
        <v>338</v>
      </c>
      <c r="F256" s="113" t="s">
        <v>92</v>
      </c>
      <c r="G256" s="116" t="s">
        <v>1111</v>
      </c>
      <c r="H256" s="79">
        <v>46140</v>
      </c>
      <c r="I256" s="114" t="s">
        <v>79</v>
      </c>
      <c r="J256" s="117" t="s">
        <v>1112</v>
      </c>
      <c r="K256" s="118">
        <v>46134</v>
      </c>
      <c r="L256" s="114" t="s">
        <v>81</v>
      </c>
      <c r="M256" s="119">
        <v>46136</v>
      </c>
      <c r="N256" s="128">
        <v>46139</v>
      </c>
      <c r="O256" s="120">
        <f>NETWORKDAYS.INTL(K256,N256,1,$AM$2:$AM$10)-1</f>
        <v>3</v>
      </c>
      <c r="P256" s="114" t="s">
        <v>81</v>
      </c>
      <c r="Q256" s="114" t="s">
        <v>79</v>
      </c>
      <c r="R256" s="115"/>
      <c r="S256" s="145">
        <v>1324</v>
      </c>
      <c r="T256" s="148" t="s">
        <v>1113</v>
      </c>
      <c r="U256" s="147">
        <v>1</v>
      </c>
      <c r="V256" s="121">
        <v>1</v>
      </c>
      <c r="W256" s="121">
        <v>240</v>
      </c>
      <c r="X256" s="114" t="s">
        <v>84</v>
      </c>
      <c r="Y256" s="115" t="s">
        <v>85</v>
      </c>
      <c r="Z256" s="115" t="s">
        <v>86</v>
      </c>
      <c r="AA256" s="113" t="s">
        <v>87</v>
      </c>
      <c r="AB256" s="122">
        <v>260.24</v>
      </c>
      <c r="AC256" s="122">
        <f>IF(C256="DENALI", AB256*0.495, IF(C256="SCHNEIDER ELECTRIC", AB256*1.136, IF(C256="WWT", AB256*1.2, AC256)))+AB256</f>
        <v>389.05880000000002</v>
      </c>
      <c r="AD256" s="129">
        <f>AC256-AB256</f>
        <v>128.81880000000001</v>
      </c>
      <c r="AE256" s="122">
        <v>432.37</v>
      </c>
      <c r="AF256" s="130">
        <f>AB256/U256</f>
        <v>260.24</v>
      </c>
      <c r="AG256" s="130">
        <f>AB256/V256</f>
        <v>260.24</v>
      </c>
      <c r="AH256" s="123">
        <f>AB256/S256</f>
        <v>0.1965558912386707</v>
      </c>
      <c r="AI256" s="124" t="s">
        <v>183</v>
      </c>
      <c r="AJ256" s="125" t="s">
        <v>379</v>
      </c>
      <c r="AK256"/>
      <c r="AM256" s="80"/>
    </row>
    <row r="257" spans="1:39" ht="28.5" customHeight="1">
      <c r="A257" s="113" t="s">
        <v>73</v>
      </c>
      <c r="B257" s="114" t="s">
        <v>140</v>
      </c>
      <c r="C257" s="113" t="s">
        <v>35</v>
      </c>
      <c r="D257" s="113" t="s">
        <v>218</v>
      </c>
      <c r="E257" s="115" t="s">
        <v>416</v>
      </c>
      <c r="F257" s="113" t="s">
        <v>90</v>
      </c>
      <c r="G257" s="116" t="s">
        <v>1114</v>
      </c>
      <c r="H257" s="79">
        <v>46140</v>
      </c>
      <c r="I257" s="114" t="s">
        <v>79</v>
      </c>
      <c r="J257" s="117" t="s">
        <v>1115</v>
      </c>
      <c r="K257" s="118">
        <v>46134</v>
      </c>
      <c r="L257" s="114" t="s">
        <v>79</v>
      </c>
      <c r="M257" s="119">
        <v>46136</v>
      </c>
      <c r="N257" s="128">
        <v>46139</v>
      </c>
      <c r="O257" s="120">
        <f>NETWORKDAYS.INTL(K257,N257,1,$AM$2:$AM$10)-1</f>
        <v>3</v>
      </c>
      <c r="P257" s="114" t="s">
        <v>81</v>
      </c>
      <c r="Q257" s="114" t="s">
        <v>79</v>
      </c>
      <c r="R257" s="115"/>
      <c r="S257" s="145">
        <v>837</v>
      </c>
      <c r="T257" s="148" t="s">
        <v>1116</v>
      </c>
      <c r="U257" s="147">
        <v>3</v>
      </c>
      <c r="V257" s="121">
        <v>71</v>
      </c>
      <c r="W257" s="121">
        <v>1360</v>
      </c>
      <c r="X257" s="114" t="s">
        <v>84</v>
      </c>
      <c r="Y257" s="115" t="s">
        <v>85</v>
      </c>
      <c r="Z257" s="115" t="s">
        <v>962</v>
      </c>
      <c r="AA257" s="113" t="s">
        <v>87</v>
      </c>
      <c r="AB257" s="122">
        <v>591.95000000000005</v>
      </c>
      <c r="AC257" s="122">
        <f>IF(C257="DENALI", AB257*0.495, IF(C257="SCHNEIDER ELECTRIC", AB257*1.136, IF(C257="WWT", AB257*1.2, AC257)))+AB257</f>
        <v>884.96525000000008</v>
      </c>
      <c r="AD257" s="129">
        <f>AC257-AB257</f>
        <v>293.01525000000004</v>
      </c>
      <c r="AE257" s="122">
        <v>112372.33</v>
      </c>
      <c r="AF257" s="130">
        <f>AB257/U257</f>
        <v>197.31666666666669</v>
      </c>
      <c r="AG257" s="130">
        <f>AB257/V257</f>
        <v>8.337323943661973</v>
      </c>
      <c r="AH257" s="123">
        <f>AB257/S257</f>
        <v>0.70722819593787345</v>
      </c>
      <c r="AI257" s="124" t="s">
        <v>147</v>
      </c>
      <c r="AJ257" s="125" t="s">
        <v>343</v>
      </c>
      <c r="AK257"/>
      <c r="AM257" s="80"/>
    </row>
    <row r="258" spans="1:39" ht="28.5" customHeight="1">
      <c r="A258" s="113" t="s">
        <v>73</v>
      </c>
      <c r="B258" s="114" t="s">
        <v>140</v>
      </c>
      <c r="C258" s="113" t="s">
        <v>36</v>
      </c>
      <c r="D258" s="113" t="s">
        <v>218</v>
      </c>
      <c r="E258" s="115" t="s">
        <v>141</v>
      </c>
      <c r="F258" s="113" t="s">
        <v>142</v>
      </c>
      <c r="G258" s="116" t="s">
        <v>1117</v>
      </c>
      <c r="H258" s="79">
        <v>46142</v>
      </c>
      <c r="I258" s="114" t="s">
        <v>79</v>
      </c>
      <c r="J258" s="117" t="s">
        <v>1118</v>
      </c>
      <c r="K258" s="118">
        <v>46135</v>
      </c>
      <c r="L258" s="114" t="s">
        <v>81</v>
      </c>
      <c r="M258" s="119">
        <v>46139</v>
      </c>
      <c r="N258" s="128">
        <v>46140</v>
      </c>
      <c r="O258" s="120">
        <f>NETWORKDAYS.INTL(K258,N258,1,$AM$2:$AM$10)-1</f>
        <v>3</v>
      </c>
      <c r="P258" s="114" t="s">
        <v>81</v>
      </c>
      <c r="Q258" s="114" t="s">
        <v>79</v>
      </c>
      <c r="R258" s="115"/>
      <c r="S258" s="145">
        <v>721</v>
      </c>
      <c r="T258" s="148" t="s">
        <v>1119</v>
      </c>
      <c r="U258" s="147">
        <v>5</v>
      </c>
      <c r="V258" s="121">
        <v>14</v>
      </c>
      <c r="W258" s="121">
        <v>1671</v>
      </c>
      <c r="X258" s="114" t="s">
        <v>84</v>
      </c>
      <c r="Y258" s="115" t="s">
        <v>85</v>
      </c>
      <c r="Z258" s="115" t="s">
        <v>86</v>
      </c>
      <c r="AA258" s="113" t="s">
        <v>87</v>
      </c>
      <c r="AB258" s="122">
        <v>866.53</v>
      </c>
      <c r="AC258" s="122">
        <f>IF(C258="DENALI", AB258*0.495, IF(C258="SCHNEIDER ELECTRIC", AB258*1.136, IF(C258="WWT", AB258*1.2, AC258)))+AB258</f>
        <v>1850.9080799999997</v>
      </c>
      <c r="AD258" s="129">
        <f>AC258-AB258</f>
        <v>984.37807999999973</v>
      </c>
      <c r="AE258" s="122">
        <v>12520.94</v>
      </c>
      <c r="AF258" s="130">
        <f>AB258/U258</f>
        <v>173.30599999999998</v>
      </c>
      <c r="AG258" s="130">
        <f>AB258/V258</f>
        <v>61.894999999999996</v>
      </c>
      <c r="AH258" s="123">
        <f>AB258/S258</f>
        <v>1.2018446601941748</v>
      </c>
      <c r="AI258" s="124" t="s">
        <v>147</v>
      </c>
      <c r="AJ258" s="125" t="s">
        <v>98</v>
      </c>
      <c r="AK258"/>
      <c r="AM258" s="80"/>
    </row>
    <row r="259" spans="1:39" ht="28.5" customHeight="1">
      <c r="A259" s="113" t="s">
        <v>73</v>
      </c>
      <c r="B259" s="114" t="s">
        <v>74</v>
      </c>
      <c r="C259" s="113" t="s">
        <v>36</v>
      </c>
      <c r="D259" s="113" t="s">
        <v>218</v>
      </c>
      <c r="E259" s="115" t="s">
        <v>242</v>
      </c>
      <c r="F259" s="113" t="s">
        <v>243</v>
      </c>
      <c r="G259" s="116">
        <v>22836772</v>
      </c>
      <c r="H259" s="79">
        <v>46142</v>
      </c>
      <c r="I259" s="114" t="s">
        <v>79</v>
      </c>
      <c r="J259" s="117" t="s">
        <v>1120</v>
      </c>
      <c r="K259" s="118">
        <v>46134</v>
      </c>
      <c r="L259" s="114" t="s">
        <v>81</v>
      </c>
      <c r="M259" s="119">
        <v>46135</v>
      </c>
      <c r="N259" s="128">
        <v>46135</v>
      </c>
      <c r="O259" s="120">
        <f>NETWORKDAYS.INTL(K259,N259,1,$AM$2:$AM$10)-1</f>
        <v>1</v>
      </c>
      <c r="P259" s="114" t="s">
        <v>81</v>
      </c>
      <c r="Q259" s="114" t="s">
        <v>79</v>
      </c>
      <c r="R259" s="115"/>
      <c r="S259" s="145">
        <v>642</v>
      </c>
      <c r="T259" s="148" t="s">
        <v>1121</v>
      </c>
      <c r="U259" s="147">
        <v>11</v>
      </c>
      <c r="V259" s="121">
        <v>11</v>
      </c>
      <c r="W259" s="121">
        <v>7755</v>
      </c>
      <c r="X259" s="114" t="s">
        <v>113</v>
      </c>
      <c r="Y259" s="115" t="s">
        <v>85</v>
      </c>
      <c r="Z259" s="115" t="s">
        <v>1122</v>
      </c>
      <c r="AA259" s="113" t="s">
        <v>87</v>
      </c>
      <c r="AB259" s="122">
        <v>3501.4</v>
      </c>
      <c r="AC259" s="122">
        <f>IF(C259="DENALI", AB259*0.495, IF(C259="SCHNEIDER ELECTRIC", AB259*1.136, IF(C259="WWT", AB259*1.2, AC259)))+AB259</f>
        <v>7478.9903999999997</v>
      </c>
      <c r="AD259" s="129">
        <f>AC259-AB259</f>
        <v>3977.5903999999996</v>
      </c>
      <c r="AE259" s="122">
        <v>1056073.26</v>
      </c>
      <c r="AF259" s="130">
        <f>AB259/U259</f>
        <v>318.30909090909091</v>
      </c>
      <c r="AG259" s="130">
        <f>AB259/V259</f>
        <v>318.30909090909091</v>
      </c>
      <c r="AH259" s="123">
        <f>AB259/S259</f>
        <v>5.4538940809968848</v>
      </c>
      <c r="AI259" s="124" t="s">
        <v>97</v>
      </c>
      <c r="AJ259" s="125" t="s">
        <v>349</v>
      </c>
      <c r="AK259"/>
      <c r="AM259" s="80"/>
    </row>
    <row r="260" spans="1:39" ht="28.5" customHeight="1">
      <c r="A260" s="113" t="s">
        <v>73</v>
      </c>
      <c r="B260" s="114" t="s">
        <v>140</v>
      </c>
      <c r="C260" s="113" t="s">
        <v>36</v>
      </c>
      <c r="D260" s="113" t="s">
        <v>218</v>
      </c>
      <c r="E260" s="115" t="s">
        <v>141</v>
      </c>
      <c r="F260" s="113" t="s">
        <v>142</v>
      </c>
      <c r="G260" s="116" t="s">
        <v>1123</v>
      </c>
      <c r="H260" s="79">
        <v>46143</v>
      </c>
      <c r="I260" s="114" t="s">
        <v>79</v>
      </c>
      <c r="J260" s="117" t="s">
        <v>1124</v>
      </c>
      <c r="K260" s="118">
        <v>46135</v>
      </c>
      <c r="L260" s="114" t="s">
        <v>81</v>
      </c>
      <c r="M260" s="119">
        <v>46139</v>
      </c>
      <c r="N260" s="128">
        <v>46140</v>
      </c>
      <c r="O260" s="120">
        <f>NETWORKDAYS.INTL(K260,N260,1,$AM$2:$AM$10)-1</f>
        <v>3</v>
      </c>
      <c r="P260" s="114" t="s">
        <v>81</v>
      </c>
      <c r="Q260" s="114" t="s">
        <v>79</v>
      </c>
      <c r="R260" s="115" t="s">
        <v>1125</v>
      </c>
      <c r="S260" s="145">
        <v>721</v>
      </c>
      <c r="T260" s="148" t="s">
        <v>1126</v>
      </c>
      <c r="U260" s="147">
        <v>3</v>
      </c>
      <c r="V260" s="121">
        <v>19</v>
      </c>
      <c r="W260" s="121">
        <v>1843</v>
      </c>
      <c r="X260" s="114" t="s">
        <v>84</v>
      </c>
      <c r="Y260" s="115" t="s">
        <v>85</v>
      </c>
      <c r="Z260" s="115" t="s">
        <v>86</v>
      </c>
      <c r="AA260" s="113" t="s">
        <v>87</v>
      </c>
      <c r="AB260" s="122">
        <v>578.95000000000005</v>
      </c>
      <c r="AC260" s="122">
        <f>IF(C260="DENALI", AB260*0.495, IF(C260="SCHNEIDER ELECTRIC", AB260*1.136, IF(C260="WWT", AB260*1.2, AC260)))+AB260</f>
        <v>1236.6372000000001</v>
      </c>
      <c r="AD260" s="129">
        <f>AC260-AB260</f>
        <v>657.68720000000008</v>
      </c>
      <c r="AE260" s="122">
        <v>36503.39</v>
      </c>
      <c r="AF260" s="130">
        <f>AB260/U260</f>
        <v>192.98333333333335</v>
      </c>
      <c r="AG260" s="130">
        <f>AB260/V260</f>
        <v>30.471052631578949</v>
      </c>
      <c r="AH260" s="123">
        <f>AB260/S260</f>
        <v>0.80298196948682388</v>
      </c>
      <c r="AI260" s="124" t="s">
        <v>183</v>
      </c>
      <c r="AJ260" s="125" t="s">
        <v>98</v>
      </c>
      <c r="AK260"/>
      <c r="AM260" s="80"/>
    </row>
    <row r="261" spans="1:39" ht="28.5" customHeight="1">
      <c r="A261" s="113" t="s">
        <v>73</v>
      </c>
      <c r="B261" s="114" t="s">
        <v>74</v>
      </c>
      <c r="C261" s="113" t="s">
        <v>35</v>
      </c>
      <c r="D261" s="113" t="s">
        <v>218</v>
      </c>
      <c r="E261" s="115" t="s">
        <v>951</v>
      </c>
      <c r="F261" s="113" t="s">
        <v>109</v>
      </c>
      <c r="G261" s="116" t="s">
        <v>1127</v>
      </c>
      <c r="H261" s="79">
        <v>46143</v>
      </c>
      <c r="I261" s="114" t="s">
        <v>79</v>
      </c>
      <c r="J261" s="117" t="s">
        <v>1128</v>
      </c>
      <c r="K261" s="118">
        <v>46135</v>
      </c>
      <c r="L261" s="114" t="s">
        <v>81</v>
      </c>
      <c r="M261" s="119">
        <v>46139</v>
      </c>
      <c r="N261" s="128">
        <v>46146</v>
      </c>
      <c r="O261" s="120">
        <f>NETWORKDAYS.INTL(K261,N261,1,$AM$2:$AM$10)-1</f>
        <v>7</v>
      </c>
      <c r="P261" s="114" t="s">
        <v>81</v>
      </c>
      <c r="Q261" s="114" t="s">
        <v>79</v>
      </c>
      <c r="R261" s="115" t="s">
        <v>1129</v>
      </c>
      <c r="S261" s="145">
        <v>1035</v>
      </c>
      <c r="T261" s="148" t="s">
        <v>953</v>
      </c>
      <c r="U261" s="147">
        <v>5</v>
      </c>
      <c r="V261" s="121">
        <v>1924</v>
      </c>
      <c r="W261" s="121">
        <v>2790</v>
      </c>
      <c r="X261" s="114" t="s">
        <v>84</v>
      </c>
      <c r="Y261" s="115" t="s">
        <v>85</v>
      </c>
      <c r="Z261" s="115" t="s">
        <v>962</v>
      </c>
      <c r="AA261" s="113" t="s">
        <v>87</v>
      </c>
      <c r="AB261" s="122">
        <v>970.37</v>
      </c>
      <c r="AC261" s="122">
        <f>IF(C261="DENALI", AB261*0.495, IF(C261="SCHNEIDER ELECTRIC", AB261*1.136, IF(C261="WWT", AB261*1.2, AC261)))+AB261</f>
        <v>1450.7031500000001</v>
      </c>
      <c r="AD261" s="129">
        <f>AC261-AB261</f>
        <v>480.33315000000005</v>
      </c>
      <c r="AE261" s="122">
        <v>54469.68</v>
      </c>
      <c r="AF261" s="130">
        <f>AB261/U261</f>
        <v>194.07400000000001</v>
      </c>
      <c r="AG261" s="130">
        <f>AB261/V261</f>
        <v>0.50435031185031187</v>
      </c>
      <c r="AH261" s="123">
        <f>AB261/S261</f>
        <v>0.93755555555555559</v>
      </c>
      <c r="AI261" s="124" t="s">
        <v>97</v>
      </c>
      <c r="AJ261" s="125" t="s">
        <v>349</v>
      </c>
      <c r="AK261"/>
      <c r="AM261" s="80"/>
    </row>
    <row r="262" spans="1:39" ht="28.5" customHeight="1">
      <c r="A262" s="113" t="s">
        <v>73</v>
      </c>
      <c r="B262" s="114" t="s">
        <v>140</v>
      </c>
      <c r="C262" s="113" t="s">
        <v>35</v>
      </c>
      <c r="D262" s="113" t="s">
        <v>218</v>
      </c>
      <c r="E262" s="115" t="s">
        <v>141</v>
      </c>
      <c r="F262" s="113" t="s">
        <v>142</v>
      </c>
      <c r="G262" s="116" t="s">
        <v>1130</v>
      </c>
      <c r="H262" s="79">
        <v>46143</v>
      </c>
      <c r="I262" s="114" t="s">
        <v>79</v>
      </c>
      <c r="J262" s="117" t="s">
        <v>1131</v>
      </c>
      <c r="K262" s="118">
        <v>46135</v>
      </c>
      <c r="L262" s="114" t="s">
        <v>79</v>
      </c>
      <c r="M262" s="119">
        <v>46136</v>
      </c>
      <c r="N262" s="128">
        <v>46140</v>
      </c>
      <c r="O262" s="120">
        <f>NETWORKDAYS.INTL(K262,N262,1,$AM$2:$AM$10)-1</f>
        <v>3</v>
      </c>
      <c r="P262" s="114" t="s">
        <v>81</v>
      </c>
      <c r="Q262" s="114" t="s">
        <v>79</v>
      </c>
      <c r="R262" s="115" t="s">
        <v>1132</v>
      </c>
      <c r="S262" s="145">
        <v>441</v>
      </c>
      <c r="T262" s="148" t="s">
        <v>897</v>
      </c>
      <c r="U262" s="147">
        <v>1</v>
      </c>
      <c r="V262" s="121">
        <v>80</v>
      </c>
      <c r="W262" s="121">
        <v>350</v>
      </c>
      <c r="X262" s="114" t="s">
        <v>84</v>
      </c>
      <c r="Y262" s="115" t="s">
        <v>85</v>
      </c>
      <c r="Z262" s="115" t="s">
        <v>234</v>
      </c>
      <c r="AA262" s="113" t="s">
        <v>87</v>
      </c>
      <c r="AB262" s="122">
        <v>195</v>
      </c>
      <c r="AC262" s="122">
        <f>IF(C262="DENALI", AB262*0.495, IF(C262="SCHNEIDER ELECTRIC", AB262*1.136, IF(C262="WWT", AB262*1.2, AC262)))+AB262</f>
        <v>291.52499999999998</v>
      </c>
      <c r="AD262" s="129">
        <f>AC262-AB262</f>
        <v>96.524999999999977</v>
      </c>
      <c r="AE262" s="122">
        <v>10151.73</v>
      </c>
      <c r="AF262" s="130">
        <f>AB262/U262</f>
        <v>195</v>
      </c>
      <c r="AG262" s="130">
        <f>AB262/V262</f>
        <v>2.4375</v>
      </c>
      <c r="AH262" s="123">
        <f>AB262/S262</f>
        <v>0.44217687074829931</v>
      </c>
      <c r="AI262" s="124" t="s">
        <v>155</v>
      </c>
      <c r="AJ262" s="125" t="s">
        <v>89</v>
      </c>
      <c r="AK262"/>
      <c r="AM262" s="80"/>
    </row>
    <row r="263" spans="1:39" s="84" customFormat="1" ht="28.5" customHeight="1">
      <c r="A263" s="113" t="s">
        <v>73</v>
      </c>
      <c r="B263" s="114" t="s">
        <v>74</v>
      </c>
      <c r="C263" s="113" t="s">
        <v>35</v>
      </c>
      <c r="D263" s="113" t="s">
        <v>218</v>
      </c>
      <c r="E263" s="115" t="s">
        <v>242</v>
      </c>
      <c r="F263" s="113" t="s">
        <v>243</v>
      </c>
      <c r="G263" s="116" t="s">
        <v>1133</v>
      </c>
      <c r="H263" s="79">
        <v>46143</v>
      </c>
      <c r="I263" s="114" t="s">
        <v>79</v>
      </c>
      <c r="J263" s="117" t="s">
        <v>1134</v>
      </c>
      <c r="K263" s="118">
        <v>46135</v>
      </c>
      <c r="L263" s="114" t="s">
        <v>81</v>
      </c>
      <c r="M263" s="119">
        <v>46139</v>
      </c>
      <c r="N263" s="128">
        <v>46141</v>
      </c>
      <c r="O263" s="120">
        <f>NETWORKDAYS.INTL(K263,N263,1,$AM$2:$AM$10)-1</f>
        <v>4</v>
      </c>
      <c r="P263" s="114" t="s">
        <v>81</v>
      </c>
      <c r="Q263" s="114" t="s">
        <v>79</v>
      </c>
      <c r="R263" s="115" t="s">
        <v>1135</v>
      </c>
      <c r="S263" s="145">
        <v>623</v>
      </c>
      <c r="T263" s="148" t="s">
        <v>1136</v>
      </c>
      <c r="U263" s="147">
        <v>1</v>
      </c>
      <c r="V263" s="121">
        <v>3</v>
      </c>
      <c r="W263" s="121">
        <v>470</v>
      </c>
      <c r="X263" s="114" t="s">
        <v>84</v>
      </c>
      <c r="Y263" s="115" t="s">
        <v>85</v>
      </c>
      <c r="Z263" s="115" t="s">
        <v>770</v>
      </c>
      <c r="AA263" s="113" t="s">
        <v>87</v>
      </c>
      <c r="AB263" s="122">
        <v>367.42</v>
      </c>
      <c r="AC263" s="122">
        <f>IF(C263="DENALI", AB263*0.495, IF(C263="SCHNEIDER ELECTRIC", AB263*1.136, IF(C263="WWT", AB263*1.2, AC263)))+AB263</f>
        <v>549.29290000000003</v>
      </c>
      <c r="AD263" s="129">
        <f>AC263-AB263</f>
        <v>181.87290000000002</v>
      </c>
      <c r="AE263" s="122">
        <v>1297.1099999999999</v>
      </c>
      <c r="AF263" s="130">
        <f>AB263/U263</f>
        <v>367.42</v>
      </c>
      <c r="AG263" s="130">
        <f>AB263/V263</f>
        <v>122.47333333333334</v>
      </c>
      <c r="AH263" s="123">
        <f>AB263/S263</f>
        <v>0.58975922953451043</v>
      </c>
      <c r="AI263" s="124" t="s">
        <v>97</v>
      </c>
      <c r="AJ263" s="125" t="s">
        <v>349</v>
      </c>
      <c r="AK263"/>
      <c r="AL263"/>
      <c r="AM263" s="80"/>
    </row>
    <row r="264" spans="1:39" s="84" customFormat="1" ht="28.5" customHeight="1">
      <c r="A264" s="113" t="s">
        <v>73</v>
      </c>
      <c r="B264" s="114" t="s">
        <v>140</v>
      </c>
      <c r="C264" s="113" t="s">
        <v>35</v>
      </c>
      <c r="D264" s="113" t="s">
        <v>218</v>
      </c>
      <c r="E264" s="115" t="s">
        <v>141</v>
      </c>
      <c r="F264" s="113" t="s">
        <v>142</v>
      </c>
      <c r="G264" s="116" t="s">
        <v>1137</v>
      </c>
      <c r="H264" s="79">
        <v>46143</v>
      </c>
      <c r="I264" s="114" t="s">
        <v>79</v>
      </c>
      <c r="J264" s="117" t="s">
        <v>1138</v>
      </c>
      <c r="K264" s="118">
        <v>46135</v>
      </c>
      <c r="L264" s="114" t="s">
        <v>81</v>
      </c>
      <c r="M264" s="119">
        <v>46136</v>
      </c>
      <c r="N264" s="128">
        <v>46140</v>
      </c>
      <c r="O264" s="120">
        <f>NETWORKDAYS.INTL(K264,N264,1,$AM$2:$AM$10)-1</f>
        <v>3</v>
      </c>
      <c r="P264" s="114" t="s">
        <v>81</v>
      </c>
      <c r="Q264" s="114" t="s">
        <v>79</v>
      </c>
      <c r="R264" s="115" t="s">
        <v>1132</v>
      </c>
      <c r="S264" s="145">
        <v>441</v>
      </c>
      <c r="T264" s="148" t="s">
        <v>1139</v>
      </c>
      <c r="U264" s="147">
        <v>1</v>
      </c>
      <c r="V264" s="121">
        <v>31</v>
      </c>
      <c r="W264" s="121">
        <v>505</v>
      </c>
      <c r="X264" s="114" t="s">
        <v>84</v>
      </c>
      <c r="Y264" s="115" t="s">
        <v>85</v>
      </c>
      <c r="Z264" s="115" t="s">
        <v>234</v>
      </c>
      <c r="AA264" s="113" t="s">
        <v>87</v>
      </c>
      <c r="AB264" s="122">
        <v>197.02</v>
      </c>
      <c r="AC264" s="122">
        <f>IF(C264="DENALI", AB264*0.495, IF(C264="SCHNEIDER ELECTRIC", AB264*1.136, IF(C264="WWT", AB264*1.2, AC264)))+AB264</f>
        <v>294.54489999999998</v>
      </c>
      <c r="AD264" s="129">
        <f>AC264-AB264</f>
        <v>97.524899999999974</v>
      </c>
      <c r="AE264" s="122">
        <v>2369.85</v>
      </c>
      <c r="AF264" s="130">
        <f>AB264/U264</f>
        <v>197.02</v>
      </c>
      <c r="AG264" s="130">
        <f>AB264/V264</f>
        <v>6.3554838709677419</v>
      </c>
      <c r="AH264" s="123">
        <f>AB264/S264</f>
        <v>0.44675736961451251</v>
      </c>
      <c r="AI264" s="124" t="s">
        <v>147</v>
      </c>
      <c r="AJ264" s="125" t="s">
        <v>343</v>
      </c>
      <c r="AK264"/>
      <c r="AL264"/>
      <c r="AM264" s="80"/>
    </row>
    <row r="265" spans="1:39" s="84" customFormat="1" ht="28.5" customHeight="1">
      <c r="A265" s="113" t="s">
        <v>73</v>
      </c>
      <c r="B265" s="114" t="s">
        <v>74</v>
      </c>
      <c r="C265" s="113" t="s">
        <v>35</v>
      </c>
      <c r="D265" s="113" t="s">
        <v>99</v>
      </c>
      <c r="E265" s="115" t="s">
        <v>731</v>
      </c>
      <c r="F265" s="113" t="s">
        <v>457</v>
      </c>
      <c r="G265" s="116" t="s">
        <v>1140</v>
      </c>
      <c r="H265" s="79">
        <v>46143</v>
      </c>
      <c r="I265" s="114" t="s">
        <v>79</v>
      </c>
      <c r="J265" s="117" t="s">
        <v>1141</v>
      </c>
      <c r="K265" s="118">
        <v>46135</v>
      </c>
      <c r="L265" s="114" t="s">
        <v>81</v>
      </c>
      <c r="M265" s="119">
        <v>46140</v>
      </c>
      <c r="N265" s="128">
        <v>46140</v>
      </c>
      <c r="O265" s="120">
        <f>NETWORKDAYS.INTL(K265,N265,1,$AM$2:$AM$10)-1</f>
        <v>3</v>
      </c>
      <c r="P265" s="114" t="s">
        <v>81</v>
      </c>
      <c r="Q265" s="114" t="s">
        <v>79</v>
      </c>
      <c r="R265" s="115" t="s">
        <v>1142</v>
      </c>
      <c r="S265" s="145">
        <v>378</v>
      </c>
      <c r="T265" s="148" t="s">
        <v>1143</v>
      </c>
      <c r="U265" s="147">
        <v>1</v>
      </c>
      <c r="V265" s="121">
        <v>97</v>
      </c>
      <c r="W265" s="121">
        <v>340</v>
      </c>
      <c r="X265" s="114" t="s">
        <v>84</v>
      </c>
      <c r="Y265" s="115" t="s">
        <v>85</v>
      </c>
      <c r="Z265" s="115" t="s">
        <v>1144</v>
      </c>
      <c r="AA265" s="113" t="s">
        <v>87</v>
      </c>
      <c r="AB265" s="122">
        <v>207.48</v>
      </c>
      <c r="AC265" s="122">
        <f>IF(C265="DENALI", AB265*0.495, IF(C265="SCHNEIDER ELECTRIC", AB265*1.136, IF(C265="WWT", AB265*1.2, AC265)))+AB265</f>
        <v>310.18259999999998</v>
      </c>
      <c r="AD265" s="129">
        <f>AC265-AB265</f>
        <v>102.70259999999999</v>
      </c>
      <c r="AE265" s="122">
        <v>30829.98</v>
      </c>
      <c r="AF265" s="130">
        <f>AB265/U265</f>
        <v>207.48</v>
      </c>
      <c r="AG265" s="130">
        <f>AB265/V265</f>
        <v>2.1389690721649481</v>
      </c>
      <c r="AH265" s="123">
        <f>AB265/S265</f>
        <v>0.54888888888888887</v>
      </c>
      <c r="AI265" s="124" t="s">
        <v>97</v>
      </c>
      <c r="AJ265" s="125" t="s">
        <v>349</v>
      </c>
      <c r="AK265"/>
      <c r="AL265"/>
      <c r="AM265" s="80"/>
    </row>
    <row r="266" spans="1:39" s="84" customFormat="1" ht="28.5" customHeight="1">
      <c r="A266" s="113" t="s">
        <v>73</v>
      </c>
      <c r="B266" s="114" t="s">
        <v>74</v>
      </c>
      <c r="C266" s="113" t="s">
        <v>36</v>
      </c>
      <c r="D266" s="113" t="s">
        <v>90</v>
      </c>
      <c r="E266" s="115" t="s">
        <v>1145</v>
      </c>
      <c r="F266" s="113" t="s">
        <v>99</v>
      </c>
      <c r="G266" s="116" t="s">
        <v>1146</v>
      </c>
      <c r="H266" s="79">
        <v>46143</v>
      </c>
      <c r="I266" s="114" t="s">
        <v>79</v>
      </c>
      <c r="J266" s="117" t="s">
        <v>1147</v>
      </c>
      <c r="K266" s="118">
        <v>46135</v>
      </c>
      <c r="L266" s="114" t="s">
        <v>81</v>
      </c>
      <c r="M266" s="119">
        <v>46139</v>
      </c>
      <c r="N266" s="128">
        <v>46139</v>
      </c>
      <c r="O266" s="120">
        <f>NETWORKDAYS.INTL(K266,N266,1,$AM$2:$AM$10)-1</f>
        <v>2</v>
      </c>
      <c r="P266" s="114" t="s">
        <v>81</v>
      </c>
      <c r="Q266" s="114" t="s">
        <v>79</v>
      </c>
      <c r="R266" s="115"/>
      <c r="S266" s="145">
        <v>1138</v>
      </c>
      <c r="T266" s="148" t="s">
        <v>1148</v>
      </c>
      <c r="U266" s="147">
        <v>1</v>
      </c>
      <c r="V266" s="121">
        <v>6</v>
      </c>
      <c r="W266" s="121">
        <v>272</v>
      </c>
      <c r="X266" s="114" t="s">
        <v>84</v>
      </c>
      <c r="Y266" s="115" t="s">
        <v>85</v>
      </c>
      <c r="Z266" s="115" t="s">
        <v>86</v>
      </c>
      <c r="AA266" s="113" t="s">
        <v>87</v>
      </c>
      <c r="AB266" s="122">
        <v>364.19</v>
      </c>
      <c r="AC266" s="122">
        <f>IF(C266="DENALI", AB266*0.495, IF(C266="SCHNEIDER ELECTRIC", AB266*1.136, IF(C266="WWT", AB266*1.2, AC266)))+AB266</f>
        <v>777.90984000000003</v>
      </c>
      <c r="AD266" s="129">
        <f>AC266-AB266</f>
        <v>413.71984000000003</v>
      </c>
      <c r="AE266" s="122">
        <v>1616.28</v>
      </c>
      <c r="AF266" s="130">
        <f>AB266/U266</f>
        <v>364.19</v>
      </c>
      <c r="AG266" s="130">
        <f>AB266/V266</f>
        <v>60.698333333333331</v>
      </c>
      <c r="AH266" s="123">
        <f>AB266/S266</f>
        <v>0.3200263620386643</v>
      </c>
      <c r="AI266" s="124">
        <v>1172</v>
      </c>
      <c r="AJ266" s="125" t="s">
        <v>98</v>
      </c>
      <c r="AK266"/>
      <c r="AL266"/>
      <c r="AM266" s="80"/>
    </row>
    <row r="267" spans="1:39" s="84" customFormat="1" ht="28.5" customHeight="1">
      <c r="A267" s="113" t="s">
        <v>73</v>
      </c>
      <c r="B267" s="114" t="s">
        <v>74</v>
      </c>
      <c r="C267" s="113" t="s">
        <v>35</v>
      </c>
      <c r="D267" s="113" t="s">
        <v>99</v>
      </c>
      <c r="E267" s="115" t="s">
        <v>1149</v>
      </c>
      <c r="F267" s="113" t="s">
        <v>90</v>
      </c>
      <c r="G267" s="116" t="s">
        <v>1150</v>
      </c>
      <c r="H267" s="79">
        <v>46143</v>
      </c>
      <c r="I267" s="114" t="s">
        <v>79</v>
      </c>
      <c r="J267" s="117" t="s">
        <v>1151</v>
      </c>
      <c r="K267" s="118">
        <v>46135</v>
      </c>
      <c r="L267" s="114" t="s">
        <v>81</v>
      </c>
      <c r="M267" s="119">
        <v>46139</v>
      </c>
      <c r="N267" s="128">
        <v>46139</v>
      </c>
      <c r="O267" s="120">
        <f>NETWORKDAYS.INTL(K267,N267,1,$AM$2:$AM$10)-1</f>
        <v>2</v>
      </c>
      <c r="P267" s="114" t="s">
        <v>81</v>
      </c>
      <c r="Q267" s="114" t="s">
        <v>81</v>
      </c>
      <c r="R267" s="115"/>
      <c r="S267" s="145">
        <v>819</v>
      </c>
      <c r="T267" s="148" t="s">
        <v>1152</v>
      </c>
      <c r="U267" s="147">
        <v>2</v>
      </c>
      <c r="V267" s="121">
        <v>2</v>
      </c>
      <c r="W267" s="121">
        <v>220</v>
      </c>
      <c r="X267" s="114" t="s">
        <v>84</v>
      </c>
      <c r="Y267" s="115" t="s">
        <v>85</v>
      </c>
      <c r="Z267" s="115" t="s">
        <v>86</v>
      </c>
      <c r="AA267" s="113" t="s">
        <v>87</v>
      </c>
      <c r="AB267" s="122">
        <v>304.49</v>
      </c>
      <c r="AC267" s="122">
        <f>IF(C267="DENALI", AB267*0.495, IF(C267="SCHNEIDER ELECTRIC", AB267*1.136, IF(C267="WWT", AB267*1.2, AC267)))+AB267</f>
        <v>455.21255000000002</v>
      </c>
      <c r="AD267" s="129">
        <f>AC267-AB267</f>
        <v>150.72255000000001</v>
      </c>
      <c r="AE267" s="122">
        <v>109650.86</v>
      </c>
      <c r="AF267" s="130">
        <f>AB267/U267</f>
        <v>152.245</v>
      </c>
      <c r="AG267" s="130">
        <f>AB267/V267</f>
        <v>152.245</v>
      </c>
      <c r="AH267" s="123">
        <f>AB267/S267</f>
        <v>0.37178266178266178</v>
      </c>
      <c r="AI267" s="124" t="s">
        <v>1153</v>
      </c>
      <c r="AJ267" s="125" t="s">
        <v>349</v>
      </c>
      <c r="AK267"/>
      <c r="AL267"/>
      <c r="AM267" s="80"/>
    </row>
    <row r="268" spans="1:39" s="84" customFormat="1" ht="28.5" customHeight="1">
      <c r="A268" s="113" t="s">
        <v>73</v>
      </c>
      <c r="B268" s="114" t="s">
        <v>74</v>
      </c>
      <c r="C268" s="113" t="s">
        <v>35</v>
      </c>
      <c r="D268" s="113" t="s">
        <v>218</v>
      </c>
      <c r="E268" s="115" t="s">
        <v>1154</v>
      </c>
      <c r="F268" s="113" t="s">
        <v>90</v>
      </c>
      <c r="G268" s="116">
        <v>22869103</v>
      </c>
      <c r="H268" s="79">
        <v>46146</v>
      </c>
      <c r="I268" s="114" t="s">
        <v>79</v>
      </c>
      <c r="J268" s="117" t="s">
        <v>1155</v>
      </c>
      <c r="K268" s="118">
        <v>46136</v>
      </c>
      <c r="L268" s="114" t="s">
        <v>81</v>
      </c>
      <c r="M268" s="119">
        <v>46139</v>
      </c>
      <c r="N268" s="128">
        <v>46139</v>
      </c>
      <c r="O268" s="120">
        <f>NETWORKDAYS.INTL(K268,N268,1,$AM$2:$AM$10)-1</f>
        <v>1</v>
      </c>
      <c r="P268" s="114" t="s">
        <v>81</v>
      </c>
      <c r="Q268" s="114" t="s">
        <v>79</v>
      </c>
      <c r="R268" s="115"/>
      <c r="S268" s="145">
        <v>932</v>
      </c>
      <c r="T268" s="148" t="s">
        <v>1156</v>
      </c>
      <c r="U268" s="147">
        <v>11</v>
      </c>
      <c r="V268" s="121">
        <v>11</v>
      </c>
      <c r="W268" s="121">
        <v>6982</v>
      </c>
      <c r="X268" s="114" t="s">
        <v>113</v>
      </c>
      <c r="Y268" s="115" t="s">
        <v>85</v>
      </c>
      <c r="Z268" s="115" t="s">
        <v>1157</v>
      </c>
      <c r="AA268" s="113" t="s">
        <v>87</v>
      </c>
      <c r="AB268" s="122">
        <v>1896</v>
      </c>
      <c r="AC268" s="122">
        <f>IF(C268="DENALI", AB268*0.495, IF(C268="SCHNEIDER ELECTRIC", AB268*1.136, IF(C268="WWT", AB268*1.2, AC268)))+AB268</f>
        <v>2834.52</v>
      </c>
      <c r="AD268" s="129">
        <f>AC268-AB268</f>
        <v>938.52</v>
      </c>
      <c r="AE268" s="122">
        <v>168899.15</v>
      </c>
      <c r="AF268" s="130">
        <f>AB268/U268</f>
        <v>172.36363636363637</v>
      </c>
      <c r="AG268" s="130">
        <f>AB268/V268</f>
        <v>172.36363636363637</v>
      </c>
      <c r="AH268" s="123">
        <f>AB268/S268</f>
        <v>2.0343347639484977</v>
      </c>
      <c r="AI268" s="124" t="s">
        <v>147</v>
      </c>
      <c r="AJ268" s="125" t="s">
        <v>343</v>
      </c>
      <c r="AK268"/>
      <c r="AL268"/>
      <c r="AM268" s="80"/>
    </row>
    <row r="269" spans="1:39" s="84" customFormat="1" ht="28.5" customHeight="1">
      <c r="A269" s="113" t="s">
        <v>73</v>
      </c>
      <c r="B269" s="114" t="s">
        <v>74</v>
      </c>
      <c r="C269" s="113" t="s">
        <v>35</v>
      </c>
      <c r="D269" s="113" t="s">
        <v>218</v>
      </c>
      <c r="E269" s="115" t="s">
        <v>901</v>
      </c>
      <c r="F269" s="113" t="s">
        <v>142</v>
      </c>
      <c r="G269" s="116" t="s">
        <v>1158</v>
      </c>
      <c r="H269" s="79">
        <v>46146</v>
      </c>
      <c r="I269" s="114" t="s">
        <v>79</v>
      </c>
      <c r="J269" s="117" t="s">
        <v>1159</v>
      </c>
      <c r="K269" s="118">
        <v>46136</v>
      </c>
      <c r="L269" s="114" t="s">
        <v>81</v>
      </c>
      <c r="M269" s="119">
        <v>46139</v>
      </c>
      <c r="N269" s="128">
        <v>46140</v>
      </c>
      <c r="O269" s="120">
        <f>NETWORKDAYS.INTL(K269,N269,1,$AM$2:$AM$10)-1</f>
        <v>2</v>
      </c>
      <c r="P269" s="114" t="s">
        <v>81</v>
      </c>
      <c r="Q269" s="114" t="s">
        <v>79</v>
      </c>
      <c r="R269" s="115"/>
      <c r="S269" s="145">
        <v>413</v>
      </c>
      <c r="T269" s="148" t="s">
        <v>974</v>
      </c>
      <c r="U269" s="147">
        <v>1</v>
      </c>
      <c r="V269" s="121">
        <v>404</v>
      </c>
      <c r="W269" s="121">
        <v>320</v>
      </c>
      <c r="X269" s="114" t="s">
        <v>84</v>
      </c>
      <c r="Y269" s="115" t="s">
        <v>85</v>
      </c>
      <c r="Z269" s="115" t="s">
        <v>234</v>
      </c>
      <c r="AA269" s="113" t="s">
        <v>87</v>
      </c>
      <c r="AB269" s="122">
        <v>187.5</v>
      </c>
      <c r="AC269" s="122">
        <f>IF(C269="DENALI", AB269*0.495, IF(C269="SCHNEIDER ELECTRIC", AB269*1.136, IF(C269="WWT", AB269*1.2, AC269)))+AB269</f>
        <v>280.3125</v>
      </c>
      <c r="AD269" s="129">
        <f>AC269-AB269</f>
        <v>92.8125</v>
      </c>
      <c r="AE269" s="122">
        <v>542357.02</v>
      </c>
      <c r="AF269" s="130">
        <f>AB269/U269</f>
        <v>187.5</v>
      </c>
      <c r="AG269" s="130">
        <f>AB269/V269</f>
        <v>0.46410891089108913</v>
      </c>
      <c r="AH269" s="123">
        <f>AB269/S269</f>
        <v>0.45399515738498791</v>
      </c>
      <c r="AI269" s="124" t="s">
        <v>97</v>
      </c>
      <c r="AJ269" s="125" t="s">
        <v>349</v>
      </c>
      <c r="AK269"/>
      <c r="AL269"/>
      <c r="AM269" s="80"/>
    </row>
    <row r="270" spans="1:39" s="84" customFormat="1" ht="28.5" customHeight="1">
      <c r="A270" s="113" t="s">
        <v>73</v>
      </c>
      <c r="B270" s="114" t="s">
        <v>74</v>
      </c>
      <c r="C270" s="113" t="s">
        <v>35</v>
      </c>
      <c r="D270" s="113" t="s">
        <v>218</v>
      </c>
      <c r="E270" s="115" t="s">
        <v>125</v>
      </c>
      <c r="F270" s="113" t="s">
        <v>90</v>
      </c>
      <c r="G270" s="116" t="s">
        <v>1160</v>
      </c>
      <c r="H270" s="79">
        <v>46146</v>
      </c>
      <c r="I270" s="114" t="s">
        <v>79</v>
      </c>
      <c r="J270" s="117" t="s">
        <v>1161</v>
      </c>
      <c r="K270" s="118">
        <v>46136</v>
      </c>
      <c r="L270" s="114" t="s">
        <v>81</v>
      </c>
      <c r="M270" s="119"/>
      <c r="N270" s="128">
        <v>46141</v>
      </c>
      <c r="O270" s="120">
        <f>NETWORKDAYS.INTL(K270,N270,1,$AM$2:$AM$10)-1</f>
        <v>3</v>
      </c>
      <c r="P270" s="114" t="s">
        <v>81</v>
      </c>
      <c r="Q270" s="114" t="s">
        <v>79</v>
      </c>
      <c r="R270" s="115"/>
      <c r="S270" s="145">
        <v>2372</v>
      </c>
      <c r="T270" s="148" t="s">
        <v>889</v>
      </c>
      <c r="U270" s="147">
        <v>1</v>
      </c>
      <c r="V270" s="121">
        <v>120</v>
      </c>
      <c r="W270" s="121">
        <v>565</v>
      </c>
      <c r="X270" s="114" t="s">
        <v>84</v>
      </c>
      <c r="Y270" s="115" t="s">
        <v>85</v>
      </c>
      <c r="Z270" s="115" t="s">
        <v>86</v>
      </c>
      <c r="AA270" s="113" t="s">
        <v>87</v>
      </c>
      <c r="AB270" s="122">
        <v>415.91</v>
      </c>
      <c r="AC270" s="122">
        <f>IF(C270="DENALI", AB270*0.495, IF(C270="SCHNEIDER ELECTRIC", AB270*1.136, IF(C270="WWT", AB270*1.2, AC270)))+AB270</f>
        <v>621.78545000000008</v>
      </c>
      <c r="AD270" s="129">
        <f>AC270-AB270</f>
        <v>205.87545000000006</v>
      </c>
      <c r="AE270" s="122">
        <v>19807.36</v>
      </c>
      <c r="AF270" s="130">
        <f>AB270/U270</f>
        <v>415.91</v>
      </c>
      <c r="AG270" s="130">
        <f>AB270/V270</f>
        <v>3.4659166666666668</v>
      </c>
      <c r="AH270" s="123">
        <f>AB270/S270</f>
        <v>0.17534148397976393</v>
      </c>
      <c r="AI270" s="124" t="s">
        <v>97</v>
      </c>
      <c r="AJ270" s="125" t="s">
        <v>349</v>
      </c>
      <c r="AK270"/>
      <c r="AL270"/>
      <c r="AM270" s="80"/>
    </row>
    <row r="271" spans="1:39" s="84" customFormat="1" ht="28.5" customHeight="1">
      <c r="A271" s="113" t="s">
        <v>73</v>
      </c>
      <c r="B271" s="114" t="s">
        <v>74</v>
      </c>
      <c r="C271" s="113" t="s">
        <v>35</v>
      </c>
      <c r="D271" s="113" t="s">
        <v>218</v>
      </c>
      <c r="E271" s="115" t="s">
        <v>1162</v>
      </c>
      <c r="F271" s="113" t="s">
        <v>845</v>
      </c>
      <c r="G271" s="116" t="s">
        <v>1163</v>
      </c>
      <c r="H271" s="79">
        <v>46146</v>
      </c>
      <c r="I271" s="114" t="s">
        <v>79</v>
      </c>
      <c r="J271" s="117" t="s">
        <v>1164</v>
      </c>
      <c r="K271" s="118">
        <v>46136</v>
      </c>
      <c r="L271" s="114" t="s">
        <v>81</v>
      </c>
      <c r="M271" s="119">
        <v>46139</v>
      </c>
      <c r="N271" s="128">
        <v>46139</v>
      </c>
      <c r="O271" s="120">
        <f>NETWORKDAYS.INTL(K271,N271,1,$AM$2:$AM$10)-1</f>
        <v>1</v>
      </c>
      <c r="P271" s="114" t="s">
        <v>81</v>
      </c>
      <c r="Q271" s="114" t="s">
        <v>79</v>
      </c>
      <c r="R271" s="115"/>
      <c r="S271" s="145">
        <v>140</v>
      </c>
      <c r="T271" s="148" t="s">
        <v>1165</v>
      </c>
      <c r="U271" s="147">
        <v>1</v>
      </c>
      <c r="V271" s="121">
        <v>120</v>
      </c>
      <c r="W271" s="121">
        <v>560</v>
      </c>
      <c r="X271" s="114" t="s">
        <v>84</v>
      </c>
      <c r="Y271" s="115" t="s">
        <v>85</v>
      </c>
      <c r="Z271" s="115" t="s">
        <v>234</v>
      </c>
      <c r="AA271" s="113" t="s">
        <v>87</v>
      </c>
      <c r="AB271" s="122">
        <v>153.12</v>
      </c>
      <c r="AC271" s="122">
        <f>IF(C271="DENALI", AB271*0.495, IF(C271="SCHNEIDER ELECTRIC", AB271*1.136, IF(C271="WWT", AB271*1.2, AC271)))+AB271</f>
        <v>228.9144</v>
      </c>
      <c r="AD271" s="129">
        <f>AC271-AB271</f>
        <v>75.794399999999996</v>
      </c>
      <c r="AE271" s="122">
        <v>2504.9</v>
      </c>
      <c r="AF271" s="130">
        <f>AB271/U271</f>
        <v>153.12</v>
      </c>
      <c r="AG271" s="130">
        <f>AB271/V271</f>
        <v>1.276</v>
      </c>
      <c r="AH271" s="123">
        <f>AB271/S271</f>
        <v>1.0937142857142856</v>
      </c>
      <c r="AI271" s="124" t="s">
        <v>97</v>
      </c>
      <c r="AJ271" s="125" t="s">
        <v>349</v>
      </c>
      <c r="AK271"/>
      <c r="AL271"/>
      <c r="AM271" s="80"/>
    </row>
    <row r="272" spans="1:39" s="84" customFormat="1" ht="28.5" customHeight="1">
      <c r="A272" s="113" t="s">
        <v>73</v>
      </c>
      <c r="B272" s="114" t="s">
        <v>140</v>
      </c>
      <c r="C272" s="113" t="s">
        <v>36</v>
      </c>
      <c r="D272" s="113" t="s">
        <v>75</v>
      </c>
      <c r="E272" s="115" t="s">
        <v>141</v>
      </c>
      <c r="F272" s="113" t="s">
        <v>142</v>
      </c>
      <c r="G272" s="116" t="s">
        <v>1166</v>
      </c>
      <c r="H272" s="79">
        <v>46146</v>
      </c>
      <c r="I272" s="114" t="s">
        <v>79</v>
      </c>
      <c r="J272" s="117" t="s">
        <v>1167</v>
      </c>
      <c r="K272" s="118">
        <v>46136</v>
      </c>
      <c r="L272" s="114" t="s">
        <v>81</v>
      </c>
      <c r="M272" s="119">
        <v>46140</v>
      </c>
      <c r="N272" s="128">
        <v>46146</v>
      </c>
      <c r="O272" s="120">
        <f>NETWORKDAYS.INTL(K272,N272,1,$AM$2:$AM$10)-1</f>
        <v>6</v>
      </c>
      <c r="P272" s="114" t="s">
        <v>81</v>
      </c>
      <c r="Q272" s="114" t="s">
        <v>79</v>
      </c>
      <c r="R272" s="115"/>
      <c r="S272" s="145">
        <v>728</v>
      </c>
      <c r="T272" s="148" t="s">
        <v>1168</v>
      </c>
      <c r="U272" s="147">
        <v>4</v>
      </c>
      <c r="V272" s="121">
        <v>37</v>
      </c>
      <c r="W272" s="121">
        <v>3896</v>
      </c>
      <c r="X272" s="114" t="s">
        <v>84</v>
      </c>
      <c r="Y272" s="115" t="s">
        <v>85</v>
      </c>
      <c r="Z272" s="115" t="s">
        <v>86</v>
      </c>
      <c r="AA272" s="113" t="s">
        <v>87</v>
      </c>
      <c r="AB272" s="122">
        <v>699.15</v>
      </c>
      <c r="AC272" s="122">
        <f>IF(C272="DENALI", AB272*0.495, IF(C272="SCHNEIDER ELECTRIC", AB272*1.136, IF(C272="WWT", AB272*1.2, AC272)))+AB272</f>
        <v>1493.3843999999999</v>
      </c>
      <c r="AD272" s="129">
        <f>AC272-AB272</f>
        <v>794.23439999999994</v>
      </c>
      <c r="AE272" s="122">
        <v>40880.5</v>
      </c>
      <c r="AF272" s="130">
        <f>AB272/U272</f>
        <v>174.78749999999999</v>
      </c>
      <c r="AG272" s="130">
        <f>AB272/V272</f>
        <v>18.895945945945947</v>
      </c>
      <c r="AH272" s="123">
        <f>AB272/S272</f>
        <v>0.96037087912087904</v>
      </c>
      <c r="AI272" s="124" t="s">
        <v>183</v>
      </c>
      <c r="AJ272" s="125" t="s">
        <v>98</v>
      </c>
      <c r="AK272"/>
      <c r="AL272"/>
      <c r="AM272" s="80"/>
    </row>
    <row r="273" spans="1:39" s="84" customFormat="1" ht="28.5" customHeight="1">
      <c r="A273" s="113" t="s">
        <v>73</v>
      </c>
      <c r="B273" s="114" t="s">
        <v>74</v>
      </c>
      <c r="C273" s="113" t="s">
        <v>35</v>
      </c>
      <c r="D273" s="113" t="s">
        <v>99</v>
      </c>
      <c r="E273" s="115" t="s">
        <v>1169</v>
      </c>
      <c r="F273" s="113" t="s">
        <v>99</v>
      </c>
      <c r="G273" s="116" t="s">
        <v>1170</v>
      </c>
      <c r="H273" s="79">
        <v>46146</v>
      </c>
      <c r="I273" s="114" t="s">
        <v>79</v>
      </c>
      <c r="J273" s="117" t="s">
        <v>1171</v>
      </c>
      <c r="K273" s="118">
        <v>46136</v>
      </c>
      <c r="L273" s="114" t="s">
        <v>81</v>
      </c>
      <c r="M273" s="119">
        <v>46139</v>
      </c>
      <c r="N273" s="128">
        <v>46139</v>
      </c>
      <c r="O273" s="120">
        <f>NETWORKDAYS.INTL(K273,N273,1,$AM$2:$AM$10)-1</f>
        <v>1</v>
      </c>
      <c r="P273" s="114" t="s">
        <v>81</v>
      </c>
      <c r="Q273" s="114" t="s">
        <v>79</v>
      </c>
      <c r="R273" s="115"/>
      <c r="S273" s="145">
        <v>17</v>
      </c>
      <c r="T273" s="148" t="s">
        <v>1172</v>
      </c>
      <c r="U273" s="147">
        <v>1</v>
      </c>
      <c r="V273" s="121">
        <v>27</v>
      </c>
      <c r="W273" s="121">
        <v>855</v>
      </c>
      <c r="X273" s="114" t="s">
        <v>84</v>
      </c>
      <c r="Y273" s="115" t="s">
        <v>85</v>
      </c>
      <c r="Z273" s="115" t="s">
        <v>1173</v>
      </c>
      <c r="AA273" s="113" t="s">
        <v>87</v>
      </c>
      <c r="AB273" s="122">
        <v>297.33</v>
      </c>
      <c r="AC273" s="122">
        <f>IF(C273="DENALI", AB273*0.495, IF(C273="SCHNEIDER ELECTRIC", AB273*1.136, IF(C273="WWT", AB273*1.2, AC273)))+AB273</f>
        <v>444.50834999999995</v>
      </c>
      <c r="AD273" s="129">
        <f>AC273-AB273</f>
        <v>147.17834999999997</v>
      </c>
      <c r="AE273" s="122">
        <v>98184.77</v>
      </c>
      <c r="AF273" s="130">
        <f>AB273/U273</f>
        <v>297.33</v>
      </c>
      <c r="AG273" s="130">
        <f>AB273/V273</f>
        <v>11.012222222222222</v>
      </c>
      <c r="AH273" s="123">
        <f>AB273/S273</f>
        <v>17.489999999999998</v>
      </c>
      <c r="AI273" s="124" t="s">
        <v>147</v>
      </c>
      <c r="AJ273" s="125" t="s">
        <v>343</v>
      </c>
      <c r="AK273"/>
      <c r="AL273"/>
      <c r="AM273" s="80"/>
    </row>
    <row r="274" spans="1:39" s="84" customFormat="1" ht="28.5" customHeight="1">
      <c r="A274" s="113" t="s">
        <v>73</v>
      </c>
      <c r="B274" s="114" t="s">
        <v>74</v>
      </c>
      <c r="C274" s="113" t="s">
        <v>36</v>
      </c>
      <c r="D274" s="113" t="s">
        <v>90</v>
      </c>
      <c r="E274" s="115" t="s">
        <v>1174</v>
      </c>
      <c r="F274" s="113" t="s">
        <v>92</v>
      </c>
      <c r="G274" s="116" t="s">
        <v>1175</v>
      </c>
      <c r="H274" s="79">
        <v>46146</v>
      </c>
      <c r="I274" s="114" t="s">
        <v>79</v>
      </c>
      <c r="J274" s="117" t="s">
        <v>1176</v>
      </c>
      <c r="K274" s="118">
        <v>46136</v>
      </c>
      <c r="L274" s="114" t="s">
        <v>81</v>
      </c>
      <c r="M274" s="119">
        <v>46142</v>
      </c>
      <c r="N274" s="128">
        <v>46148</v>
      </c>
      <c r="O274" s="120">
        <f>NETWORKDAYS.INTL(K274,N274,1,$AM$2:$AM$10)-1</f>
        <v>8</v>
      </c>
      <c r="P274" s="114" t="s">
        <v>81</v>
      </c>
      <c r="Q274" s="114" t="s">
        <v>79</v>
      </c>
      <c r="R274" s="115" t="s">
        <v>1177</v>
      </c>
      <c r="S274" s="145">
        <v>1494</v>
      </c>
      <c r="T274" s="148" t="s">
        <v>1178</v>
      </c>
      <c r="U274" s="147">
        <v>1</v>
      </c>
      <c r="V274" s="121">
        <v>3</v>
      </c>
      <c r="W274" s="121">
        <v>271</v>
      </c>
      <c r="X274" s="114" t="s">
        <v>84</v>
      </c>
      <c r="Y274" s="115" t="s">
        <v>85</v>
      </c>
      <c r="Z274" s="115" t="s">
        <v>86</v>
      </c>
      <c r="AA274" s="113" t="s">
        <v>87</v>
      </c>
      <c r="AB274" s="122">
        <v>740.17</v>
      </c>
      <c r="AC274" s="122">
        <f>IF(C274="DENALI", AB274*0.495, IF(C274="SCHNEIDER ELECTRIC", AB274*1.136, IF(C274="WWT", AB274*1.2, AC274)))+AB274</f>
        <v>1581.0031199999999</v>
      </c>
      <c r="AD274" s="129">
        <f>AC274-AB274</f>
        <v>840.83311999999989</v>
      </c>
      <c r="AE274" s="122">
        <v>1489.8</v>
      </c>
      <c r="AF274" s="130">
        <f>AB274/U274</f>
        <v>740.17</v>
      </c>
      <c r="AG274" s="130">
        <f>AB274/V274</f>
        <v>246.72333333333333</v>
      </c>
      <c r="AH274" s="123">
        <f>AB274/S274</f>
        <v>0.49542838018741631</v>
      </c>
      <c r="AI274" s="124" t="s">
        <v>115</v>
      </c>
      <c r="AJ274" s="125" t="s">
        <v>107</v>
      </c>
      <c r="AK274"/>
      <c r="AL274"/>
      <c r="AM274" s="80"/>
    </row>
    <row r="275" spans="1:39" s="84" customFormat="1" ht="28.5" customHeight="1">
      <c r="A275" s="113" t="s">
        <v>73</v>
      </c>
      <c r="B275" s="114" t="s">
        <v>74</v>
      </c>
      <c r="C275" s="113" t="s">
        <v>35</v>
      </c>
      <c r="D275" s="113" t="s">
        <v>218</v>
      </c>
      <c r="E275" s="115" t="s">
        <v>657</v>
      </c>
      <c r="F275" s="113" t="s">
        <v>644</v>
      </c>
      <c r="G275" s="116">
        <v>22882969</v>
      </c>
      <c r="H275" s="79">
        <v>46147</v>
      </c>
      <c r="I275" s="114" t="s">
        <v>79</v>
      </c>
      <c r="J275" s="117" t="s">
        <v>1179</v>
      </c>
      <c r="K275" s="118">
        <v>46140</v>
      </c>
      <c r="L275" s="114" t="s">
        <v>81</v>
      </c>
      <c r="M275" s="119">
        <v>46140</v>
      </c>
      <c r="N275" s="128">
        <v>46140</v>
      </c>
      <c r="O275" s="120">
        <f>NETWORKDAYS.INTL(K275,N275,1,$AM$2:$AM$10)-1</f>
        <v>0</v>
      </c>
      <c r="P275" s="114" t="s">
        <v>81</v>
      </c>
      <c r="Q275" s="114" t="s">
        <v>79</v>
      </c>
      <c r="R275" s="115"/>
      <c r="S275" s="145">
        <v>378</v>
      </c>
      <c r="T275" s="148" t="s">
        <v>1180</v>
      </c>
      <c r="U275" s="147">
        <v>19</v>
      </c>
      <c r="V275" s="121">
        <v>600</v>
      </c>
      <c r="W275" s="121">
        <v>11635</v>
      </c>
      <c r="X275" s="114" t="s">
        <v>113</v>
      </c>
      <c r="Y275" s="115" t="s">
        <v>85</v>
      </c>
      <c r="Z275" s="115" t="s">
        <v>1181</v>
      </c>
      <c r="AA275" s="113" t="s">
        <v>87</v>
      </c>
      <c r="AB275" s="122">
        <v>1733.9</v>
      </c>
      <c r="AC275" s="122">
        <f>IF(C275="DENALI", AB275*0.495, IF(C275="SCHNEIDER ELECTRIC", AB275*1.136, IF(C275="WWT", AB275*1.2, AC275)))+AB275</f>
        <v>2592.1805000000004</v>
      </c>
      <c r="AD275" s="129">
        <f>AC275-AB275</f>
        <v>858.2805000000003</v>
      </c>
      <c r="AE275" s="122">
        <v>439864</v>
      </c>
      <c r="AF275" s="130">
        <f>AB275/U275</f>
        <v>91.257894736842104</v>
      </c>
      <c r="AG275" s="130">
        <f>AB275/V275</f>
        <v>2.8898333333333337</v>
      </c>
      <c r="AH275" s="123">
        <f>AB275/S275</f>
        <v>4.587037037037037</v>
      </c>
      <c r="AI275" s="124" t="s">
        <v>97</v>
      </c>
      <c r="AJ275" s="125" t="s">
        <v>349</v>
      </c>
      <c r="AK275"/>
      <c r="AL275"/>
      <c r="AM275" s="80"/>
    </row>
    <row r="276" spans="1:39" s="84" customFormat="1" ht="28.5" customHeight="1">
      <c r="A276" s="113" t="s">
        <v>73</v>
      </c>
      <c r="B276" s="114" t="s">
        <v>74</v>
      </c>
      <c r="C276" s="113" t="s">
        <v>36</v>
      </c>
      <c r="D276" s="113" t="s">
        <v>90</v>
      </c>
      <c r="E276" s="115" t="s">
        <v>1182</v>
      </c>
      <c r="F276" s="113" t="s">
        <v>92</v>
      </c>
      <c r="G276" s="116" t="s">
        <v>1183</v>
      </c>
      <c r="H276" s="79">
        <v>46147</v>
      </c>
      <c r="I276" s="114" t="s">
        <v>79</v>
      </c>
      <c r="J276" s="117" t="s">
        <v>1184</v>
      </c>
      <c r="K276" s="118">
        <v>46140</v>
      </c>
      <c r="L276" s="114" t="s">
        <v>81</v>
      </c>
      <c r="M276" s="119">
        <v>46142</v>
      </c>
      <c r="N276" s="128">
        <v>46143</v>
      </c>
      <c r="O276" s="120">
        <f>NETWORKDAYS.INTL(K276,N276,1,$AM$2:$AM$10)-1</f>
        <v>3</v>
      </c>
      <c r="P276" s="114" t="s">
        <v>81</v>
      </c>
      <c r="Q276" s="114" t="s">
        <v>79</v>
      </c>
      <c r="R276" s="115"/>
      <c r="S276" s="145">
        <v>775</v>
      </c>
      <c r="T276" s="148" t="s">
        <v>1185</v>
      </c>
      <c r="U276" s="147">
        <v>1</v>
      </c>
      <c r="V276" s="121">
        <v>9</v>
      </c>
      <c r="W276" s="121">
        <v>733</v>
      </c>
      <c r="X276" s="114" t="s">
        <v>84</v>
      </c>
      <c r="Y276" s="115" t="s">
        <v>85</v>
      </c>
      <c r="Z276" s="115" t="s">
        <v>86</v>
      </c>
      <c r="AA276" s="113" t="s">
        <v>87</v>
      </c>
      <c r="AB276" s="122">
        <v>302.36</v>
      </c>
      <c r="AC276" s="122">
        <f>IF(C276="DENALI", AB276*0.495, IF(C276="SCHNEIDER ELECTRIC", AB276*1.136, IF(C276="WWT", AB276*1.2, AC276)))+AB276</f>
        <v>645.84096</v>
      </c>
      <c r="AD276" s="129">
        <f>AC276-AB276</f>
        <v>343.48095999999998</v>
      </c>
      <c r="AE276" s="122">
        <v>1489.8</v>
      </c>
      <c r="AF276" s="130">
        <f>AB276/U276</f>
        <v>302.36</v>
      </c>
      <c r="AG276" s="130">
        <f>AB276/V276</f>
        <v>33.595555555555556</v>
      </c>
      <c r="AH276" s="123">
        <f>AB276/S276</f>
        <v>0.39014193548387099</v>
      </c>
      <c r="AI276" s="124" t="s">
        <v>97</v>
      </c>
      <c r="AJ276" s="125" t="s">
        <v>349</v>
      </c>
      <c r="AK276"/>
      <c r="AL276"/>
      <c r="AM276" s="80"/>
    </row>
    <row r="277" spans="1:39" s="84" customFormat="1" ht="28.5" customHeight="1">
      <c r="A277" s="113" t="s">
        <v>73</v>
      </c>
      <c r="B277" s="114" t="s">
        <v>74</v>
      </c>
      <c r="C277" s="113" t="s">
        <v>35</v>
      </c>
      <c r="D277" s="113" t="s">
        <v>90</v>
      </c>
      <c r="E277" s="115" t="s">
        <v>1186</v>
      </c>
      <c r="F277" s="113" t="s">
        <v>99</v>
      </c>
      <c r="G277" s="116" t="s">
        <v>1187</v>
      </c>
      <c r="H277" s="79">
        <v>46147</v>
      </c>
      <c r="I277" s="114" t="s">
        <v>79</v>
      </c>
      <c r="J277" s="117" t="s">
        <v>1188</v>
      </c>
      <c r="K277" s="118">
        <v>46140</v>
      </c>
      <c r="L277" s="114" t="s">
        <v>79</v>
      </c>
      <c r="M277" s="119">
        <v>46142</v>
      </c>
      <c r="N277" s="128">
        <v>46148</v>
      </c>
      <c r="O277" s="120">
        <f>NETWORKDAYS.INTL(K277,N277,1,$AM$2:$AM$10)-1</f>
        <v>6</v>
      </c>
      <c r="P277" s="114" t="s">
        <v>81</v>
      </c>
      <c r="Q277" s="114" t="s">
        <v>79</v>
      </c>
      <c r="R277" s="115"/>
      <c r="S277" s="145">
        <v>1156</v>
      </c>
      <c r="T277" s="148" t="s">
        <v>1189</v>
      </c>
      <c r="U277" s="147">
        <v>1</v>
      </c>
      <c r="V277" s="121">
        <v>6</v>
      </c>
      <c r="W277" s="121">
        <v>272</v>
      </c>
      <c r="X277" s="114" t="s">
        <v>84</v>
      </c>
      <c r="Y277" s="115" t="s">
        <v>85</v>
      </c>
      <c r="Z277" s="115" t="s">
        <v>86</v>
      </c>
      <c r="AA277" s="113" t="s">
        <v>87</v>
      </c>
      <c r="AB277" s="122">
        <v>327.05</v>
      </c>
      <c r="AC277" s="122">
        <f>IF(C277="DENALI", AB277*0.495, IF(C277="SCHNEIDER ELECTRIC", AB277*1.136, IF(C277="WWT", AB277*1.2, AC277)))+AB277</f>
        <v>488.93975</v>
      </c>
      <c r="AD277" s="129">
        <f>AC277-AB277</f>
        <v>161.88974999999999</v>
      </c>
      <c r="AE277" s="122">
        <v>3100.38</v>
      </c>
      <c r="AF277" s="130">
        <f>AB277/U277</f>
        <v>327.05</v>
      </c>
      <c r="AG277" s="130">
        <f>AB277/V277</f>
        <v>54.508333333333333</v>
      </c>
      <c r="AH277" s="123">
        <f>AB277/S277</f>
        <v>0.2829152249134948</v>
      </c>
      <c r="AI277" s="124" t="s">
        <v>155</v>
      </c>
      <c r="AJ277" s="125" t="s">
        <v>98</v>
      </c>
      <c r="AK277"/>
      <c r="AL277"/>
      <c r="AM277" s="80"/>
    </row>
    <row r="278" spans="1:39" s="84" customFormat="1" ht="28.5" customHeight="1">
      <c r="A278" s="113" t="s">
        <v>73</v>
      </c>
      <c r="B278" s="114" t="s">
        <v>74</v>
      </c>
      <c r="C278" s="113" t="s">
        <v>35</v>
      </c>
      <c r="D278" s="113" t="s">
        <v>90</v>
      </c>
      <c r="E278" s="115" t="s">
        <v>1190</v>
      </c>
      <c r="F278" s="113" t="s">
        <v>90</v>
      </c>
      <c r="G278" s="116">
        <v>22892972</v>
      </c>
      <c r="H278" s="79">
        <v>46147</v>
      </c>
      <c r="I278" s="114" t="s">
        <v>79</v>
      </c>
      <c r="J278" s="117" t="s">
        <v>1191</v>
      </c>
      <c r="K278" s="118">
        <v>46140</v>
      </c>
      <c r="L278" s="114" t="s">
        <v>81</v>
      </c>
      <c r="M278" s="119">
        <v>46142</v>
      </c>
      <c r="N278" s="128">
        <v>46142</v>
      </c>
      <c r="O278" s="120">
        <f>NETWORKDAYS.INTL(K278,N278,1,$AM$2:$AM$10)-1</f>
        <v>2</v>
      </c>
      <c r="P278" s="114" t="s">
        <v>81</v>
      </c>
      <c r="Q278" s="114" t="s">
        <v>79</v>
      </c>
      <c r="R278" s="115"/>
      <c r="S278" s="145">
        <v>973</v>
      </c>
      <c r="T278" s="148" t="s">
        <v>1192</v>
      </c>
      <c r="U278" s="147">
        <v>24</v>
      </c>
      <c r="V278" s="121">
        <v>24</v>
      </c>
      <c r="W278" s="121">
        <v>17280</v>
      </c>
      <c r="X278" s="114" t="s">
        <v>113</v>
      </c>
      <c r="Y278" s="115" t="s">
        <v>85</v>
      </c>
      <c r="Z278" s="115" t="s">
        <v>1193</v>
      </c>
      <c r="AA278" s="113" t="s">
        <v>87</v>
      </c>
      <c r="AB278" s="122">
        <v>1696</v>
      </c>
      <c r="AC278" s="122">
        <f>IF(C278="DENALI", AB278*0.495, IF(C278="SCHNEIDER ELECTRIC", AB278*1.136, IF(C278="WWT", AB278*1.2, AC278)))+AB278</f>
        <v>2535.52</v>
      </c>
      <c r="AD278" s="129">
        <f>AC278-AB278</f>
        <v>839.52</v>
      </c>
      <c r="AE278" s="122">
        <v>222413.28</v>
      </c>
      <c r="AF278" s="130">
        <f>AB278/U278</f>
        <v>70.666666666666671</v>
      </c>
      <c r="AG278" s="130">
        <f>AB278/V278</f>
        <v>70.666666666666671</v>
      </c>
      <c r="AH278" s="123">
        <f>AB278/S278</f>
        <v>1.7430626927029804</v>
      </c>
      <c r="AI278" s="124" t="s">
        <v>97</v>
      </c>
      <c r="AJ278" s="125" t="s">
        <v>349</v>
      </c>
      <c r="AK278"/>
      <c r="AL278"/>
      <c r="AM278" s="80"/>
    </row>
    <row r="279" spans="1:39" s="84" customFormat="1" ht="28.5" customHeight="1">
      <c r="A279" s="113" t="s">
        <v>73</v>
      </c>
      <c r="B279" s="114" t="s">
        <v>74</v>
      </c>
      <c r="C279" s="113" t="s">
        <v>35</v>
      </c>
      <c r="D279" s="113" t="s">
        <v>99</v>
      </c>
      <c r="E279" s="115" t="s">
        <v>1194</v>
      </c>
      <c r="F279" s="113" t="s">
        <v>1103</v>
      </c>
      <c r="G279" s="116">
        <v>22892935</v>
      </c>
      <c r="H279" s="79">
        <v>46147</v>
      </c>
      <c r="I279" s="114" t="s">
        <v>79</v>
      </c>
      <c r="J279" s="117" t="s">
        <v>1195</v>
      </c>
      <c r="K279" s="118">
        <v>46140</v>
      </c>
      <c r="L279" s="114" t="s">
        <v>81</v>
      </c>
      <c r="M279" s="119">
        <v>46143</v>
      </c>
      <c r="N279" s="128">
        <v>46143</v>
      </c>
      <c r="O279" s="120">
        <f>NETWORKDAYS.INTL(K279,N279,1,$AM$2:$AM$10)-1</f>
        <v>3</v>
      </c>
      <c r="P279" s="114" t="s">
        <v>81</v>
      </c>
      <c r="Q279" s="114" t="s">
        <v>79</v>
      </c>
      <c r="R279" s="115"/>
      <c r="S279" s="145">
        <v>1882</v>
      </c>
      <c r="T279" s="148" t="s">
        <v>1196</v>
      </c>
      <c r="U279" s="147">
        <v>24</v>
      </c>
      <c r="V279" s="121">
        <v>24</v>
      </c>
      <c r="W279" s="121">
        <v>20400</v>
      </c>
      <c r="X279" s="114" t="s">
        <v>113</v>
      </c>
      <c r="Y279" s="115" t="s">
        <v>85</v>
      </c>
      <c r="Z279" s="115" t="s">
        <v>1197</v>
      </c>
      <c r="AA279" s="113" t="s">
        <v>87</v>
      </c>
      <c r="AB279" s="122">
        <v>5160</v>
      </c>
      <c r="AC279" s="122">
        <f>IF(C279="DENALI", AB279*0.495, IF(C279="SCHNEIDER ELECTRIC", AB279*1.136, IF(C279="WWT", AB279*1.2, AC279)))+AB279</f>
        <v>7714.2</v>
      </c>
      <c r="AD279" s="129">
        <f>AC279-AB279</f>
        <v>2554.1999999999998</v>
      </c>
      <c r="AE279" s="122">
        <v>370762.8</v>
      </c>
      <c r="AF279" s="130">
        <f>AB279/U279</f>
        <v>215</v>
      </c>
      <c r="AG279" s="130">
        <f>AB279/V279</f>
        <v>215</v>
      </c>
      <c r="AH279" s="123">
        <f>AB279/S279</f>
        <v>2.7417640807651433</v>
      </c>
      <c r="AI279" s="124" t="s">
        <v>97</v>
      </c>
      <c r="AJ279" s="125" t="s">
        <v>349</v>
      </c>
      <c r="AK279"/>
      <c r="AL279"/>
      <c r="AM279" s="80"/>
    </row>
    <row r="280" spans="1:39" s="84" customFormat="1" ht="28.5" customHeight="1">
      <c r="A280" s="113" t="s">
        <v>73</v>
      </c>
      <c r="B280" s="114" t="s">
        <v>140</v>
      </c>
      <c r="C280" s="113" t="s">
        <v>36</v>
      </c>
      <c r="D280" s="113" t="s">
        <v>75</v>
      </c>
      <c r="E280" s="115" t="s">
        <v>141</v>
      </c>
      <c r="F280" s="113" t="s">
        <v>142</v>
      </c>
      <c r="G280" s="116" t="s">
        <v>1198</v>
      </c>
      <c r="H280" s="79">
        <v>46147</v>
      </c>
      <c r="I280" s="114" t="s">
        <v>79</v>
      </c>
      <c r="J280" s="117" t="s">
        <v>1199</v>
      </c>
      <c r="K280" s="118">
        <v>46141</v>
      </c>
      <c r="L280" s="114" t="s">
        <v>81</v>
      </c>
      <c r="M280" s="119">
        <v>46143</v>
      </c>
      <c r="N280" s="128">
        <v>46143</v>
      </c>
      <c r="O280" s="120">
        <f>NETWORKDAYS.INTL(K280,N280,1,$AM$2:$AM$10)-1</f>
        <v>2</v>
      </c>
      <c r="P280" s="114" t="s">
        <v>81</v>
      </c>
      <c r="Q280" s="114" t="s">
        <v>79</v>
      </c>
      <c r="R280" s="115"/>
      <c r="S280" s="145">
        <v>721</v>
      </c>
      <c r="T280" s="148" t="s">
        <v>1200</v>
      </c>
      <c r="U280" s="147">
        <v>4</v>
      </c>
      <c r="V280" s="121">
        <v>6</v>
      </c>
      <c r="W280" s="121">
        <v>1268</v>
      </c>
      <c r="X280" s="114" t="s">
        <v>84</v>
      </c>
      <c r="Y280" s="115" t="s">
        <v>85</v>
      </c>
      <c r="Z280" s="115" t="s">
        <v>86</v>
      </c>
      <c r="AA280" s="113" t="s">
        <v>87</v>
      </c>
      <c r="AB280" s="122">
        <v>795.92</v>
      </c>
      <c r="AC280" s="122">
        <f>IF(C280="DENALI", AB280*0.495, IF(C280="SCHNEIDER ELECTRIC", AB280*1.136, IF(C280="WWT", AB280*1.2, AC280)))+AB280</f>
        <v>1700.0851199999997</v>
      </c>
      <c r="AD280" s="129">
        <f>AC280-AB280</f>
        <v>904.16511999999977</v>
      </c>
      <c r="AE280" s="122">
        <v>9804.7800000000007</v>
      </c>
      <c r="AF280" s="130">
        <f>AB280/U280</f>
        <v>198.98</v>
      </c>
      <c r="AG280" s="130">
        <f>AB280/V280</f>
        <v>132.65333333333334</v>
      </c>
      <c r="AH280" s="123">
        <f>AB280/S280</f>
        <v>1.1039112343966713</v>
      </c>
      <c r="AI280" s="124" t="s">
        <v>147</v>
      </c>
      <c r="AJ280" s="125" t="s">
        <v>98</v>
      </c>
      <c r="AK280"/>
      <c r="AL280"/>
      <c r="AM280" s="80"/>
    </row>
    <row r="281" spans="1:39" s="84" customFormat="1" ht="28.5" customHeight="1">
      <c r="A281" s="113" t="s">
        <v>73</v>
      </c>
      <c r="B281" s="114" t="s">
        <v>74</v>
      </c>
      <c r="C281" s="113" t="s">
        <v>36</v>
      </c>
      <c r="D281" s="113" t="s">
        <v>90</v>
      </c>
      <c r="E281" s="115" t="s">
        <v>1201</v>
      </c>
      <c r="F281" s="113" t="s">
        <v>1020</v>
      </c>
      <c r="G281" s="116" t="s">
        <v>1202</v>
      </c>
      <c r="H281" s="79">
        <v>46147</v>
      </c>
      <c r="I281" s="114" t="s">
        <v>79</v>
      </c>
      <c r="J281" s="117" t="s">
        <v>1203</v>
      </c>
      <c r="K281" s="118">
        <v>46140</v>
      </c>
      <c r="L281" s="114" t="s">
        <v>81</v>
      </c>
      <c r="M281" s="119">
        <v>46146</v>
      </c>
      <c r="N281" s="128">
        <v>46143</v>
      </c>
      <c r="O281" s="120">
        <f>NETWORKDAYS.INTL(K281,N281,1,$AM$2:$AM$10)-1</f>
        <v>3</v>
      </c>
      <c r="P281" s="114" t="s">
        <v>81</v>
      </c>
      <c r="Q281" s="114" t="s">
        <v>79</v>
      </c>
      <c r="R281" s="115"/>
      <c r="S281" s="145">
        <v>1385</v>
      </c>
      <c r="T281" s="148" t="s">
        <v>1204</v>
      </c>
      <c r="U281" s="147">
        <v>1</v>
      </c>
      <c r="V281" s="121">
        <v>3</v>
      </c>
      <c r="W281" s="121">
        <v>350</v>
      </c>
      <c r="X281" s="114" t="s">
        <v>84</v>
      </c>
      <c r="Y281" s="115" t="s">
        <v>85</v>
      </c>
      <c r="Z281" s="115" t="s">
        <v>86</v>
      </c>
      <c r="AA281" s="113" t="s">
        <v>87</v>
      </c>
      <c r="AB281" s="122">
        <v>287.54000000000002</v>
      </c>
      <c r="AC281" s="122">
        <f>IF(C281="DENALI", AB281*0.495, IF(C281="SCHNEIDER ELECTRIC", AB281*1.136, IF(C281="WWT", AB281*1.2, AC281)))+AB281</f>
        <v>614.18543999999997</v>
      </c>
      <c r="AD281" s="129">
        <f>AC281-AB281</f>
        <v>326.64543999999995</v>
      </c>
      <c r="AE281" s="122">
        <v>8246.9500000000007</v>
      </c>
      <c r="AF281" s="130">
        <f>AB281/U281</f>
        <v>287.54000000000002</v>
      </c>
      <c r="AG281" s="130">
        <f>AB281/V281</f>
        <v>95.846666666666678</v>
      </c>
      <c r="AH281" s="123">
        <f>AB281/S281</f>
        <v>0.20761010830324911</v>
      </c>
      <c r="AI281" s="124" t="s">
        <v>183</v>
      </c>
      <c r="AJ281" s="125" t="s">
        <v>379</v>
      </c>
      <c r="AK281"/>
      <c r="AL281"/>
      <c r="AM281" s="80"/>
    </row>
    <row r="282" spans="1:39" s="84" customFormat="1" ht="28.5" customHeight="1">
      <c r="A282" s="113" t="s">
        <v>73</v>
      </c>
      <c r="B282" s="114" t="s">
        <v>74</v>
      </c>
      <c r="C282" s="113" t="s">
        <v>35</v>
      </c>
      <c r="D282" s="113" t="s">
        <v>218</v>
      </c>
      <c r="E282" s="115" t="s">
        <v>657</v>
      </c>
      <c r="F282" s="113" t="s">
        <v>644</v>
      </c>
      <c r="G282" s="116" t="s">
        <v>1205</v>
      </c>
      <c r="H282" s="79">
        <v>46147</v>
      </c>
      <c r="I282" s="114" t="s">
        <v>79</v>
      </c>
      <c r="J282" s="117" t="s">
        <v>1206</v>
      </c>
      <c r="K282" s="118">
        <v>46141</v>
      </c>
      <c r="L282" s="114" t="s">
        <v>81</v>
      </c>
      <c r="M282" s="119">
        <v>46142</v>
      </c>
      <c r="N282" s="128">
        <v>46142</v>
      </c>
      <c r="O282" s="120">
        <f>NETWORKDAYS.INTL(K282,N282,1,$AM$2:$AM$10)-1</f>
        <v>1</v>
      </c>
      <c r="P282" s="114" t="s">
        <v>81</v>
      </c>
      <c r="Q282" s="114" t="s">
        <v>79</v>
      </c>
      <c r="R282" s="115"/>
      <c r="S282" s="145">
        <v>317</v>
      </c>
      <c r="T282" s="148" t="s">
        <v>1207</v>
      </c>
      <c r="U282" s="147">
        <v>1</v>
      </c>
      <c r="V282" s="121">
        <v>175</v>
      </c>
      <c r="W282" s="121">
        <v>620</v>
      </c>
      <c r="X282" s="114" t="s">
        <v>84</v>
      </c>
      <c r="Y282" s="115" t="s">
        <v>85</v>
      </c>
      <c r="Z282" s="115" t="s">
        <v>1208</v>
      </c>
      <c r="AA282" s="113" t="s">
        <v>87</v>
      </c>
      <c r="AB282" s="122">
        <v>196.22</v>
      </c>
      <c r="AC282" s="122">
        <f>IF(C282="DENALI", AB282*0.495, IF(C282="SCHNEIDER ELECTRIC", AB282*1.136, IF(C282="WWT", AB282*1.2, AC282)))+AB282</f>
        <v>293.34890000000001</v>
      </c>
      <c r="AD282" s="129">
        <f>AC282-AB282</f>
        <v>97.128900000000016</v>
      </c>
      <c r="AE282" s="122">
        <v>196.22</v>
      </c>
      <c r="AF282" s="130">
        <f>AB282/U282</f>
        <v>196.22</v>
      </c>
      <c r="AG282" s="130">
        <f>AB282/V282</f>
        <v>1.121257142857143</v>
      </c>
      <c r="AH282" s="123">
        <f>AB282/S282</f>
        <v>0.61899053627760248</v>
      </c>
      <c r="AI282" s="124" t="s">
        <v>97</v>
      </c>
      <c r="AJ282" s="125" t="s">
        <v>349</v>
      </c>
      <c r="AK282"/>
      <c r="AL282"/>
      <c r="AM282" s="80"/>
    </row>
    <row r="283" spans="1:39" s="84" customFormat="1" ht="28.5" customHeight="1">
      <c r="A283" s="113" t="s">
        <v>73</v>
      </c>
      <c r="B283" s="114" t="s">
        <v>74</v>
      </c>
      <c r="C283" s="113" t="s">
        <v>35</v>
      </c>
      <c r="D283" s="113" t="s">
        <v>218</v>
      </c>
      <c r="E283" s="115" t="s">
        <v>395</v>
      </c>
      <c r="F283" s="113" t="s">
        <v>396</v>
      </c>
      <c r="G283" s="116" t="s">
        <v>1209</v>
      </c>
      <c r="H283" s="79">
        <v>46147</v>
      </c>
      <c r="I283" s="114" t="s">
        <v>79</v>
      </c>
      <c r="J283" s="117" t="s">
        <v>1210</v>
      </c>
      <c r="K283" s="118">
        <v>46141</v>
      </c>
      <c r="L283" s="114" t="s">
        <v>81</v>
      </c>
      <c r="M283" s="119">
        <v>46143</v>
      </c>
      <c r="N283" s="128">
        <v>46143</v>
      </c>
      <c r="O283" s="120">
        <f>NETWORKDAYS.INTL(K283,N283,1,$AM$2:$AM$10)-1</f>
        <v>2</v>
      </c>
      <c r="P283" s="114" t="s">
        <v>81</v>
      </c>
      <c r="Q283" s="114" t="s">
        <v>79</v>
      </c>
      <c r="R283" s="115"/>
      <c r="S283" s="145">
        <v>652</v>
      </c>
      <c r="T283" s="148" t="s">
        <v>1211</v>
      </c>
      <c r="U283" s="147">
        <v>1</v>
      </c>
      <c r="V283" s="121">
        <v>179</v>
      </c>
      <c r="W283" s="121">
        <v>615</v>
      </c>
      <c r="X283" s="114" t="s">
        <v>84</v>
      </c>
      <c r="Y283" s="115" t="s">
        <v>85</v>
      </c>
      <c r="Z283" s="115" t="s">
        <v>770</v>
      </c>
      <c r="AA283" s="113" t="s">
        <v>87</v>
      </c>
      <c r="AB283" s="122">
        <v>229.53</v>
      </c>
      <c r="AC283" s="122">
        <f>IF(C283="DENALI", AB283*0.495, IF(C283="SCHNEIDER ELECTRIC", AB283*1.136, IF(C283="WWT", AB283*1.2, AC283)))+AB283</f>
        <v>343.14735000000002</v>
      </c>
      <c r="AD283" s="129">
        <f>AC283-AB283</f>
        <v>113.61735000000002</v>
      </c>
      <c r="AE283" s="122">
        <v>168513.81</v>
      </c>
      <c r="AF283" s="130">
        <f>AB283/U283</f>
        <v>229.53</v>
      </c>
      <c r="AG283" s="130">
        <f>AB283/V283</f>
        <v>1.282290502793296</v>
      </c>
      <c r="AH283" s="123">
        <f>AB283/S283</f>
        <v>0.35203987730061348</v>
      </c>
      <c r="AI283" s="124" t="s">
        <v>97</v>
      </c>
      <c r="AJ283" s="125" t="s">
        <v>349</v>
      </c>
      <c r="AK283"/>
      <c r="AL283"/>
      <c r="AM283" s="80"/>
    </row>
    <row r="284" spans="1:39" s="84" customFormat="1" ht="28.5" customHeight="1">
      <c r="A284" s="113" t="s">
        <v>73</v>
      </c>
      <c r="B284" s="114" t="s">
        <v>74</v>
      </c>
      <c r="C284" s="113" t="s">
        <v>35</v>
      </c>
      <c r="D284" s="113" t="s">
        <v>218</v>
      </c>
      <c r="E284" s="115" t="s">
        <v>141</v>
      </c>
      <c r="F284" s="113" t="s">
        <v>142</v>
      </c>
      <c r="G284" s="116" t="s">
        <v>1212</v>
      </c>
      <c r="H284" s="79">
        <v>46147</v>
      </c>
      <c r="I284" s="114" t="s">
        <v>79</v>
      </c>
      <c r="J284" s="117" t="s">
        <v>1213</v>
      </c>
      <c r="K284" s="118">
        <v>46141</v>
      </c>
      <c r="L284" s="114" t="s">
        <v>81</v>
      </c>
      <c r="M284" s="119">
        <v>46142</v>
      </c>
      <c r="N284" s="128">
        <v>46143</v>
      </c>
      <c r="O284" s="120">
        <f>NETWORKDAYS.INTL(K284,N284,1,$AM$2:$AM$10)-1</f>
        <v>2</v>
      </c>
      <c r="P284" s="114" t="s">
        <v>81</v>
      </c>
      <c r="Q284" s="114" t="s">
        <v>79</v>
      </c>
      <c r="R284" s="115"/>
      <c r="S284" s="145">
        <v>441</v>
      </c>
      <c r="T284" s="148" t="s">
        <v>1214</v>
      </c>
      <c r="U284" s="147">
        <v>3</v>
      </c>
      <c r="V284" s="121">
        <v>574</v>
      </c>
      <c r="W284" s="121">
        <v>1740</v>
      </c>
      <c r="X284" s="114" t="s">
        <v>84</v>
      </c>
      <c r="Y284" s="115" t="s">
        <v>85</v>
      </c>
      <c r="Z284" s="115" t="s">
        <v>962</v>
      </c>
      <c r="AA284" s="113" t="s">
        <v>87</v>
      </c>
      <c r="AB284" s="122">
        <v>563.17999999999995</v>
      </c>
      <c r="AC284" s="122">
        <f>IF(C284="DENALI", AB284*0.495, IF(C284="SCHNEIDER ELECTRIC", AB284*1.136, IF(C284="WWT", AB284*1.2, AC284)))+AB284</f>
        <v>841.95409999999993</v>
      </c>
      <c r="AD284" s="129">
        <f>AC284-AB284</f>
        <v>278.77409999999998</v>
      </c>
      <c r="AE284" s="122">
        <v>79322.880000000005</v>
      </c>
      <c r="AF284" s="130">
        <f>AB284/U284</f>
        <v>187.72666666666666</v>
      </c>
      <c r="AG284" s="130">
        <f>AB284/V284</f>
        <v>0.98114982578397203</v>
      </c>
      <c r="AH284" s="123">
        <f>AB284/S284</f>
        <v>1.2770521541950113</v>
      </c>
      <c r="AI284" s="124" t="s">
        <v>147</v>
      </c>
      <c r="AJ284" s="125" t="s">
        <v>343</v>
      </c>
      <c r="AK284"/>
      <c r="AL284"/>
      <c r="AM284" s="80"/>
    </row>
    <row r="285" spans="1:39" s="84" customFormat="1" ht="28.5" customHeight="1">
      <c r="A285" s="113" t="s">
        <v>73</v>
      </c>
      <c r="B285" s="114" t="s">
        <v>74</v>
      </c>
      <c r="C285" s="113" t="s">
        <v>35</v>
      </c>
      <c r="D285" s="113" t="s">
        <v>99</v>
      </c>
      <c r="E285" s="115" t="s">
        <v>543</v>
      </c>
      <c r="F285" s="113" t="s">
        <v>1103</v>
      </c>
      <c r="G285" s="116" t="s">
        <v>1215</v>
      </c>
      <c r="H285" s="79">
        <v>46149</v>
      </c>
      <c r="I285" s="114" t="s">
        <v>79</v>
      </c>
      <c r="J285" s="117" t="s">
        <v>1216</v>
      </c>
      <c r="K285" s="118">
        <v>46141</v>
      </c>
      <c r="L285" s="114" t="s">
        <v>81</v>
      </c>
      <c r="M285" s="119">
        <v>46146</v>
      </c>
      <c r="N285" s="128">
        <v>46146</v>
      </c>
      <c r="O285" s="120">
        <f>NETWORKDAYS.INTL(K285,N285,1,$AM$2:$AM$10)-1</f>
        <v>3</v>
      </c>
      <c r="P285" s="114" t="s">
        <v>81</v>
      </c>
      <c r="Q285" s="114" t="s">
        <v>79</v>
      </c>
      <c r="R285" s="115"/>
      <c r="S285" s="145">
        <v>1881</v>
      </c>
      <c r="T285" s="148" t="s">
        <v>1196</v>
      </c>
      <c r="U285" s="147">
        <v>5</v>
      </c>
      <c r="V285" s="121">
        <v>2244</v>
      </c>
      <c r="W285" s="121">
        <v>2720</v>
      </c>
      <c r="X285" s="114" t="s">
        <v>84</v>
      </c>
      <c r="Y285" s="115" t="s">
        <v>85</v>
      </c>
      <c r="Z285" s="115" t="s">
        <v>962</v>
      </c>
      <c r="AA285" s="113" t="s">
        <v>87</v>
      </c>
      <c r="AB285" s="122">
        <v>835.53</v>
      </c>
      <c r="AC285" s="122">
        <f>IF(C285="DENALI", AB285*0.495, IF(C285="SCHNEIDER ELECTRIC", AB285*1.136, IF(C285="WWT", AB285*1.2, AC285)))+AB285</f>
        <v>1249.11735</v>
      </c>
      <c r="AD285" s="129">
        <f>AC285-AB285</f>
        <v>413.58735000000001</v>
      </c>
      <c r="AE285" s="122">
        <v>322399.44</v>
      </c>
      <c r="AF285" s="130">
        <f>AB285/U285</f>
        <v>167.10599999999999</v>
      </c>
      <c r="AG285" s="130">
        <f>AB285/V285</f>
        <v>0.37233957219251335</v>
      </c>
      <c r="AH285" s="123">
        <f>AB285/S285</f>
        <v>0.44419457735247209</v>
      </c>
      <c r="AI285" s="124" t="s">
        <v>97</v>
      </c>
      <c r="AJ285" s="125" t="s">
        <v>349</v>
      </c>
      <c r="AK285"/>
      <c r="AL285"/>
      <c r="AM285" s="80"/>
    </row>
    <row r="286" spans="1:39" s="84" customFormat="1" ht="28.5" customHeight="1">
      <c r="A286" s="113" t="s">
        <v>73</v>
      </c>
      <c r="B286" s="114" t="s">
        <v>140</v>
      </c>
      <c r="C286" s="113" t="s">
        <v>35</v>
      </c>
      <c r="D286" s="113" t="s">
        <v>218</v>
      </c>
      <c r="E286" s="115" t="s">
        <v>141</v>
      </c>
      <c r="F286" s="113" t="s">
        <v>142</v>
      </c>
      <c r="G286" s="116">
        <v>22905091</v>
      </c>
      <c r="H286" s="79">
        <v>46150</v>
      </c>
      <c r="I286" s="114" t="s">
        <v>79</v>
      </c>
      <c r="J286" s="117" t="s">
        <v>1217</v>
      </c>
      <c r="K286" s="118">
        <v>46142</v>
      </c>
      <c r="L286" s="114" t="s">
        <v>81</v>
      </c>
      <c r="M286" s="119">
        <v>46143</v>
      </c>
      <c r="N286" s="128">
        <v>46143</v>
      </c>
      <c r="O286" s="120">
        <f>NETWORKDAYS.INTL(K286,N286,1,$AM$2:$AM$10)-1</f>
        <v>1</v>
      </c>
      <c r="P286" s="114" t="s">
        <v>81</v>
      </c>
      <c r="Q286" s="114" t="s">
        <v>79</v>
      </c>
      <c r="R286" s="115"/>
      <c r="S286" s="145">
        <v>305</v>
      </c>
      <c r="T286" s="148" t="s">
        <v>410</v>
      </c>
      <c r="U286" s="147">
        <v>18</v>
      </c>
      <c r="V286" s="121">
        <v>18</v>
      </c>
      <c r="W286" s="121">
        <v>6660</v>
      </c>
      <c r="X286" s="114" t="s">
        <v>113</v>
      </c>
      <c r="Y286" s="115" t="s">
        <v>85</v>
      </c>
      <c r="Z286" s="115" t="s">
        <v>1218</v>
      </c>
      <c r="AA286" s="113" t="s">
        <v>87</v>
      </c>
      <c r="AB286" s="122">
        <v>1839.25</v>
      </c>
      <c r="AC286" s="122">
        <f>IF(C286="DENALI", AB286*0.495, IF(C286="SCHNEIDER ELECTRIC", AB286*1.136, IF(C286="WWT", AB286*1.2, AC286)))+AB286</f>
        <v>2749.67875</v>
      </c>
      <c r="AD286" s="129">
        <f>AC286-AB286</f>
        <v>910.42875000000004</v>
      </c>
      <c r="AE286" s="122">
        <v>122105.7</v>
      </c>
      <c r="AF286" s="130">
        <f>AB286/U286</f>
        <v>102.18055555555556</v>
      </c>
      <c r="AG286" s="130">
        <f>AB286/V286</f>
        <v>102.18055555555556</v>
      </c>
      <c r="AH286" s="123">
        <f>AB286/S286</f>
        <v>6.0303278688524591</v>
      </c>
      <c r="AI286" s="124" t="s">
        <v>155</v>
      </c>
      <c r="AJ286" s="125" t="s">
        <v>89</v>
      </c>
      <c r="AK286"/>
      <c r="AL286"/>
      <c r="AM286" s="80"/>
    </row>
    <row r="287" spans="1:39" s="85" customFormat="1" ht="28.5" customHeight="1">
      <c r="A287" s="113" t="s">
        <v>73</v>
      </c>
      <c r="B287" s="114" t="s">
        <v>74</v>
      </c>
      <c r="C287" s="113" t="s">
        <v>35</v>
      </c>
      <c r="D287" s="113" t="s">
        <v>218</v>
      </c>
      <c r="E287" s="115" t="s">
        <v>206</v>
      </c>
      <c r="F287" s="113" t="s">
        <v>207</v>
      </c>
      <c r="G287" s="116" t="s">
        <v>1219</v>
      </c>
      <c r="H287" s="79">
        <v>46150</v>
      </c>
      <c r="I287" s="114" t="s">
        <v>79</v>
      </c>
      <c r="J287" s="117" t="s">
        <v>1220</v>
      </c>
      <c r="K287" s="118">
        <v>46142</v>
      </c>
      <c r="L287" s="114" t="s">
        <v>81</v>
      </c>
      <c r="M287" s="119">
        <v>46143</v>
      </c>
      <c r="N287" s="128">
        <v>46143</v>
      </c>
      <c r="O287" s="120">
        <f>NETWORKDAYS.INTL(K287,N287,1,$AM$2:$AM$10)-1</f>
        <v>1</v>
      </c>
      <c r="P287" s="114" t="s">
        <v>81</v>
      </c>
      <c r="Q287" s="114" t="s">
        <v>79</v>
      </c>
      <c r="R287" s="115"/>
      <c r="S287" s="145">
        <v>194</v>
      </c>
      <c r="T287" s="148" t="s">
        <v>1221</v>
      </c>
      <c r="U287" s="147">
        <v>1</v>
      </c>
      <c r="V287" s="121">
        <v>31</v>
      </c>
      <c r="W287" s="121">
        <v>245</v>
      </c>
      <c r="X287" s="114" t="s">
        <v>84</v>
      </c>
      <c r="Y287" s="115" t="s">
        <v>85</v>
      </c>
      <c r="Z287" s="115" t="s">
        <v>1208</v>
      </c>
      <c r="AA287" s="113" t="s">
        <v>87</v>
      </c>
      <c r="AB287" s="122">
        <v>175.18</v>
      </c>
      <c r="AC287" s="122">
        <f>IF(C287="DENALI", AB287*0.495, IF(C287="SCHNEIDER ELECTRIC", AB287*1.136, IF(C287="WWT", AB287*1.2, AC287)))+AB287</f>
        <v>261.89409999999998</v>
      </c>
      <c r="AD287" s="129">
        <f>AC287-AB287</f>
        <v>86.714099999999974</v>
      </c>
      <c r="AE287" s="122">
        <v>7042.5</v>
      </c>
      <c r="AF287" s="130">
        <f>AB287/U287</f>
        <v>175.18</v>
      </c>
      <c r="AG287" s="130">
        <f>AB287/V287</f>
        <v>5.6509677419354842</v>
      </c>
      <c r="AH287" s="123">
        <f>AB287/S287</f>
        <v>0.90298969072164947</v>
      </c>
      <c r="AI287" s="124" t="s">
        <v>97</v>
      </c>
      <c r="AJ287" s="125" t="s">
        <v>349</v>
      </c>
      <c r="AK287"/>
      <c r="AL287"/>
      <c r="AM287" s="80"/>
    </row>
    <row r="288" spans="1:39" s="85" customFormat="1" ht="28.5" customHeight="1">
      <c r="A288" s="113" t="s">
        <v>73</v>
      </c>
      <c r="B288" s="114" t="s">
        <v>74</v>
      </c>
      <c r="C288" s="113" t="s">
        <v>35</v>
      </c>
      <c r="D288" s="113" t="s">
        <v>218</v>
      </c>
      <c r="E288" s="115" t="s">
        <v>551</v>
      </c>
      <c r="F288" s="113" t="s">
        <v>213</v>
      </c>
      <c r="G288" s="116" t="s">
        <v>1222</v>
      </c>
      <c r="H288" s="79">
        <v>46150</v>
      </c>
      <c r="I288" s="114" t="s">
        <v>79</v>
      </c>
      <c r="J288" s="117" t="s">
        <v>1223</v>
      </c>
      <c r="K288" s="118">
        <v>46142</v>
      </c>
      <c r="L288" s="114" t="s">
        <v>81</v>
      </c>
      <c r="M288" s="119">
        <v>46146</v>
      </c>
      <c r="N288" s="128">
        <v>46146</v>
      </c>
      <c r="O288" s="120">
        <f>NETWORKDAYS.INTL(K288,N288,1,$AM$2:$AM$10)-1</f>
        <v>2</v>
      </c>
      <c r="P288" s="114" t="s">
        <v>81</v>
      </c>
      <c r="Q288" s="114" t="s">
        <v>79</v>
      </c>
      <c r="R288" s="115"/>
      <c r="S288" s="145">
        <v>740</v>
      </c>
      <c r="T288" s="148" t="s">
        <v>1224</v>
      </c>
      <c r="U288" s="147">
        <v>1</v>
      </c>
      <c r="V288" s="121">
        <v>266</v>
      </c>
      <c r="W288" s="121">
        <v>1530</v>
      </c>
      <c r="X288" s="114" t="s">
        <v>84</v>
      </c>
      <c r="Y288" s="115" t="s">
        <v>85</v>
      </c>
      <c r="Z288" s="115" t="s">
        <v>962</v>
      </c>
      <c r="AA288" s="113" t="s">
        <v>87</v>
      </c>
      <c r="AB288" s="122">
        <v>668.31</v>
      </c>
      <c r="AC288" s="122">
        <f>IF(C288="DENALI", AB288*0.495, IF(C288="SCHNEIDER ELECTRIC", AB288*1.136, IF(C288="WWT", AB288*1.2, AC288)))+AB288</f>
        <v>999.12344999999993</v>
      </c>
      <c r="AD288" s="129">
        <f>AC288-AB288</f>
        <v>330.81344999999999</v>
      </c>
      <c r="AE288" s="122">
        <v>11023.48</v>
      </c>
      <c r="AF288" s="130">
        <f>AB288/U288</f>
        <v>668.31</v>
      </c>
      <c r="AG288" s="130">
        <f>AB288/V288</f>
        <v>2.5124436090225561</v>
      </c>
      <c r="AH288" s="123">
        <f>AB288/S288</f>
        <v>0.90312162162162157</v>
      </c>
      <c r="AI288" s="124" t="s">
        <v>97</v>
      </c>
      <c r="AJ288" s="125" t="s">
        <v>349</v>
      </c>
      <c r="AK288"/>
      <c r="AL288"/>
      <c r="AM288" s="80"/>
    </row>
    <row r="289" spans="1:39" s="85" customFormat="1" ht="28.5" customHeight="1">
      <c r="A289" s="113" t="s">
        <v>73</v>
      </c>
      <c r="B289" s="114" t="s">
        <v>140</v>
      </c>
      <c r="C289" s="113" t="s">
        <v>35</v>
      </c>
      <c r="D289" s="113" t="s">
        <v>218</v>
      </c>
      <c r="E289" s="115" t="s">
        <v>141</v>
      </c>
      <c r="F289" s="113" t="s">
        <v>142</v>
      </c>
      <c r="G289" s="116">
        <v>22914700</v>
      </c>
      <c r="H289" s="79">
        <v>46143</v>
      </c>
      <c r="I289" s="114" t="s">
        <v>79</v>
      </c>
      <c r="J289" s="117" t="s">
        <v>1225</v>
      </c>
      <c r="K289" s="118">
        <v>46142</v>
      </c>
      <c r="L289" s="114" t="s">
        <v>81</v>
      </c>
      <c r="M289" s="119">
        <v>46143</v>
      </c>
      <c r="N289" s="128">
        <v>46143</v>
      </c>
      <c r="O289" s="120">
        <f>NETWORKDAYS.INTL(K289,N289,1,$AM$2:$AM$10)-1</f>
        <v>1</v>
      </c>
      <c r="P289" s="114" t="s">
        <v>81</v>
      </c>
      <c r="Q289" s="114" t="s">
        <v>79</v>
      </c>
      <c r="R289" s="115"/>
      <c r="S289" s="145">
        <v>443</v>
      </c>
      <c r="T289" s="148" t="s">
        <v>410</v>
      </c>
      <c r="U289" s="147">
        <v>18</v>
      </c>
      <c r="V289" s="121">
        <v>18</v>
      </c>
      <c r="W289" s="121">
        <v>6660</v>
      </c>
      <c r="X289" s="114" t="s">
        <v>113</v>
      </c>
      <c r="Y289" s="115" t="s">
        <v>85</v>
      </c>
      <c r="Z289" s="115" t="s">
        <v>1226</v>
      </c>
      <c r="AA289" s="113" t="s">
        <v>87</v>
      </c>
      <c r="AB289" s="122">
        <v>1661.23</v>
      </c>
      <c r="AC289" s="122">
        <f>IF(C289="DENALI", AB289*0.495, IF(C289="SCHNEIDER ELECTRIC", AB289*1.136, IF(C289="WWT", AB289*1.2, AC289)))+AB289</f>
        <v>2483.5388499999999</v>
      </c>
      <c r="AD289" s="129">
        <f>AC289-AB289</f>
        <v>822.30884999999989</v>
      </c>
      <c r="AE289" s="122">
        <v>122105.7</v>
      </c>
      <c r="AF289" s="130">
        <f>AB289/U289</f>
        <v>92.290555555555557</v>
      </c>
      <c r="AG289" s="130">
        <f>AB289/V289</f>
        <v>92.290555555555557</v>
      </c>
      <c r="AH289" s="123">
        <f>AB289/S289</f>
        <v>3.7499548532731377</v>
      </c>
      <c r="AI289" s="124" t="s">
        <v>155</v>
      </c>
      <c r="AJ289" s="125" t="s">
        <v>89</v>
      </c>
      <c r="AK289"/>
      <c r="AL289"/>
      <c r="AM289" s="80"/>
    </row>
    <row r="290" spans="1:39" s="85" customFormat="1" ht="28.5" customHeight="1">
      <c r="A290" s="113" t="s">
        <v>73</v>
      </c>
      <c r="B290" s="114" t="s">
        <v>140</v>
      </c>
      <c r="C290" s="113" t="s">
        <v>35</v>
      </c>
      <c r="D290" s="113" t="s">
        <v>218</v>
      </c>
      <c r="E290" s="115" t="s">
        <v>141</v>
      </c>
      <c r="F290" s="113" t="s">
        <v>142</v>
      </c>
      <c r="G290" s="116" t="s">
        <v>1227</v>
      </c>
      <c r="H290" s="79">
        <v>46146</v>
      </c>
      <c r="I290" s="114" t="s">
        <v>79</v>
      </c>
      <c r="J290" s="117" t="s">
        <v>1228</v>
      </c>
      <c r="K290" s="118">
        <v>46142</v>
      </c>
      <c r="L290" s="114" t="s">
        <v>81</v>
      </c>
      <c r="M290" s="119">
        <v>46146</v>
      </c>
      <c r="N290" s="128">
        <v>46146</v>
      </c>
      <c r="O290" s="120">
        <f>NETWORKDAYS.INTL(K290,N290,1,$AM$2:$AM$10)-1</f>
        <v>2</v>
      </c>
      <c r="P290" s="114" t="s">
        <v>81</v>
      </c>
      <c r="Q290" s="114" t="s">
        <v>79</v>
      </c>
      <c r="R290" s="115"/>
      <c r="S290" s="145">
        <v>441</v>
      </c>
      <c r="T290" s="148" t="s">
        <v>1229</v>
      </c>
      <c r="U290" s="147">
        <v>1</v>
      </c>
      <c r="V290" s="121">
        <v>118</v>
      </c>
      <c r="W290" s="121">
        <v>580</v>
      </c>
      <c r="X290" s="114" t="s">
        <v>84</v>
      </c>
      <c r="Y290" s="115" t="s">
        <v>85</v>
      </c>
      <c r="Z290" s="115" t="s">
        <v>86</v>
      </c>
      <c r="AA290" s="113" t="s">
        <v>87</v>
      </c>
      <c r="AB290" s="122">
        <v>256.76</v>
      </c>
      <c r="AC290" s="122">
        <f>IF(C290="DENALI", AB290*0.495, IF(C290="SCHNEIDER ELECTRIC", AB290*1.136, IF(C290="WWT", AB290*1.2, AC290)))+AB290</f>
        <v>383.8562</v>
      </c>
      <c r="AD290" s="129">
        <f>AC290-AB290</f>
        <v>127.09620000000001</v>
      </c>
      <c r="AE290" s="122">
        <v>13555.47</v>
      </c>
      <c r="AF290" s="130">
        <f>AB290/U290</f>
        <v>256.76</v>
      </c>
      <c r="AG290" s="130">
        <f>AB290/V290</f>
        <v>2.1759322033898303</v>
      </c>
      <c r="AH290" s="123">
        <f>AB290/S290</f>
        <v>0.5822222222222222</v>
      </c>
      <c r="AI290" s="124" t="s">
        <v>97</v>
      </c>
      <c r="AJ290" s="125" t="s">
        <v>349</v>
      </c>
      <c r="AK290"/>
      <c r="AL290"/>
      <c r="AM290" s="80"/>
    </row>
    <row r="291" spans="1:39" s="85" customFormat="1" ht="28.5" customHeight="1">
      <c r="A291" s="113" t="s">
        <v>73</v>
      </c>
      <c r="B291" s="114" t="s">
        <v>74</v>
      </c>
      <c r="C291" s="113" t="s">
        <v>35</v>
      </c>
      <c r="D291" s="113" t="s">
        <v>218</v>
      </c>
      <c r="E291" s="115" t="s">
        <v>125</v>
      </c>
      <c r="F291" s="113" t="s">
        <v>90</v>
      </c>
      <c r="G291" s="116" t="s">
        <v>1230</v>
      </c>
      <c r="H291" s="79">
        <v>46148</v>
      </c>
      <c r="I291" s="114" t="s">
        <v>79</v>
      </c>
      <c r="J291" s="117" t="s">
        <v>1231</v>
      </c>
      <c r="K291" s="118">
        <v>46142</v>
      </c>
      <c r="L291" s="114" t="s">
        <v>81</v>
      </c>
      <c r="M291" s="119">
        <v>46148</v>
      </c>
      <c r="N291" s="128">
        <v>46148</v>
      </c>
      <c r="O291" s="120">
        <f>NETWORKDAYS.INTL(K291,N291,1,$AM$2:$AM$10)-1</f>
        <v>4</v>
      </c>
      <c r="P291" s="114" t="s">
        <v>81</v>
      </c>
      <c r="Q291" s="114" t="s">
        <v>79</v>
      </c>
      <c r="R291" s="115"/>
      <c r="S291" s="145">
        <v>2372</v>
      </c>
      <c r="T291" s="148" t="s">
        <v>1232</v>
      </c>
      <c r="U291" s="147">
        <v>1</v>
      </c>
      <c r="V291" s="121">
        <v>2052</v>
      </c>
      <c r="W291" s="121">
        <v>345</v>
      </c>
      <c r="X291" s="114" t="s">
        <v>84</v>
      </c>
      <c r="Y291" s="115" t="s">
        <v>85</v>
      </c>
      <c r="Z291" s="115" t="s">
        <v>86</v>
      </c>
      <c r="AA291" s="113" t="s">
        <v>87</v>
      </c>
      <c r="AB291" s="122">
        <v>330.5</v>
      </c>
      <c r="AC291" s="122">
        <f>IF(C291="DENALI", AB291*0.495, IF(C291="SCHNEIDER ELECTRIC", AB291*1.136, IF(C291="WWT", AB291*1.2, AC291)))+AB291</f>
        <v>494.09749999999997</v>
      </c>
      <c r="AD291" s="129">
        <f>AC291-AB291</f>
        <v>163.59749999999997</v>
      </c>
      <c r="AE291" s="122">
        <v>58582</v>
      </c>
      <c r="AF291" s="130">
        <f>AB291/U291</f>
        <v>330.5</v>
      </c>
      <c r="AG291" s="130">
        <f>AB291/V291</f>
        <v>0.16106237816764132</v>
      </c>
      <c r="AH291" s="123">
        <f>AB291/S291</f>
        <v>0.13933389544688027</v>
      </c>
      <c r="AI291" s="124" t="s">
        <v>97</v>
      </c>
      <c r="AJ291" s="125" t="s">
        <v>349</v>
      </c>
      <c r="AK291"/>
      <c r="AL291"/>
      <c r="AM291" s="80"/>
    </row>
    <row r="292" spans="1:39" s="85" customFormat="1" ht="28.5" customHeight="1">
      <c r="A292" s="113" t="s">
        <v>73</v>
      </c>
      <c r="B292" s="114" t="s">
        <v>140</v>
      </c>
      <c r="C292" s="113" t="s">
        <v>35</v>
      </c>
      <c r="D292" s="113" t="s">
        <v>218</v>
      </c>
      <c r="E292" s="115" t="s">
        <v>141</v>
      </c>
      <c r="F292" s="113" t="s">
        <v>142</v>
      </c>
      <c r="G292" s="116" t="s">
        <v>1233</v>
      </c>
      <c r="H292" s="79">
        <v>46146</v>
      </c>
      <c r="I292" s="114" t="s">
        <v>79</v>
      </c>
      <c r="J292" s="117" t="s">
        <v>1234</v>
      </c>
      <c r="K292" s="118">
        <v>46142</v>
      </c>
      <c r="L292" s="114" t="s">
        <v>81</v>
      </c>
      <c r="M292" s="119">
        <v>46146</v>
      </c>
      <c r="N292" s="128">
        <v>46146</v>
      </c>
      <c r="O292" s="120">
        <f>NETWORKDAYS.INTL(K292,N292,1,$AM$2:$AM$10)-1</f>
        <v>2</v>
      </c>
      <c r="P292" s="114" t="s">
        <v>81</v>
      </c>
      <c r="Q292" s="114" t="s">
        <v>79</v>
      </c>
      <c r="R292" s="115"/>
      <c r="S292" s="145">
        <v>441</v>
      </c>
      <c r="T292" s="148" t="s">
        <v>1235</v>
      </c>
      <c r="U292" s="147">
        <v>1</v>
      </c>
      <c r="V292" s="121">
        <v>188</v>
      </c>
      <c r="W292" s="121">
        <v>775</v>
      </c>
      <c r="X292" s="114" t="s">
        <v>84</v>
      </c>
      <c r="Y292" s="115" t="s">
        <v>85</v>
      </c>
      <c r="Z292" s="115" t="s">
        <v>86</v>
      </c>
      <c r="AA292" s="113" t="s">
        <v>87</v>
      </c>
      <c r="AB292" s="122">
        <v>318.54000000000002</v>
      </c>
      <c r="AC292" s="122">
        <f>IF(C292="DENALI", AB292*0.495, IF(C292="SCHNEIDER ELECTRIC", AB292*1.136, IF(C292="WWT", AB292*1.2, AC292)))+AB292</f>
        <v>476.21730000000002</v>
      </c>
      <c r="AD292" s="129">
        <f>AC292-AB292</f>
        <v>157.6773</v>
      </c>
      <c r="AE292" s="122">
        <v>33371.58</v>
      </c>
      <c r="AF292" s="130">
        <f>AB292/U292</f>
        <v>318.54000000000002</v>
      </c>
      <c r="AG292" s="130">
        <f>AB292/V292</f>
        <v>1.6943617021276596</v>
      </c>
      <c r="AH292" s="123">
        <f>AB292/S292</f>
        <v>0.72231292517006807</v>
      </c>
      <c r="AI292" s="124" t="s">
        <v>147</v>
      </c>
      <c r="AJ292" s="125" t="s">
        <v>343</v>
      </c>
      <c r="AK292"/>
      <c r="AL292"/>
      <c r="AM292" s="80"/>
    </row>
    <row r="293" spans="1:39" s="85" customFormat="1" ht="28.5" customHeight="1">
      <c r="A293" s="113" t="s">
        <v>73</v>
      </c>
      <c r="B293" s="114" t="s">
        <v>140</v>
      </c>
      <c r="C293" s="113" t="s">
        <v>35</v>
      </c>
      <c r="D293" s="113" t="s">
        <v>218</v>
      </c>
      <c r="E293" s="115" t="s">
        <v>141</v>
      </c>
      <c r="F293" s="113" t="s">
        <v>142</v>
      </c>
      <c r="G293" s="116" t="s">
        <v>1236</v>
      </c>
      <c r="H293" s="79">
        <v>46146</v>
      </c>
      <c r="I293" s="114" t="s">
        <v>79</v>
      </c>
      <c r="J293" s="117" t="s">
        <v>1237</v>
      </c>
      <c r="K293" s="118">
        <v>46142</v>
      </c>
      <c r="L293" s="114" t="s">
        <v>81</v>
      </c>
      <c r="M293" s="119">
        <v>46146</v>
      </c>
      <c r="N293" s="128">
        <v>46148</v>
      </c>
      <c r="O293" s="120">
        <f>NETWORKDAYS.INTL(K293,N293,1,$AM$2:$AM$10)-1</f>
        <v>4</v>
      </c>
      <c r="P293" s="114" t="s">
        <v>81</v>
      </c>
      <c r="Q293" s="114" t="s">
        <v>79</v>
      </c>
      <c r="R293" s="115"/>
      <c r="S293" s="145">
        <v>441</v>
      </c>
      <c r="T293" s="148" t="s">
        <v>1238</v>
      </c>
      <c r="U293" s="147">
        <v>2</v>
      </c>
      <c r="V293" s="121">
        <v>1344</v>
      </c>
      <c r="W293" s="121">
        <v>1385</v>
      </c>
      <c r="X293" s="114" t="s">
        <v>84</v>
      </c>
      <c r="Y293" s="115" t="s">
        <v>85</v>
      </c>
      <c r="Z293" s="115" t="s">
        <v>86</v>
      </c>
      <c r="AA293" s="113" t="s">
        <v>87</v>
      </c>
      <c r="AB293" s="122">
        <v>329.09</v>
      </c>
      <c r="AC293" s="122">
        <f>IF(C293="DENALI", AB293*0.495, IF(C293="SCHNEIDER ELECTRIC", AB293*1.136, IF(C293="WWT", AB293*1.2, AC293)))+AB293</f>
        <v>491.98954999999995</v>
      </c>
      <c r="AD293" s="129">
        <f>AC293-AB293</f>
        <v>162.89954999999998</v>
      </c>
      <c r="AE293" s="122">
        <v>100767.36</v>
      </c>
      <c r="AF293" s="130">
        <f>AB293/U293</f>
        <v>164.54499999999999</v>
      </c>
      <c r="AG293" s="130">
        <f>AB293/V293</f>
        <v>0.24485863095238095</v>
      </c>
      <c r="AH293" s="123">
        <f>AB293/S293</f>
        <v>0.746235827664399</v>
      </c>
      <c r="AI293" s="124" t="s">
        <v>155</v>
      </c>
      <c r="AJ293" s="125" t="s">
        <v>89</v>
      </c>
      <c r="AK293"/>
      <c r="AL293"/>
      <c r="AM293" s="80"/>
    </row>
    <row r="294" spans="1:39" s="85" customFormat="1" ht="28.5" customHeight="1">
      <c r="A294" s="113" t="s">
        <v>73</v>
      </c>
      <c r="B294" s="114" t="s">
        <v>74</v>
      </c>
      <c r="C294" s="113" t="s">
        <v>35</v>
      </c>
      <c r="D294" s="113" t="s">
        <v>99</v>
      </c>
      <c r="E294" s="115" t="s">
        <v>1190</v>
      </c>
      <c r="F294" s="113" t="s">
        <v>90</v>
      </c>
      <c r="G294" s="116" t="s">
        <v>1239</v>
      </c>
      <c r="H294" s="79">
        <v>46146</v>
      </c>
      <c r="I294" s="114" t="s">
        <v>79</v>
      </c>
      <c r="J294" s="117" t="s">
        <v>1240</v>
      </c>
      <c r="K294" s="118">
        <v>46142</v>
      </c>
      <c r="L294" s="114" t="s">
        <v>81</v>
      </c>
      <c r="M294" s="119">
        <v>46146</v>
      </c>
      <c r="N294" s="128">
        <v>46146</v>
      </c>
      <c r="O294" s="120">
        <f>NETWORKDAYS.INTL(K294,N294,1,$AM$2:$AM$10)-1</f>
        <v>2</v>
      </c>
      <c r="P294" s="114" t="s">
        <v>81</v>
      </c>
      <c r="Q294" s="114" t="s">
        <v>79</v>
      </c>
      <c r="R294" s="115"/>
      <c r="S294" s="145">
        <v>973</v>
      </c>
      <c r="T294" s="148" t="s">
        <v>1192</v>
      </c>
      <c r="U294" s="147">
        <v>5</v>
      </c>
      <c r="V294" s="121">
        <v>1935</v>
      </c>
      <c r="W294" s="121">
        <v>1523</v>
      </c>
      <c r="X294" s="114" t="s">
        <v>84</v>
      </c>
      <c r="Y294" s="115" t="s">
        <v>85</v>
      </c>
      <c r="Z294" s="115" t="s">
        <v>160</v>
      </c>
      <c r="AA294" s="113" t="s">
        <v>87</v>
      </c>
      <c r="AB294" s="122">
        <v>667.58</v>
      </c>
      <c r="AC294" s="122">
        <f>IF(C294="DENALI", AB294*0.495, IF(C294="SCHNEIDER ELECTRIC", AB294*1.136, IF(C294="WWT", AB294*1.2, AC294)))+AB294</f>
        <v>998.03210000000013</v>
      </c>
      <c r="AD294" s="129">
        <f>AC294-AB294</f>
        <v>330.45210000000009</v>
      </c>
      <c r="AE294" s="122">
        <v>301947.39</v>
      </c>
      <c r="AF294" s="130">
        <f>AB294/U294</f>
        <v>133.51600000000002</v>
      </c>
      <c r="AG294" s="130">
        <f>AB294/V294</f>
        <v>0.3450025839793282</v>
      </c>
      <c r="AH294" s="123">
        <f>AB294/S294</f>
        <v>0.68610483042137727</v>
      </c>
      <c r="AI294" s="124" t="s">
        <v>97</v>
      </c>
      <c r="AJ294" s="125" t="s">
        <v>349</v>
      </c>
      <c r="AK294"/>
      <c r="AL294"/>
      <c r="AM294" s="80"/>
    </row>
    <row r="295" spans="1:39" s="85" customFormat="1" ht="28.5" customHeight="1">
      <c r="A295" s="113" t="s">
        <v>73</v>
      </c>
      <c r="B295" s="114" t="s">
        <v>74</v>
      </c>
      <c r="C295" s="113" t="s">
        <v>35</v>
      </c>
      <c r="D295" s="113" t="s">
        <v>99</v>
      </c>
      <c r="E295" s="115" t="s">
        <v>1162</v>
      </c>
      <c r="F295" s="113" t="s">
        <v>218</v>
      </c>
      <c r="G295" s="116">
        <v>22914939</v>
      </c>
      <c r="H295" s="79">
        <v>46146</v>
      </c>
      <c r="I295" s="114" t="s">
        <v>79</v>
      </c>
      <c r="J295" s="117" t="s">
        <v>1241</v>
      </c>
      <c r="K295" s="118">
        <v>46142</v>
      </c>
      <c r="L295" s="114" t="s">
        <v>81</v>
      </c>
      <c r="M295" s="119">
        <v>46146</v>
      </c>
      <c r="N295" s="128">
        <v>46146</v>
      </c>
      <c r="O295" s="120">
        <f>NETWORKDAYS.INTL(K295,N295,1,$AM$2:$AM$10)-1</f>
        <v>2</v>
      </c>
      <c r="P295" s="114" t="s">
        <v>81</v>
      </c>
      <c r="Q295" s="114" t="s">
        <v>79</v>
      </c>
      <c r="R295" s="115"/>
      <c r="S295" s="145">
        <v>2136</v>
      </c>
      <c r="T295" s="148" t="s">
        <v>1242</v>
      </c>
      <c r="U295" s="147">
        <v>2</v>
      </c>
      <c r="V295" s="121">
        <v>2</v>
      </c>
      <c r="W295" s="121">
        <v>615</v>
      </c>
      <c r="X295" s="114" t="s">
        <v>113</v>
      </c>
      <c r="Y295" s="115" t="s">
        <v>85</v>
      </c>
      <c r="Z295" s="115" t="s">
        <v>1243</v>
      </c>
      <c r="AA295" s="113" t="s">
        <v>87</v>
      </c>
      <c r="AB295" s="122">
        <v>3765.63</v>
      </c>
      <c r="AC295" s="122">
        <f>IF(C295="DENALI", AB295*0.495, IF(C295="SCHNEIDER ELECTRIC", AB295*1.136, IF(C295="WWT", AB295*1.2, AC295)))+AB295</f>
        <v>5629.6168500000003</v>
      </c>
      <c r="AD295" s="129">
        <f>AC295-AB295</f>
        <v>1863.9868500000002</v>
      </c>
      <c r="AE295" s="122">
        <v>12203.63</v>
      </c>
      <c r="AF295" s="130">
        <f>AB295/U295</f>
        <v>1882.8150000000001</v>
      </c>
      <c r="AG295" s="130">
        <f>AB295/V295</f>
        <v>1882.8150000000001</v>
      </c>
      <c r="AH295" s="123">
        <f>AB295/S295</f>
        <v>1.7629353932584271</v>
      </c>
      <c r="AI295" s="124" t="s">
        <v>97</v>
      </c>
      <c r="AJ295" s="125" t="s">
        <v>349</v>
      </c>
      <c r="AK295"/>
      <c r="AL295"/>
      <c r="AM295" s="80"/>
    </row>
    <row r="296" spans="1:39" s="85" customFormat="1" ht="28.5" customHeight="1">
      <c r="A296" s="113" t="s">
        <v>73</v>
      </c>
      <c r="B296" s="114" t="s">
        <v>140</v>
      </c>
      <c r="C296" s="113" t="s">
        <v>35</v>
      </c>
      <c r="D296" s="113" t="s">
        <v>99</v>
      </c>
      <c r="E296" s="115" t="s">
        <v>141</v>
      </c>
      <c r="F296" s="113" t="s">
        <v>142</v>
      </c>
      <c r="G296" s="116" t="s">
        <v>1244</v>
      </c>
      <c r="H296" s="79">
        <v>46150</v>
      </c>
      <c r="I296" s="114" t="s">
        <v>79</v>
      </c>
      <c r="J296" s="117" t="s">
        <v>1245</v>
      </c>
      <c r="K296" s="118">
        <v>46142</v>
      </c>
      <c r="L296" s="114" t="s">
        <v>79</v>
      </c>
      <c r="M296" s="119">
        <v>46149</v>
      </c>
      <c r="N296" s="128">
        <v>46153</v>
      </c>
      <c r="O296" s="120">
        <f>NETWORKDAYS.INTL(K296,N296,1,$AM$2:$AM$10)-1</f>
        <v>7</v>
      </c>
      <c r="P296" s="114" t="s">
        <v>79</v>
      </c>
      <c r="Q296" s="114" t="s">
        <v>79</v>
      </c>
      <c r="R296" s="115"/>
      <c r="S296" s="145">
        <v>2435</v>
      </c>
      <c r="T296" s="148" t="s">
        <v>1246</v>
      </c>
      <c r="U296" s="147">
        <v>6</v>
      </c>
      <c r="V296" s="121">
        <v>24750</v>
      </c>
      <c r="W296" s="121">
        <v>7260</v>
      </c>
      <c r="X296" s="114" t="s">
        <v>84</v>
      </c>
      <c r="Y296" s="115" t="s">
        <v>85</v>
      </c>
      <c r="Z296" s="115" t="s">
        <v>86</v>
      </c>
      <c r="AA296" s="113" t="s">
        <v>87</v>
      </c>
      <c r="AB296" s="122">
        <v>1958.99</v>
      </c>
      <c r="AC296" s="122">
        <f>IF(C296="DENALI", AB296*0.495, IF(C296="SCHNEIDER ELECTRIC", AB296*1.136, IF(C296="WWT", AB296*1.2, AC296)))+AB296</f>
        <v>2928.6900500000002</v>
      </c>
      <c r="AD296" s="129">
        <f>AC296-AB296</f>
        <v>969.70005000000015</v>
      </c>
      <c r="AE296" s="122">
        <v>209706.77</v>
      </c>
      <c r="AF296" s="130">
        <f>AB296/U296</f>
        <v>326.49833333333333</v>
      </c>
      <c r="AG296" s="130">
        <f>AB296/V296</f>
        <v>7.9151111111111117E-2</v>
      </c>
      <c r="AH296" s="123">
        <f>AB296/S296</f>
        <v>0.80451334702258726</v>
      </c>
      <c r="AI296" s="124" t="s">
        <v>97</v>
      </c>
      <c r="AJ296" s="125" t="s">
        <v>349</v>
      </c>
      <c r="AK296"/>
      <c r="AL296"/>
      <c r="AM296" s="80"/>
    </row>
    <row r="297" spans="1:39" s="85" customFormat="1" ht="28.5" customHeight="1">
      <c r="A297" s="113" t="s">
        <v>73</v>
      </c>
      <c r="B297" s="114" t="s">
        <v>74</v>
      </c>
      <c r="C297" s="113" t="s">
        <v>36</v>
      </c>
      <c r="D297" s="113" t="s">
        <v>90</v>
      </c>
      <c r="E297" s="115" t="s">
        <v>1247</v>
      </c>
      <c r="F297" s="113" t="s">
        <v>90</v>
      </c>
      <c r="G297" s="116" t="s">
        <v>1248</v>
      </c>
      <c r="H297" s="79">
        <v>46147</v>
      </c>
      <c r="I297" s="114" t="s">
        <v>79</v>
      </c>
      <c r="J297" s="117" t="s">
        <v>1249</v>
      </c>
      <c r="K297" s="118">
        <v>46142</v>
      </c>
      <c r="L297" s="114" t="s">
        <v>79</v>
      </c>
      <c r="M297" s="119">
        <v>46147</v>
      </c>
      <c r="N297" s="128">
        <v>46148</v>
      </c>
      <c r="O297" s="120">
        <f>NETWORKDAYS.INTL(K297,N297,1,$AM$2:$AM$10)-1</f>
        <v>4</v>
      </c>
      <c r="P297" s="114" t="s">
        <v>81</v>
      </c>
      <c r="Q297" s="114" t="s">
        <v>79</v>
      </c>
      <c r="R297" s="115"/>
      <c r="S297" s="145">
        <v>47</v>
      </c>
      <c r="T297" s="148" t="s">
        <v>1250</v>
      </c>
      <c r="U297" s="147">
        <v>1</v>
      </c>
      <c r="V297" s="121">
        <v>6</v>
      </c>
      <c r="W297" s="121">
        <v>502</v>
      </c>
      <c r="X297" s="114" t="s">
        <v>84</v>
      </c>
      <c r="Y297" s="115" t="s">
        <v>85</v>
      </c>
      <c r="Z297" s="115" t="s">
        <v>86</v>
      </c>
      <c r="AA297" s="113" t="s">
        <v>87</v>
      </c>
      <c r="AB297" s="122">
        <v>280.47000000000003</v>
      </c>
      <c r="AC297" s="122">
        <f>IF(C297="DENALI", AB297*0.495, IF(C297="SCHNEIDER ELECTRIC", AB297*1.136, IF(C297="WWT", AB297*1.2, AC297)))+AB297</f>
        <v>599.08392000000003</v>
      </c>
      <c r="AD297" s="129">
        <f>AC297-AB297</f>
        <v>318.61392000000001</v>
      </c>
      <c r="AE297" s="122">
        <v>3127.92</v>
      </c>
      <c r="AF297" s="130">
        <f>AB297/U297</f>
        <v>280.47000000000003</v>
      </c>
      <c r="AG297" s="130">
        <f>AB297/V297</f>
        <v>46.745000000000005</v>
      </c>
      <c r="AH297" s="123">
        <f>AB297/S297</f>
        <v>5.9674468085106387</v>
      </c>
      <c r="AI297" s="124" t="s">
        <v>97</v>
      </c>
      <c r="AJ297" s="125" t="s">
        <v>98</v>
      </c>
      <c r="AK297"/>
      <c r="AL297"/>
      <c r="AM297" s="80"/>
    </row>
    <row r="298" spans="1:39" s="85" customFormat="1" ht="28.5" customHeight="1">
      <c r="A298" s="113" t="s">
        <v>73</v>
      </c>
      <c r="B298" s="114" t="s">
        <v>74</v>
      </c>
      <c r="C298" s="113" t="s">
        <v>35</v>
      </c>
      <c r="D298" s="113" t="s">
        <v>99</v>
      </c>
      <c r="E298" s="115" t="s">
        <v>1251</v>
      </c>
      <c r="F298" s="113" t="s">
        <v>90</v>
      </c>
      <c r="G298" s="116" t="s">
        <v>1252</v>
      </c>
      <c r="H298" s="79">
        <v>46148</v>
      </c>
      <c r="I298" s="114" t="s">
        <v>79</v>
      </c>
      <c r="J298" s="117" t="s">
        <v>1253</v>
      </c>
      <c r="K298" s="118">
        <v>46142</v>
      </c>
      <c r="L298" s="114" t="s">
        <v>79</v>
      </c>
      <c r="M298" s="119">
        <v>46147</v>
      </c>
      <c r="N298" s="128">
        <v>46148</v>
      </c>
      <c r="O298" s="120">
        <f>NETWORKDAYS.INTL(K298,N298,1,$AM$2:$AM$10)-1</f>
        <v>4</v>
      </c>
      <c r="P298" s="114" t="s">
        <v>81</v>
      </c>
      <c r="Q298" s="114" t="s">
        <v>79</v>
      </c>
      <c r="R298" s="115"/>
      <c r="S298" s="145">
        <v>1290</v>
      </c>
      <c r="T298" s="148" t="s">
        <v>1254</v>
      </c>
      <c r="U298" s="147">
        <v>2</v>
      </c>
      <c r="V298" s="121">
        <v>2</v>
      </c>
      <c r="W298" s="121">
        <v>710</v>
      </c>
      <c r="X298" s="114" t="s">
        <v>84</v>
      </c>
      <c r="Y298" s="115" t="s">
        <v>85</v>
      </c>
      <c r="Z298" s="115" t="s">
        <v>86</v>
      </c>
      <c r="AA298" s="113" t="s">
        <v>87</v>
      </c>
      <c r="AB298" s="122">
        <v>498.91</v>
      </c>
      <c r="AC298" s="122">
        <f>IF(C298="DENALI", AB298*0.495, IF(C298="SCHNEIDER ELECTRIC", AB298*1.136, IF(C298="WWT", AB298*1.2, AC298)))+AB298</f>
        <v>745.87045000000001</v>
      </c>
      <c r="AD298" s="129">
        <f>AC298-AB298</f>
        <v>246.96044999999998</v>
      </c>
      <c r="AE298" s="122">
        <v>25488.799999999999</v>
      </c>
      <c r="AF298" s="130">
        <f>AB298/U298</f>
        <v>249.45500000000001</v>
      </c>
      <c r="AG298" s="130">
        <f>AB298/V298</f>
        <v>249.45500000000001</v>
      </c>
      <c r="AH298" s="123">
        <f>AB298/S298</f>
        <v>0.38675193798449614</v>
      </c>
      <c r="AI298" s="124" t="s">
        <v>1044</v>
      </c>
      <c r="AJ298" s="125" t="s">
        <v>349</v>
      </c>
      <c r="AK298"/>
      <c r="AL298"/>
      <c r="AM298" s="80"/>
    </row>
    <row r="299" spans="1:39" s="85" customFormat="1" ht="28.5" customHeight="1">
      <c r="A299" s="113" t="s">
        <v>73</v>
      </c>
      <c r="B299" s="114" t="s">
        <v>74</v>
      </c>
      <c r="C299" s="113" t="s">
        <v>35</v>
      </c>
      <c r="D299" s="113" t="s">
        <v>99</v>
      </c>
      <c r="E299" s="115" t="s">
        <v>1255</v>
      </c>
      <c r="F299" s="113" t="s">
        <v>207</v>
      </c>
      <c r="G299" s="116">
        <v>22925101</v>
      </c>
      <c r="H299" s="79">
        <v>46150</v>
      </c>
      <c r="I299" s="114" t="s">
        <v>79</v>
      </c>
      <c r="J299" s="117" t="s">
        <v>1256</v>
      </c>
      <c r="K299" s="118">
        <v>46143</v>
      </c>
      <c r="L299" s="114" t="s">
        <v>81</v>
      </c>
      <c r="M299" s="119">
        <v>46146</v>
      </c>
      <c r="N299" s="128">
        <v>46146</v>
      </c>
      <c r="O299" s="120">
        <f>NETWORKDAYS.INTL(K299,N299,1,$AM$2:$AM$10)-1</f>
        <v>1</v>
      </c>
      <c r="P299" s="114" t="s">
        <v>81</v>
      </c>
      <c r="Q299" s="114" t="s">
        <v>79</v>
      </c>
      <c r="R299" s="115"/>
      <c r="S299" s="145">
        <v>2379</v>
      </c>
      <c r="T299" s="148" t="s">
        <v>1257</v>
      </c>
      <c r="U299" s="147">
        <v>12</v>
      </c>
      <c r="V299" s="121">
        <v>1511</v>
      </c>
      <c r="W299" s="121">
        <v>10070</v>
      </c>
      <c r="X299" s="114" t="s">
        <v>113</v>
      </c>
      <c r="Y299" s="115" t="s">
        <v>85</v>
      </c>
      <c r="Z299" s="115" t="s">
        <v>1258</v>
      </c>
      <c r="AA299" s="113" t="s">
        <v>87</v>
      </c>
      <c r="AB299" s="122">
        <v>4625</v>
      </c>
      <c r="AC299" s="122">
        <f>IF(C299="DENALI", AB299*0.495, IF(C299="SCHNEIDER ELECTRIC", AB299*1.136, IF(C299="WWT", AB299*1.2, AC299)))+AB299</f>
        <v>6914.375</v>
      </c>
      <c r="AD299" s="129">
        <f>AC299-AB299</f>
        <v>2289.375</v>
      </c>
      <c r="AE299" s="122">
        <v>158097.94</v>
      </c>
      <c r="AF299" s="130">
        <f>AB299/U299</f>
        <v>385.41666666666669</v>
      </c>
      <c r="AG299" s="130">
        <f>AB299/V299</f>
        <v>3.0608868299139642</v>
      </c>
      <c r="AH299" s="123">
        <f>AB299/S299</f>
        <v>1.9440941572089112</v>
      </c>
      <c r="AI299" s="124" t="s">
        <v>147</v>
      </c>
      <c r="AJ299" s="125" t="s">
        <v>343</v>
      </c>
      <c r="AK299"/>
      <c r="AL299"/>
      <c r="AM299" s="80"/>
    </row>
    <row r="300" spans="1:39" s="85" customFormat="1" ht="28.5" customHeight="1">
      <c r="A300" s="113" t="s">
        <v>73</v>
      </c>
      <c r="B300" s="114" t="s">
        <v>74</v>
      </c>
      <c r="C300" s="113" t="s">
        <v>35</v>
      </c>
      <c r="D300" s="113" t="s">
        <v>99</v>
      </c>
      <c r="E300" s="115" t="s">
        <v>1259</v>
      </c>
      <c r="F300" s="113" t="s">
        <v>99</v>
      </c>
      <c r="G300" s="116">
        <v>22930809</v>
      </c>
      <c r="H300" s="79">
        <v>46154</v>
      </c>
      <c r="I300" s="114" t="s">
        <v>79</v>
      </c>
      <c r="J300" s="117" t="s">
        <v>1260</v>
      </c>
      <c r="K300" s="118">
        <v>46146</v>
      </c>
      <c r="L300" s="114" t="s">
        <v>81</v>
      </c>
      <c r="M300" s="119">
        <v>46146</v>
      </c>
      <c r="N300" s="128">
        <v>46146</v>
      </c>
      <c r="O300" s="120">
        <f>NETWORKDAYS.INTL(K300,N300,1,$AM$2:$AM$10)-1</f>
        <v>0</v>
      </c>
      <c r="P300" s="114" t="s">
        <v>81</v>
      </c>
      <c r="Q300" s="114" t="s">
        <v>79</v>
      </c>
      <c r="R300" s="115"/>
      <c r="S300" s="145">
        <v>142</v>
      </c>
      <c r="T300" s="148" t="s">
        <v>1261</v>
      </c>
      <c r="U300" s="147">
        <v>24</v>
      </c>
      <c r="V300" s="121">
        <v>24</v>
      </c>
      <c r="W300" s="121">
        <v>17280</v>
      </c>
      <c r="X300" s="114" t="s">
        <v>113</v>
      </c>
      <c r="Y300" s="115" t="s">
        <v>85</v>
      </c>
      <c r="Z300" s="115" t="s">
        <v>322</v>
      </c>
      <c r="AA300" s="113" t="s">
        <v>87</v>
      </c>
      <c r="AB300" s="122">
        <v>909.4</v>
      </c>
      <c r="AC300" s="122">
        <f>IF(C300="DENALI", AB300*0.495, IF(C300="SCHNEIDER ELECTRIC", AB300*1.136, IF(C300="WWT", AB300*1.2, AC300)))+AB300</f>
        <v>1359.5529999999999</v>
      </c>
      <c r="AD300" s="129">
        <f>AC300-AB300</f>
        <v>450.15299999999991</v>
      </c>
      <c r="AE300" s="122">
        <v>222413.28</v>
      </c>
      <c r="AF300" s="130">
        <f>AB300/U300</f>
        <v>37.891666666666666</v>
      </c>
      <c r="AG300" s="130">
        <f>AB300/V300</f>
        <v>37.891666666666666</v>
      </c>
      <c r="AH300" s="123">
        <f>AB300/S300</f>
        <v>6.4042253521126762</v>
      </c>
      <c r="AI300" s="124" t="s">
        <v>97</v>
      </c>
      <c r="AJ300" s="125" t="s">
        <v>349</v>
      </c>
      <c r="AK300"/>
      <c r="AL300"/>
      <c r="AM300" s="80"/>
    </row>
    <row r="301" spans="1:39" s="85" customFormat="1" ht="28.5" customHeight="1">
      <c r="A301" s="113" t="s">
        <v>73</v>
      </c>
      <c r="B301" s="114" t="s">
        <v>74</v>
      </c>
      <c r="C301" s="113" t="s">
        <v>35</v>
      </c>
      <c r="D301" s="113" t="s">
        <v>99</v>
      </c>
      <c r="E301" s="115" t="s">
        <v>1262</v>
      </c>
      <c r="F301" s="113" t="s">
        <v>92</v>
      </c>
      <c r="G301" s="116">
        <v>22936388</v>
      </c>
      <c r="H301" s="79">
        <v>46154</v>
      </c>
      <c r="I301" s="114" t="s">
        <v>79</v>
      </c>
      <c r="J301" s="117" t="s">
        <v>1263</v>
      </c>
      <c r="K301" s="118">
        <v>46146</v>
      </c>
      <c r="L301" s="114" t="s">
        <v>81</v>
      </c>
      <c r="M301" s="119">
        <v>46148</v>
      </c>
      <c r="N301" s="128">
        <v>46148</v>
      </c>
      <c r="O301" s="120">
        <f>NETWORKDAYS.INTL(K301,N301,1,$AM$2:$AM$10)-1</f>
        <v>2</v>
      </c>
      <c r="P301" s="114" t="s">
        <v>81</v>
      </c>
      <c r="Q301" s="114" t="s">
        <v>79</v>
      </c>
      <c r="R301" s="115"/>
      <c r="S301" s="145">
        <v>2239</v>
      </c>
      <c r="T301" s="148" t="s">
        <v>1264</v>
      </c>
      <c r="U301" s="147">
        <v>12</v>
      </c>
      <c r="V301" s="121">
        <v>12</v>
      </c>
      <c r="W301" s="121">
        <v>10070</v>
      </c>
      <c r="X301" s="114" t="s">
        <v>113</v>
      </c>
      <c r="Y301" s="115" t="s">
        <v>85</v>
      </c>
      <c r="Z301" s="115" t="s">
        <v>1265</v>
      </c>
      <c r="AA301" s="113" t="s">
        <v>87</v>
      </c>
      <c r="AB301" s="122">
        <v>4583.82</v>
      </c>
      <c r="AC301" s="122">
        <f>IF(C301="DENALI", AB301*0.495, IF(C301="SCHNEIDER ELECTRIC", AB301*1.136, IF(C301="WWT", AB301*1.2, AC301)))+AB301</f>
        <v>6852.8108999999995</v>
      </c>
      <c r="AD301" s="129">
        <f>AC301-AB301</f>
        <v>2268.9908999999998</v>
      </c>
      <c r="AE301" s="122">
        <v>182652.09</v>
      </c>
      <c r="AF301" s="130">
        <f>AB301/U301</f>
        <v>381.98499999999996</v>
      </c>
      <c r="AG301" s="130">
        <f>AB301/V301</f>
        <v>381.98499999999996</v>
      </c>
      <c r="AH301" s="123">
        <f>AB301/S301</f>
        <v>2.0472621706118801</v>
      </c>
      <c r="AI301" s="124" t="s">
        <v>147</v>
      </c>
      <c r="AJ301" s="125" t="s">
        <v>343</v>
      </c>
      <c r="AK301"/>
      <c r="AL301"/>
      <c r="AM301" s="80"/>
    </row>
    <row r="302" spans="1:39" s="85" customFormat="1" ht="28.5" customHeight="1">
      <c r="A302" s="113" t="s">
        <v>73</v>
      </c>
      <c r="B302" s="114" t="s">
        <v>74</v>
      </c>
      <c r="C302" s="113" t="s">
        <v>35</v>
      </c>
      <c r="D302" s="113" t="s">
        <v>99</v>
      </c>
      <c r="E302" s="115" t="s">
        <v>1255</v>
      </c>
      <c r="F302" s="113" t="s">
        <v>207</v>
      </c>
      <c r="G302" s="116" t="s">
        <v>1266</v>
      </c>
      <c r="H302" s="79">
        <v>46155</v>
      </c>
      <c r="I302" s="114" t="s">
        <v>79</v>
      </c>
      <c r="J302" s="117" t="s">
        <v>1267</v>
      </c>
      <c r="K302" s="118">
        <v>46147</v>
      </c>
      <c r="L302" s="114" t="s">
        <v>79</v>
      </c>
      <c r="M302" s="119">
        <v>46150</v>
      </c>
      <c r="N302" s="128">
        <v>46155</v>
      </c>
      <c r="O302" s="120">
        <f>NETWORKDAYS.INTL(K302,N302,1,$AM$2:$AM$10)-1</f>
        <v>6</v>
      </c>
      <c r="P302" s="114" t="s">
        <v>81</v>
      </c>
      <c r="Q302" s="114" t="s">
        <v>79</v>
      </c>
      <c r="R302" s="115"/>
      <c r="S302" s="145">
        <v>2379</v>
      </c>
      <c r="T302" s="148" t="s">
        <v>1257</v>
      </c>
      <c r="U302" s="147">
        <v>2</v>
      </c>
      <c r="V302" s="121">
        <v>38</v>
      </c>
      <c r="W302" s="121">
        <v>950</v>
      </c>
      <c r="X302" s="114" t="s">
        <v>84</v>
      </c>
      <c r="Y302" s="115" t="s">
        <v>85</v>
      </c>
      <c r="Z302" s="115" t="s">
        <v>86</v>
      </c>
      <c r="AA302" s="113" t="s">
        <v>87</v>
      </c>
      <c r="AB302" s="122">
        <v>469.88</v>
      </c>
      <c r="AC302" s="122">
        <f>IF(C302="DENALI", AB302*0.495, IF(C302="SCHNEIDER ELECTRIC", AB302*1.136, IF(C302="WWT", AB302*1.2, AC302)))+AB302</f>
        <v>702.47059999999999</v>
      </c>
      <c r="AD302" s="129">
        <f>AC302-AB302</f>
        <v>232.59059999999999</v>
      </c>
      <c r="AE302" s="122">
        <v>79663.95</v>
      </c>
      <c r="AF302" s="130">
        <f>AB302/U302</f>
        <v>234.94</v>
      </c>
      <c r="AG302" s="130">
        <f>AB302/V302</f>
        <v>12.365263157894736</v>
      </c>
      <c r="AH302" s="123">
        <f>AB302/S302</f>
        <v>0.19751155947877258</v>
      </c>
      <c r="AI302" s="124" t="s">
        <v>147</v>
      </c>
      <c r="AJ302" s="125" t="s">
        <v>343</v>
      </c>
      <c r="AK302"/>
      <c r="AL302"/>
      <c r="AM302" s="80"/>
    </row>
    <row r="303" spans="1:39" s="85" customFormat="1" ht="28.5" customHeight="1">
      <c r="A303" s="113" t="s">
        <v>73</v>
      </c>
      <c r="B303" s="114" t="s">
        <v>74</v>
      </c>
      <c r="C303" s="113" t="s">
        <v>35</v>
      </c>
      <c r="D303" s="113" t="s">
        <v>99</v>
      </c>
      <c r="E303" s="115" t="s">
        <v>1268</v>
      </c>
      <c r="F303" s="113" t="s">
        <v>75</v>
      </c>
      <c r="G303" s="116">
        <v>22966249</v>
      </c>
      <c r="H303" s="79">
        <v>46157</v>
      </c>
      <c r="I303" s="114" t="s">
        <v>79</v>
      </c>
      <c r="J303" s="117" t="s">
        <v>1269</v>
      </c>
      <c r="K303" s="118">
        <v>46150</v>
      </c>
      <c r="L303" s="114" t="s">
        <v>81</v>
      </c>
      <c r="M303" s="119">
        <v>46153</v>
      </c>
      <c r="N303" s="128">
        <v>46154</v>
      </c>
      <c r="O303" s="120">
        <f>NETWORKDAYS.INTL(K303,N303,1,$AM$2:$AM$10)-1</f>
        <v>2</v>
      </c>
      <c r="P303" s="114" t="s">
        <v>81</v>
      </c>
      <c r="Q303" s="114" t="s">
        <v>79</v>
      </c>
      <c r="R303" s="115"/>
      <c r="S303" s="145">
        <v>2780</v>
      </c>
      <c r="T303" s="148" t="s">
        <v>1270</v>
      </c>
      <c r="U303" s="147">
        <v>21</v>
      </c>
      <c r="V303" s="121">
        <v>21</v>
      </c>
      <c r="W303" s="121">
        <v>16863</v>
      </c>
      <c r="X303" s="114" t="s">
        <v>113</v>
      </c>
      <c r="Y303" s="115" t="s">
        <v>85</v>
      </c>
      <c r="Z303" s="115" t="s">
        <v>1271</v>
      </c>
      <c r="AA303" s="113" t="s">
        <v>87</v>
      </c>
      <c r="AB303" s="122">
        <v>7443.87</v>
      </c>
      <c r="AC303" s="122">
        <f>IF(C303="DENALI", AB303*0.495, IF(C303="SCHNEIDER ELECTRIC", AB303*1.136, IF(C303="WWT", AB303*1.2, AC303)))+AB303</f>
        <v>11128.585650000001</v>
      </c>
      <c r="AD303" s="129">
        <f>AC303-AB303</f>
        <v>3684.715650000001</v>
      </c>
      <c r="AE303" s="122">
        <v>281569.87</v>
      </c>
      <c r="AF303" s="130">
        <f>AB303/U303</f>
        <v>354.46999999999997</v>
      </c>
      <c r="AG303" s="130">
        <f>AB303/V303</f>
        <v>354.46999999999997</v>
      </c>
      <c r="AH303" s="123">
        <f>AB303/S303</f>
        <v>2.6776510791366905</v>
      </c>
      <c r="AI303" s="124" t="s">
        <v>97</v>
      </c>
      <c r="AJ303" s="125" t="s">
        <v>349</v>
      </c>
      <c r="AK303"/>
      <c r="AL303"/>
      <c r="AM303" s="80"/>
    </row>
    <row r="304" spans="1:39" ht="28.5" customHeight="1">
      <c r="A304" s="113" t="s">
        <v>73</v>
      </c>
      <c r="B304" s="114" t="s">
        <v>74</v>
      </c>
      <c r="C304" s="113" t="s">
        <v>35</v>
      </c>
      <c r="D304" s="113" t="s">
        <v>99</v>
      </c>
      <c r="E304" s="115" t="s">
        <v>1268</v>
      </c>
      <c r="F304" s="113" t="s">
        <v>75</v>
      </c>
      <c r="G304" s="116">
        <v>22966435</v>
      </c>
      <c r="H304" s="79">
        <v>46157</v>
      </c>
      <c r="I304" s="114" t="s">
        <v>79</v>
      </c>
      <c r="J304" s="117" t="s">
        <v>1272</v>
      </c>
      <c r="K304" s="118">
        <v>46150</v>
      </c>
      <c r="L304" s="114" t="s">
        <v>81</v>
      </c>
      <c r="M304" s="119">
        <v>46153</v>
      </c>
      <c r="N304" s="128">
        <v>46154</v>
      </c>
      <c r="O304" s="120">
        <f>NETWORKDAYS.INTL(K304,N304,1,$AM$2:$AM$10)-1</f>
        <v>2</v>
      </c>
      <c r="P304" s="114" t="s">
        <v>81</v>
      </c>
      <c r="Q304" s="114" t="s">
        <v>79</v>
      </c>
      <c r="R304" s="115"/>
      <c r="S304" s="145">
        <v>2780</v>
      </c>
      <c r="T304" s="148" t="s">
        <v>1273</v>
      </c>
      <c r="U304" s="147">
        <v>20</v>
      </c>
      <c r="V304" s="121">
        <v>20</v>
      </c>
      <c r="W304" s="121">
        <v>16828</v>
      </c>
      <c r="X304" s="114" t="s">
        <v>113</v>
      </c>
      <c r="Y304" s="115" t="s">
        <v>85</v>
      </c>
      <c r="Z304" s="115" t="s">
        <v>1274</v>
      </c>
      <c r="AA304" s="113" t="s">
        <v>87</v>
      </c>
      <c r="AB304" s="122">
        <v>7443.87</v>
      </c>
      <c r="AC304" s="122">
        <f>IF(C304="DENALI", AB304*0.495, IF(C304="SCHNEIDER ELECTRIC", AB304*1.136, IF(C304="WWT", AB304*1.2, AC304)))+AB304</f>
        <v>11128.585650000001</v>
      </c>
      <c r="AD304" s="129">
        <f>AC304-AB304</f>
        <v>3684.715650000001</v>
      </c>
      <c r="AE304" s="122">
        <v>281469.87</v>
      </c>
      <c r="AF304" s="130">
        <f>AB304/U304</f>
        <v>372.19349999999997</v>
      </c>
      <c r="AG304" s="130">
        <f>AB304/V304</f>
        <v>372.19349999999997</v>
      </c>
      <c r="AH304" s="123">
        <f>AB304/S304</f>
        <v>2.6776510791366905</v>
      </c>
      <c r="AI304" s="124" t="s">
        <v>97</v>
      </c>
      <c r="AJ304" s="125" t="s">
        <v>349</v>
      </c>
      <c r="AK304"/>
      <c r="AM304" s="80"/>
    </row>
    <row r="305" spans="1:39" ht="28.5" customHeight="1">
      <c r="A305" s="113" t="s">
        <v>73</v>
      </c>
      <c r="B305" s="114" t="s">
        <v>140</v>
      </c>
      <c r="C305" s="113" t="s">
        <v>35</v>
      </c>
      <c r="D305" s="113" t="s">
        <v>218</v>
      </c>
      <c r="E305" s="115" t="s">
        <v>141</v>
      </c>
      <c r="F305" s="113" t="s">
        <v>142</v>
      </c>
      <c r="G305" s="116" t="s">
        <v>1275</v>
      </c>
      <c r="H305" s="79">
        <v>46157</v>
      </c>
      <c r="I305" s="114" t="s">
        <v>79</v>
      </c>
      <c r="J305" s="117" t="s">
        <v>1276</v>
      </c>
      <c r="K305" s="118">
        <v>46148</v>
      </c>
      <c r="L305" s="114" t="s">
        <v>81</v>
      </c>
      <c r="M305" s="119">
        <v>46149</v>
      </c>
      <c r="N305" s="128">
        <v>46150</v>
      </c>
      <c r="O305" s="120">
        <f>NETWORKDAYS.INTL(K305,N305,1,$AM$2:$AM$10)-1</f>
        <v>2</v>
      </c>
      <c r="P305" s="114" t="s">
        <v>81</v>
      </c>
      <c r="Q305" s="114" t="s">
        <v>79</v>
      </c>
      <c r="R305" s="115"/>
      <c r="S305" s="145">
        <v>441</v>
      </c>
      <c r="T305" s="148" t="s">
        <v>410</v>
      </c>
      <c r="U305" s="147">
        <v>5</v>
      </c>
      <c r="V305" s="121">
        <v>4</v>
      </c>
      <c r="W305" s="121">
        <v>1844</v>
      </c>
      <c r="X305" s="114" t="s">
        <v>84</v>
      </c>
      <c r="Y305" s="115" t="s">
        <v>85</v>
      </c>
      <c r="Z305" s="115" t="s">
        <v>160</v>
      </c>
      <c r="AA305" s="113" t="s">
        <v>87</v>
      </c>
      <c r="AB305" s="122">
        <v>476.73</v>
      </c>
      <c r="AC305" s="122">
        <f>IF(C305="DENALI", AB305*0.495, IF(C305="SCHNEIDER ELECTRIC", AB305*1.136, IF(C305="WWT", AB305*1.2, AC305)))+AB305</f>
        <v>712.71135000000004</v>
      </c>
      <c r="AD305" s="129">
        <f>AC305-AB305</f>
        <v>235.98135000000002</v>
      </c>
      <c r="AE305" s="122">
        <v>27134.6</v>
      </c>
      <c r="AF305" s="130">
        <f>AB305/U305</f>
        <v>95.346000000000004</v>
      </c>
      <c r="AG305" s="130">
        <f>AB305/V305</f>
        <v>119.1825</v>
      </c>
      <c r="AH305" s="123">
        <f>AB305/S305</f>
        <v>1.0810204081632653</v>
      </c>
      <c r="AI305" s="124" t="s">
        <v>155</v>
      </c>
      <c r="AJ305" s="125" t="s">
        <v>89</v>
      </c>
      <c r="AK305"/>
      <c r="AM305" s="80"/>
    </row>
    <row r="306" spans="1:39" ht="28.5" customHeight="1">
      <c r="A306" s="113" t="s">
        <v>73</v>
      </c>
      <c r="B306" s="114" t="s">
        <v>74</v>
      </c>
      <c r="C306" s="113" t="s">
        <v>35</v>
      </c>
      <c r="D306" s="113" t="s">
        <v>218</v>
      </c>
      <c r="E306" s="115" t="s">
        <v>1277</v>
      </c>
      <c r="F306" s="113" t="s">
        <v>189</v>
      </c>
      <c r="G306" s="116" t="s">
        <v>1278</v>
      </c>
      <c r="H306" s="79">
        <v>46157</v>
      </c>
      <c r="I306" s="114" t="s">
        <v>79</v>
      </c>
      <c r="J306" s="117" t="s">
        <v>1279</v>
      </c>
      <c r="K306" s="118">
        <v>46148</v>
      </c>
      <c r="L306" s="114" t="s">
        <v>81</v>
      </c>
      <c r="M306" s="119">
        <v>46150</v>
      </c>
      <c r="N306" s="128">
        <v>46153</v>
      </c>
      <c r="O306" s="120">
        <f>NETWORKDAYS.INTL(K306,N306,1,$AM$2:$AM$10)-1</f>
        <v>3</v>
      </c>
      <c r="P306" s="114" t="s">
        <v>81</v>
      </c>
      <c r="Q306" s="114" t="s">
        <v>79</v>
      </c>
      <c r="R306" s="115"/>
      <c r="S306" s="145">
        <v>1541</v>
      </c>
      <c r="T306" s="148" t="s">
        <v>1280</v>
      </c>
      <c r="U306" s="147">
        <v>1</v>
      </c>
      <c r="V306" s="121">
        <v>518</v>
      </c>
      <c r="W306" s="121">
        <v>470</v>
      </c>
      <c r="X306" s="114" t="s">
        <v>84</v>
      </c>
      <c r="Y306" s="115" t="s">
        <v>85</v>
      </c>
      <c r="Z306" s="115" t="s">
        <v>86</v>
      </c>
      <c r="AA306" s="113" t="s">
        <v>87</v>
      </c>
      <c r="AB306" s="122">
        <v>327.26</v>
      </c>
      <c r="AC306" s="122">
        <f>IF(C306="DENALI", AB306*0.495, IF(C306="SCHNEIDER ELECTRIC", AB306*1.136, IF(C306="WWT", AB306*1.2, AC306)))+AB306</f>
        <v>489.25369999999998</v>
      </c>
      <c r="AD306" s="129">
        <f>AC306-AB306</f>
        <v>161.99369999999999</v>
      </c>
      <c r="AE306" s="122">
        <v>101767.32</v>
      </c>
      <c r="AF306" s="130">
        <f>AB306/U306</f>
        <v>327.26</v>
      </c>
      <c r="AG306" s="130">
        <f>AB306/V306</f>
        <v>0.63177606177606171</v>
      </c>
      <c r="AH306" s="123">
        <f>AB306/S306</f>
        <v>0.21236859182349124</v>
      </c>
      <c r="AI306" s="124" t="s">
        <v>97</v>
      </c>
      <c r="AJ306" s="125" t="s">
        <v>349</v>
      </c>
      <c r="AK306"/>
      <c r="AM306" s="80"/>
    </row>
    <row r="307" spans="1:39" ht="28.5" customHeight="1">
      <c r="A307" s="113" t="s">
        <v>73</v>
      </c>
      <c r="B307" s="114" t="s">
        <v>74</v>
      </c>
      <c r="C307" s="113" t="s">
        <v>35</v>
      </c>
      <c r="D307" s="113" t="s">
        <v>218</v>
      </c>
      <c r="E307" s="115" t="s">
        <v>779</v>
      </c>
      <c r="F307" s="113" t="s">
        <v>254</v>
      </c>
      <c r="G307" s="116" t="s">
        <v>1281</v>
      </c>
      <c r="H307" s="79">
        <v>46155</v>
      </c>
      <c r="I307" s="114" t="s">
        <v>79</v>
      </c>
      <c r="J307" s="117" t="s">
        <v>1282</v>
      </c>
      <c r="K307" s="118">
        <v>46148</v>
      </c>
      <c r="L307" s="114" t="s">
        <v>81</v>
      </c>
      <c r="M307" s="119">
        <v>46150</v>
      </c>
      <c r="N307" s="128">
        <v>46150</v>
      </c>
      <c r="O307" s="120">
        <f>NETWORKDAYS.INTL(K307,N307,1,$AM$2:$AM$10)-1</f>
        <v>2</v>
      </c>
      <c r="P307" s="114" t="s">
        <v>81</v>
      </c>
      <c r="Q307" s="114" t="s">
        <v>79</v>
      </c>
      <c r="R307" s="115"/>
      <c r="S307" s="145">
        <v>634</v>
      </c>
      <c r="T307" s="148" t="s">
        <v>1283</v>
      </c>
      <c r="U307" s="147">
        <v>1</v>
      </c>
      <c r="V307" s="121">
        <v>45</v>
      </c>
      <c r="W307" s="121">
        <v>500</v>
      </c>
      <c r="X307" s="114" t="s">
        <v>84</v>
      </c>
      <c r="Y307" s="115" t="s">
        <v>85</v>
      </c>
      <c r="Z307" s="115" t="s">
        <v>86</v>
      </c>
      <c r="AA307" s="113" t="s">
        <v>87</v>
      </c>
      <c r="AB307" s="122">
        <v>275.10000000000002</v>
      </c>
      <c r="AC307" s="122">
        <f>IF(C307="DENALI", AB307*0.495, IF(C307="SCHNEIDER ELECTRIC", AB307*1.136, IF(C307="WWT", AB307*1.2, AC307)))+AB307</f>
        <v>411.27450000000005</v>
      </c>
      <c r="AD307" s="129">
        <f>AC307-AB307</f>
        <v>136.17450000000002</v>
      </c>
      <c r="AE307" s="122">
        <v>2369.6999999999998</v>
      </c>
      <c r="AF307" s="130">
        <f>AB307/U307</f>
        <v>275.10000000000002</v>
      </c>
      <c r="AG307" s="130">
        <f>AB307/V307</f>
        <v>6.1133333333333342</v>
      </c>
      <c r="AH307" s="123">
        <f>AB307/S307</f>
        <v>0.43391167192429025</v>
      </c>
      <c r="AI307" s="124" t="s">
        <v>147</v>
      </c>
      <c r="AJ307" s="125" t="s">
        <v>343</v>
      </c>
      <c r="AK307"/>
      <c r="AM307" s="80"/>
    </row>
    <row r="308" spans="1:39" ht="28.5" customHeight="1">
      <c r="A308" s="113" t="s">
        <v>73</v>
      </c>
      <c r="B308" s="114" t="s">
        <v>74</v>
      </c>
      <c r="C308" s="113" t="s">
        <v>35</v>
      </c>
      <c r="D308" s="113" t="s">
        <v>218</v>
      </c>
      <c r="E308" s="115" t="s">
        <v>1284</v>
      </c>
      <c r="F308" s="113" t="s">
        <v>207</v>
      </c>
      <c r="G308" s="116">
        <v>22971080</v>
      </c>
      <c r="H308" s="79">
        <v>46157</v>
      </c>
      <c r="I308" s="114" t="s">
        <v>79</v>
      </c>
      <c r="J308" s="117" t="s">
        <v>1285</v>
      </c>
      <c r="K308" s="118">
        <v>46150</v>
      </c>
      <c r="L308" s="114" t="s">
        <v>81</v>
      </c>
      <c r="M308" s="119">
        <v>46153</v>
      </c>
      <c r="N308" s="128">
        <v>46153</v>
      </c>
      <c r="O308" s="120">
        <f>NETWORKDAYS.INTL(K308,N308,1,$AM$2:$AM$10)-1</f>
        <v>1</v>
      </c>
      <c r="P308" s="114" t="s">
        <v>81</v>
      </c>
      <c r="Q308" s="114" t="s">
        <v>79</v>
      </c>
      <c r="R308" s="115"/>
      <c r="S308" s="145">
        <v>2395</v>
      </c>
      <c r="T308" s="148" t="s">
        <v>1286</v>
      </c>
      <c r="U308" s="147">
        <v>24</v>
      </c>
      <c r="V308" s="121">
        <v>480</v>
      </c>
      <c r="W308" s="121">
        <v>17280</v>
      </c>
      <c r="X308" s="114" t="s">
        <v>113</v>
      </c>
      <c r="Y308" s="115" t="s">
        <v>85</v>
      </c>
      <c r="Z308" s="115" t="s">
        <v>1287</v>
      </c>
      <c r="AA308" s="113" t="s">
        <v>87</v>
      </c>
      <c r="AB308" s="122">
        <v>5740.28</v>
      </c>
      <c r="AC308" s="122">
        <f>IF(C308="DENALI", AB308*0.495, IF(C308="SCHNEIDER ELECTRIC", AB308*1.136, IF(C308="WWT", AB308*1.2, AC308)))+AB308</f>
        <v>8581.7186000000002</v>
      </c>
      <c r="AD308" s="129">
        <f>AC308-AB308</f>
        <v>2841.4386000000004</v>
      </c>
      <c r="AE308" s="122">
        <v>222413.28</v>
      </c>
      <c r="AF308" s="130">
        <f>AB308/U308</f>
        <v>239.17833333333331</v>
      </c>
      <c r="AG308" s="130">
        <f>AB308/V308</f>
        <v>11.958916666666665</v>
      </c>
      <c r="AH308" s="123">
        <f>AB308/S308</f>
        <v>2.396776617954071</v>
      </c>
      <c r="AI308" s="124" t="s">
        <v>97</v>
      </c>
      <c r="AJ308" s="125" t="s">
        <v>349</v>
      </c>
      <c r="AK308"/>
      <c r="AM308" s="80"/>
    </row>
    <row r="309" spans="1:39" ht="28.5" customHeight="1">
      <c r="A309" s="113" t="s">
        <v>73</v>
      </c>
      <c r="B309" s="114" t="s">
        <v>74</v>
      </c>
      <c r="C309" s="113" t="s">
        <v>35</v>
      </c>
      <c r="D309" s="113" t="s">
        <v>218</v>
      </c>
      <c r="E309" s="115" t="s">
        <v>1288</v>
      </c>
      <c r="F309" s="113" t="s">
        <v>585</v>
      </c>
      <c r="G309" s="116" t="s">
        <v>1289</v>
      </c>
      <c r="H309" s="79">
        <v>46157</v>
      </c>
      <c r="I309" s="114" t="s">
        <v>79</v>
      </c>
      <c r="J309" s="117" t="s">
        <v>1290</v>
      </c>
      <c r="K309" s="118">
        <v>46148</v>
      </c>
      <c r="L309" s="114" t="s">
        <v>79</v>
      </c>
      <c r="M309" s="119">
        <v>46149</v>
      </c>
      <c r="N309" s="128">
        <v>46155</v>
      </c>
      <c r="O309" s="120">
        <f>NETWORKDAYS.INTL(K309,N309,1,$AM$2:$AM$10)-1</f>
        <v>5</v>
      </c>
      <c r="P309" s="114" t="s">
        <v>81</v>
      </c>
      <c r="Q309" s="114" t="s">
        <v>79</v>
      </c>
      <c r="R309" s="115"/>
      <c r="S309" s="145">
        <v>1891</v>
      </c>
      <c r="T309" s="148" t="s">
        <v>1291</v>
      </c>
      <c r="U309" s="147">
        <v>2</v>
      </c>
      <c r="V309" s="121">
        <v>152</v>
      </c>
      <c r="W309" s="121">
        <v>1050</v>
      </c>
      <c r="X309" s="114" t="s">
        <v>84</v>
      </c>
      <c r="Y309" s="115" t="s">
        <v>85</v>
      </c>
      <c r="Z309" s="115" t="s">
        <v>86</v>
      </c>
      <c r="AA309" s="113" t="s">
        <v>87</v>
      </c>
      <c r="AB309" s="122">
        <v>669.95</v>
      </c>
      <c r="AC309" s="122">
        <f>IF(C309="DENALI", AB309*0.495, IF(C309="SCHNEIDER ELECTRIC", AB309*1.136, IF(C309="WWT", AB309*1.2, AC309)))+AB309</f>
        <v>1001.5752500000001</v>
      </c>
      <c r="AD309" s="129">
        <f>AC309-AB309</f>
        <v>331.62525000000005</v>
      </c>
      <c r="AE309" s="122">
        <v>13555.47</v>
      </c>
      <c r="AF309" s="130">
        <f>AB309/U309</f>
        <v>334.97500000000002</v>
      </c>
      <c r="AG309" s="130">
        <f>AB309/V309</f>
        <v>4.4075657894736846</v>
      </c>
      <c r="AH309" s="123">
        <f>AB309/S309</f>
        <v>0.35428344791115812</v>
      </c>
      <c r="AI309" s="124" t="s">
        <v>97</v>
      </c>
      <c r="AJ309" s="125" t="s">
        <v>349</v>
      </c>
      <c r="AK309"/>
      <c r="AM309" s="80"/>
    </row>
    <row r="310" spans="1:39" ht="28.5" customHeight="1">
      <c r="A310" s="113" t="s">
        <v>73</v>
      </c>
      <c r="B310" s="114" t="s">
        <v>74</v>
      </c>
      <c r="C310" s="113" t="s">
        <v>35</v>
      </c>
      <c r="D310" s="113" t="s">
        <v>99</v>
      </c>
      <c r="E310" s="115" t="s">
        <v>1066</v>
      </c>
      <c r="F310" s="113" t="s">
        <v>370</v>
      </c>
      <c r="G310" s="116" t="s">
        <v>1292</v>
      </c>
      <c r="H310" s="79">
        <v>46156</v>
      </c>
      <c r="I310" s="114" t="s">
        <v>79</v>
      </c>
      <c r="J310" s="117" t="s">
        <v>1293</v>
      </c>
      <c r="K310" s="118">
        <v>46149</v>
      </c>
      <c r="L310" s="114" t="s">
        <v>81</v>
      </c>
      <c r="M310" s="119">
        <v>46150</v>
      </c>
      <c r="N310" s="128">
        <v>46153</v>
      </c>
      <c r="O310" s="120">
        <f>NETWORKDAYS.INTL(K310,N310,1,$AM$2:$AM$10)-1</f>
        <v>2</v>
      </c>
      <c r="P310" s="114" t="s">
        <v>81</v>
      </c>
      <c r="Q310" s="114" t="s">
        <v>79</v>
      </c>
      <c r="R310" s="115"/>
      <c r="S310" s="145">
        <v>675</v>
      </c>
      <c r="T310" s="148" t="s">
        <v>1294</v>
      </c>
      <c r="U310" s="147">
        <v>2</v>
      </c>
      <c r="V310" s="121">
        <v>194</v>
      </c>
      <c r="W310" s="121">
        <v>690</v>
      </c>
      <c r="X310" s="114" t="s">
        <v>84</v>
      </c>
      <c r="Y310" s="115" t="s">
        <v>85</v>
      </c>
      <c r="Z310" s="115" t="s">
        <v>86</v>
      </c>
      <c r="AA310" s="113" t="s">
        <v>87</v>
      </c>
      <c r="AB310" s="122">
        <v>257.48</v>
      </c>
      <c r="AC310" s="122">
        <f>IF(C310="DENALI", AB310*0.495, IF(C310="SCHNEIDER ELECTRIC", AB310*1.136, IF(C310="WWT", AB310*1.2, AC310)))+AB310</f>
        <v>384.93260000000004</v>
      </c>
      <c r="AD310" s="129">
        <f>AC310-AB310</f>
        <v>127.45260000000002</v>
      </c>
      <c r="AE310" s="122">
        <v>29973</v>
      </c>
      <c r="AF310" s="130">
        <f>AB310/U310</f>
        <v>128.74</v>
      </c>
      <c r="AG310" s="130">
        <f>AB310/V310</f>
        <v>1.3272164948453609</v>
      </c>
      <c r="AH310" s="123">
        <f>AB310/S310</f>
        <v>0.38145185185185188</v>
      </c>
      <c r="AI310" s="124" t="s">
        <v>97</v>
      </c>
      <c r="AJ310" s="125" t="s">
        <v>349</v>
      </c>
      <c r="AK310"/>
      <c r="AM310" s="80"/>
    </row>
    <row r="311" spans="1:39" ht="28.5" customHeight="1">
      <c r="A311" s="113" t="s">
        <v>73</v>
      </c>
      <c r="B311" s="114" t="s">
        <v>74</v>
      </c>
      <c r="C311" s="113" t="s">
        <v>35</v>
      </c>
      <c r="D311" s="113" t="s">
        <v>218</v>
      </c>
      <c r="E311" s="115" t="s">
        <v>1262</v>
      </c>
      <c r="F311" s="113" t="s">
        <v>92</v>
      </c>
      <c r="G311" s="116" t="s">
        <v>1295</v>
      </c>
      <c r="H311" s="79">
        <v>46156</v>
      </c>
      <c r="I311" s="114" t="s">
        <v>79</v>
      </c>
      <c r="J311" s="117" t="s">
        <v>1296</v>
      </c>
      <c r="K311" s="118">
        <v>46149</v>
      </c>
      <c r="L311" s="114" t="s">
        <v>81</v>
      </c>
      <c r="M311" s="119">
        <v>46150</v>
      </c>
      <c r="N311" s="128">
        <v>46153</v>
      </c>
      <c r="O311" s="120">
        <f>NETWORKDAYS.INTL(K311,N311,1,$AM$2:$AM$10)-1</f>
        <v>2</v>
      </c>
      <c r="P311" s="114" t="s">
        <v>81</v>
      </c>
      <c r="Q311" s="114" t="s">
        <v>79</v>
      </c>
      <c r="R311" s="115"/>
      <c r="S311" s="145">
        <v>1316</v>
      </c>
      <c r="T311" s="148" t="s">
        <v>1297</v>
      </c>
      <c r="U311" s="147">
        <v>1</v>
      </c>
      <c r="V311" s="121">
        <v>119</v>
      </c>
      <c r="W311" s="121">
        <v>550</v>
      </c>
      <c r="X311" s="114" t="s">
        <v>84</v>
      </c>
      <c r="Y311" s="115" t="s">
        <v>85</v>
      </c>
      <c r="Z311" s="115" t="s">
        <v>86</v>
      </c>
      <c r="AA311" s="113" t="s">
        <v>87</v>
      </c>
      <c r="AB311" s="122">
        <v>398.89</v>
      </c>
      <c r="AC311" s="122">
        <f>IF(C311="DENALI", AB311*0.495, IF(C311="SCHNEIDER ELECTRIC", AB311*1.136, IF(C311="WWT", AB311*1.2, AC311)))+AB311</f>
        <v>596.34055000000001</v>
      </c>
      <c r="AD311" s="129">
        <f>AC311-AB311</f>
        <v>197.45055000000002</v>
      </c>
      <c r="AE311" s="122">
        <v>13555.47</v>
      </c>
      <c r="AF311" s="130">
        <f>AB311/U311</f>
        <v>398.89</v>
      </c>
      <c r="AG311" s="130">
        <f>AB311/V311</f>
        <v>3.352016806722689</v>
      </c>
      <c r="AH311" s="123">
        <f>AB311/S311</f>
        <v>0.30310790273556232</v>
      </c>
      <c r="AI311" s="124" t="s">
        <v>147</v>
      </c>
      <c r="AJ311" s="125" t="s">
        <v>343</v>
      </c>
      <c r="AK311"/>
      <c r="AM311" s="80"/>
    </row>
    <row r="312" spans="1:39" ht="28.5" customHeight="1">
      <c r="A312" s="113" t="s">
        <v>73</v>
      </c>
      <c r="B312" s="114" t="s">
        <v>74</v>
      </c>
      <c r="C312" s="113" t="s">
        <v>35</v>
      </c>
      <c r="D312" s="113" t="s">
        <v>218</v>
      </c>
      <c r="E312" s="115" t="s">
        <v>543</v>
      </c>
      <c r="F312" s="113" t="s">
        <v>1103</v>
      </c>
      <c r="G312" s="116" t="s">
        <v>1298</v>
      </c>
      <c r="H312" s="79">
        <v>46156</v>
      </c>
      <c r="I312" s="114" t="s">
        <v>79</v>
      </c>
      <c r="J312" s="117" t="s">
        <v>1299</v>
      </c>
      <c r="K312" s="118">
        <v>46149</v>
      </c>
      <c r="L312" s="114" t="s">
        <v>81</v>
      </c>
      <c r="M312" s="119">
        <v>46154</v>
      </c>
      <c r="N312" s="128">
        <v>46154</v>
      </c>
      <c r="O312" s="120">
        <f>NETWORKDAYS.INTL(K312,N312,1,$AM$2:$AM$10)-1</f>
        <v>3</v>
      </c>
      <c r="P312" s="114" t="s">
        <v>81</v>
      </c>
      <c r="Q312" s="114" t="s">
        <v>79</v>
      </c>
      <c r="R312" s="115"/>
      <c r="S312" s="145">
        <v>653</v>
      </c>
      <c r="T312" s="148" t="s">
        <v>1300</v>
      </c>
      <c r="U312" s="147">
        <v>2</v>
      </c>
      <c r="V312" s="121">
        <v>194</v>
      </c>
      <c r="W312" s="121">
        <v>690</v>
      </c>
      <c r="X312" s="114" t="s">
        <v>84</v>
      </c>
      <c r="Y312" s="115" t="s">
        <v>85</v>
      </c>
      <c r="Z312" s="115" t="s">
        <v>770</v>
      </c>
      <c r="AA312" s="113" t="s">
        <v>87</v>
      </c>
      <c r="AB312" s="122">
        <v>263.38</v>
      </c>
      <c r="AC312" s="122">
        <f>IF(C312="DENALI", AB312*0.495, IF(C312="SCHNEIDER ELECTRIC", AB312*1.136, IF(C312="WWT", AB312*1.2, AC312)))+AB312</f>
        <v>393.75310000000002</v>
      </c>
      <c r="AD312" s="129">
        <f>AC312-AB312</f>
        <v>130.37310000000002</v>
      </c>
      <c r="AE312" s="122">
        <v>29973</v>
      </c>
      <c r="AF312" s="130">
        <f>AB312/U312</f>
        <v>131.69</v>
      </c>
      <c r="AG312" s="130">
        <f>AB312/V312</f>
        <v>1.3576288659793814</v>
      </c>
      <c r="AH312" s="123">
        <f>AB312/S312</f>
        <v>0.4033384379785605</v>
      </c>
      <c r="AI312" s="124" t="s">
        <v>97</v>
      </c>
      <c r="AJ312" s="125" t="s">
        <v>349</v>
      </c>
      <c r="AK312"/>
      <c r="AM312" s="80"/>
    </row>
    <row r="313" spans="1:39" ht="28.5" customHeight="1">
      <c r="A313" s="113" t="s">
        <v>73</v>
      </c>
      <c r="B313" s="114" t="s">
        <v>74</v>
      </c>
      <c r="C313" s="113" t="s">
        <v>35</v>
      </c>
      <c r="D313" s="113" t="s">
        <v>218</v>
      </c>
      <c r="E313" s="115" t="s">
        <v>951</v>
      </c>
      <c r="F313" s="113" t="s">
        <v>109</v>
      </c>
      <c r="G313" s="116" t="s">
        <v>1301</v>
      </c>
      <c r="H313" s="79">
        <v>46156</v>
      </c>
      <c r="I313" s="114" t="s">
        <v>79</v>
      </c>
      <c r="J313" s="117" t="s">
        <v>1302</v>
      </c>
      <c r="K313" s="118">
        <v>46149</v>
      </c>
      <c r="L313" s="114" t="s">
        <v>81</v>
      </c>
      <c r="M313" s="119">
        <v>46150</v>
      </c>
      <c r="N313" s="128">
        <v>46153</v>
      </c>
      <c r="O313" s="120">
        <f>NETWORKDAYS.INTL(K313,N313,1,$AM$2:$AM$10)-1</f>
        <v>2</v>
      </c>
      <c r="P313" s="114" t="s">
        <v>81</v>
      </c>
      <c r="Q313" s="114" t="s">
        <v>79</v>
      </c>
      <c r="R313" s="115"/>
      <c r="S313" s="145">
        <v>1035</v>
      </c>
      <c r="T313" s="148" t="s">
        <v>1303</v>
      </c>
      <c r="U313" s="147">
        <v>2</v>
      </c>
      <c r="V313" s="121">
        <v>194</v>
      </c>
      <c r="W313" s="121">
        <v>690</v>
      </c>
      <c r="X313" s="114" t="s">
        <v>84</v>
      </c>
      <c r="Y313" s="115" t="s">
        <v>85</v>
      </c>
      <c r="Z313" s="115" t="s">
        <v>86</v>
      </c>
      <c r="AA313" s="113" t="s">
        <v>87</v>
      </c>
      <c r="AB313" s="122">
        <v>460.71</v>
      </c>
      <c r="AC313" s="122">
        <f>IF(C313="DENALI", AB313*0.495, IF(C313="SCHNEIDER ELECTRIC", AB313*1.136, IF(C313="WWT", AB313*1.2, AC313)))+AB313</f>
        <v>688.76144999999997</v>
      </c>
      <c r="AD313" s="129">
        <f>AC313-AB313</f>
        <v>228.05144999999999</v>
      </c>
      <c r="AE313" s="122">
        <v>29973</v>
      </c>
      <c r="AF313" s="130">
        <f>AB313/U313</f>
        <v>230.35499999999999</v>
      </c>
      <c r="AG313" s="130">
        <f>AB313/V313</f>
        <v>2.3747938144329894</v>
      </c>
      <c r="AH313" s="123">
        <f>AB313/S313</f>
        <v>0.44513043478260866</v>
      </c>
      <c r="AI313" s="124" t="s">
        <v>97</v>
      </c>
      <c r="AJ313" s="125" t="s">
        <v>349</v>
      </c>
      <c r="AK313"/>
      <c r="AM313" s="80"/>
    </row>
    <row r="314" spans="1:39" ht="28.5" customHeight="1">
      <c r="A314" s="113" t="s">
        <v>73</v>
      </c>
      <c r="B314" s="114" t="s">
        <v>74</v>
      </c>
      <c r="C314" s="113" t="s">
        <v>35</v>
      </c>
      <c r="D314" s="113" t="s">
        <v>218</v>
      </c>
      <c r="E314" s="115" t="s">
        <v>883</v>
      </c>
      <c r="F314" s="113" t="s">
        <v>254</v>
      </c>
      <c r="G314" s="116" t="s">
        <v>1304</v>
      </c>
      <c r="H314" s="79">
        <v>46157</v>
      </c>
      <c r="I314" s="114" t="s">
        <v>79</v>
      </c>
      <c r="J314" s="117" t="s">
        <v>1305</v>
      </c>
      <c r="K314" s="118">
        <v>46149</v>
      </c>
      <c r="L314" s="114" t="s">
        <v>81</v>
      </c>
      <c r="M314" s="119">
        <v>46153</v>
      </c>
      <c r="N314" s="128">
        <v>46153</v>
      </c>
      <c r="O314" s="120">
        <f>NETWORKDAYS.INTL(K314,N314,1,$AM$2:$AM$10)-1</f>
        <v>2</v>
      </c>
      <c r="P314" s="114" t="s">
        <v>81</v>
      </c>
      <c r="Q314" s="114" t="s">
        <v>79</v>
      </c>
      <c r="R314" s="115"/>
      <c r="S314" s="145">
        <v>629</v>
      </c>
      <c r="T314" s="148" t="s">
        <v>1306</v>
      </c>
      <c r="U314" s="147">
        <v>2</v>
      </c>
      <c r="V314" s="121">
        <v>194</v>
      </c>
      <c r="W314" s="121">
        <v>690</v>
      </c>
      <c r="X314" s="114" t="s">
        <v>84</v>
      </c>
      <c r="Y314" s="115" t="s">
        <v>85</v>
      </c>
      <c r="Z314" s="115" t="s">
        <v>86</v>
      </c>
      <c r="AA314" s="113" t="s">
        <v>87</v>
      </c>
      <c r="AB314" s="122">
        <v>353.69</v>
      </c>
      <c r="AC314" s="122">
        <f>IF(C314="DENALI", AB314*0.495, IF(C314="SCHNEIDER ELECTRIC", AB314*1.136, IF(C314="WWT", AB314*1.2, AC314)))+AB314</f>
        <v>528.76655000000005</v>
      </c>
      <c r="AD314" s="129">
        <f>AC314-AB314</f>
        <v>175.07655000000005</v>
      </c>
      <c r="AE314" s="122">
        <v>29973</v>
      </c>
      <c r="AF314" s="130">
        <f>AB314/U314</f>
        <v>176.845</v>
      </c>
      <c r="AG314" s="130">
        <f>AB314/V314</f>
        <v>1.8231443298969072</v>
      </c>
      <c r="AH314" s="123">
        <f>AB314/S314</f>
        <v>0.56230524642289348</v>
      </c>
      <c r="AI314" s="124" t="s">
        <v>97</v>
      </c>
      <c r="AJ314" s="125" t="s">
        <v>349</v>
      </c>
      <c r="AK314"/>
      <c r="AM314" s="80"/>
    </row>
    <row r="315" spans="1:39" ht="28.5" customHeight="1">
      <c r="A315" s="113" t="s">
        <v>73</v>
      </c>
      <c r="B315" s="114" t="s">
        <v>74</v>
      </c>
      <c r="C315" s="113" t="s">
        <v>35</v>
      </c>
      <c r="D315" s="113" t="s">
        <v>218</v>
      </c>
      <c r="E315" s="115" t="s">
        <v>1259</v>
      </c>
      <c r="F315" s="113" t="s">
        <v>99</v>
      </c>
      <c r="G315" s="116" t="s">
        <v>1307</v>
      </c>
      <c r="H315" s="79">
        <v>46156</v>
      </c>
      <c r="I315" s="114" t="s">
        <v>79</v>
      </c>
      <c r="J315" s="117" t="s">
        <v>1308</v>
      </c>
      <c r="K315" s="118">
        <v>46149</v>
      </c>
      <c r="L315" s="114" t="s">
        <v>81</v>
      </c>
      <c r="M315" s="119">
        <v>46150</v>
      </c>
      <c r="N315" s="128">
        <v>46155</v>
      </c>
      <c r="O315" s="120">
        <f>NETWORKDAYS.INTL(K315,N315,1,$AM$2:$AM$10)-1</f>
        <v>4</v>
      </c>
      <c r="P315" s="114" t="s">
        <v>81</v>
      </c>
      <c r="Q315" s="114" t="s">
        <v>79</v>
      </c>
      <c r="R315" s="115"/>
      <c r="S315" s="145">
        <v>2302</v>
      </c>
      <c r="T315" s="148" t="s">
        <v>1309</v>
      </c>
      <c r="U315" s="147">
        <v>2</v>
      </c>
      <c r="V315" s="121">
        <v>233</v>
      </c>
      <c r="W315" s="121">
        <v>845</v>
      </c>
      <c r="X315" s="114" t="s">
        <v>84</v>
      </c>
      <c r="Y315" s="115" t="s">
        <v>85</v>
      </c>
      <c r="Z315" s="115" t="s">
        <v>86</v>
      </c>
      <c r="AA315" s="113" t="s">
        <v>87</v>
      </c>
      <c r="AB315" s="122">
        <v>777.99</v>
      </c>
      <c r="AC315" s="122">
        <f>IF(C315="DENALI", AB315*0.495, IF(C315="SCHNEIDER ELECTRIC", AB315*1.136, IF(C315="WWT", AB315*1.2, AC315)))+AB315</f>
        <v>1163.0950499999999</v>
      </c>
      <c r="AD315" s="129">
        <f>AC315-AB315</f>
        <v>385.10504999999989</v>
      </c>
      <c r="AE315" s="122">
        <v>35998.5</v>
      </c>
      <c r="AF315" s="130">
        <f>AB315/U315</f>
        <v>388.995</v>
      </c>
      <c r="AG315" s="130">
        <f>AB315/V315</f>
        <v>3.3390128755364805</v>
      </c>
      <c r="AH315" s="123">
        <f>AB315/S315</f>
        <v>0.33796264118158126</v>
      </c>
      <c r="AI315" s="124" t="s">
        <v>97</v>
      </c>
      <c r="AJ315" s="125" t="s">
        <v>349</v>
      </c>
      <c r="AK315"/>
      <c r="AM315" s="80"/>
    </row>
    <row r="316" spans="1:39" ht="28.5" customHeight="1">
      <c r="A316" s="113" t="s">
        <v>73</v>
      </c>
      <c r="B316" s="114" t="s">
        <v>74</v>
      </c>
      <c r="C316" s="113" t="s">
        <v>35</v>
      </c>
      <c r="D316" s="113" t="s">
        <v>218</v>
      </c>
      <c r="E316" s="115" t="s">
        <v>1288</v>
      </c>
      <c r="F316" s="113" t="s">
        <v>585</v>
      </c>
      <c r="G316" s="116" t="s">
        <v>1310</v>
      </c>
      <c r="H316" s="79">
        <v>46157</v>
      </c>
      <c r="I316" s="114" t="s">
        <v>79</v>
      </c>
      <c r="J316" s="117" t="s">
        <v>1311</v>
      </c>
      <c r="K316" s="118">
        <v>46149</v>
      </c>
      <c r="L316" s="114" t="s">
        <v>81</v>
      </c>
      <c r="M316" s="119">
        <v>46155</v>
      </c>
      <c r="N316" s="128">
        <v>46155</v>
      </c>
      <c r="O316" s="120">
        <f>NETWORKDAYS.INTL(K316,N316,1,$AM$2:$AM$10)-1</f>
        <v>4</v>
      </c>
      <c r="P316" s="114" t="s">
        <v>81</v>
      </c>
      <c r="Q316" s="114" t="s">
        <v>79</v>
      </c>
      <c r="R316" s="115"/>
      <c r="S316" s="145">
        <v>1898</v>
      </c>
      <c r="T316" s="148" t="s">
        <v>1312</v>
      </c>
      <c r="U316" s="147">
        <v>2</v>
      </c>
      <c r="V316" s="121">
        <v>194</v>
      </c>
      <c r="W316" s="121">
        <v>690</v>
      </c>
      <c r="X316" s="114" t="s">
        <v>84</v>
      </c>
      <c r="Y316" s="115" t="s">
        <v>85</v>
      </c>
      <c r="Z316" s="115" t="s">
        <v>86</v>
      </c>
      <c r="AA316" s="113" t="s">
        <v>87</v>
      </c>
      <c r="AB316" s="122">
        <v>511.02</v>
      </c>
      <c r="AC316" s="122">
        <f>IF(C316="DENALI", AB316*0.495, IF(C316="SCHNEIDER ELECTRIC", AB316*1.136, IF(C316="WWT", AB316*1.2, AC316)))+AB316</f>
        <v>763.97489999999993</v>
      </c>
      <c r="AD316" s="129">
        <f>AC316-AB316</f>
        <v>252.95489999999995</v>
      </c>
      <c r="AE316" s="122">
        <v>29973</v>
      </c>
      <c r="AF316" s="130">
        <f>AB316/U316</f>
        <v>255.51</v>
      </c>
      <c r="AG316" s="130">
        <f>AB316/V316</f>
        <v>2.6341237113402061</v>
      </c>
      <c r="AH316" s="123">
        <f>AB316/S316</f>
        <v>0.26924130663856688</v>
      </c>
      <c r="AI316" s="124" t="s">
        <v>97</v>
      </c>
      <c r="AJ316" s="125" t="s">
        <v>349</v>
      </c>
      <c r="AK316"/>
      <c r="AM316" s="80"/>
    </row>
    <row r="317" spans="1:39" ht="28.5" customHeight="1">
      <c r="A317" s="113" t="s">
        <v>73</v>
      </c>
      <c r="B317" s="114" t="s">
        <v>74</v>
      </c>
      <c r="C317" s="113" t="s">
        <v>35</v>
      </c>
      <c r="D317" s="113" t="s">
        <v>218</v>
      </c>
      <c r="E317" s="115" t="s">
        <v>1313</v>
      </c>
      <c r="F317" s="113" t="s">
        <v>75</v>
      </c>
      <c r="G317" s="116" t="s">
        <v>1314</v>
      </c>
      <c r="H317" s="79">
        <v>46156</v>
      </c>
      <c r="I317" s="114" t="s">
        <v>79</v>
      </c>
      <c r="J317" s="117" t="s">
        <v>1315</v>
      </c>
      <c r="K317" s="118">
        <v>46149</v>
      </c>
      <c r="L317" s="114" t="s">
        <v>81</v>
      </c>
      <c r="M317" s="119">
        <v>46150</v>
      </c>
      <c r="N317" s="128">
        <v>46154</v>
      </c>
      <c r="O317" s="120">
        <f>NETWORKDAYS.INTL(K317,N317,1,$AM$2:$AM$10)-1</f>
        <v>3</v>
      </c>
      <c r="P317" s="114" t="s">
        <v>81</v>
      </c>
      <c r="Q317" s="114" t="s">
        <v>79</v>
      </c>
      <c r="R317" s="115"/>
      <c r="S317" s="145">
        <v>534</v>
      </c>
      <c r="T317" s="148" t="s">
        <v>1316</v>
      </c>
      <c r="U317" s="147">
        <v>2</v>
      </c>
      <c r="V317" s="121">
        <v>194</v>
      </c>
      <c r="W317" s="121">
        <v>690</v>
      </c>
      <c r="X317" s="114" t="s">
        <v>84</v>
      </c>
      <c r="Y317" s="115" t="s">
        <v>85</v>
      </c>
      <c r="Z317" s="115" t="s">
        <v>770</v>
      </c>
      <c r="AA317" s="113" t="s">
        <v>87</v>
      </c>
      <c r="AB317" s="122">
        <v>360.28</v>
      </c>
      <c r="AC317" s="122">
        <f>IF(C317="DENALI", AB317*0.495, IF(C317="SCHNEIDER ELECTRIC", AB317*1.136, IF(C317="WWT", AB317*1.2, AC317)))+AB317</f>
        <v>538.61860000000001</v>
      </c>
      <c r="AD317" s="129">
        <f>AC317-AB317</f>
        <v>178.33860000000004</v>
      </c>
      <c r="AE317" s="122">
        <v>29973</v>
      </c>
      <c r="AF317" s="130">
        <f>AB317/U317</f>
        <v>180.14</v>
      </c>
      <c r="AG317" s="130">
        <f>AB317/V317</f>
        <v>1.8571134020618556</v>
      </c>
      <c r="AH317" s="123">
        <f>AB317/S317</f>
        <v>0.6746816479400749</v>
      </c>
      <c r="AI317" s="124" t="s">
        <v>97</v>
      </c>
      <c r="AJ317" s="125" t="s">
        <v>349</v>
      </c>
      <c r="AK317"/>
      <c r="AM317" s="80"/>
    </row>
    <row r="318" spans="1:39" ht="28.5" customHeight="1">
      <c r="A318" s="113" t="s">
        <v>73</v>
      </c>
      <c r="B318" s="114" t="s">
        <v>74</v>
      </c>
      <c r="C318" s="113" t="s">
        <v>35</v>
      </c>
      <c r="D318" s="113" t="s">
        <v>218</v>
      </c>
      <c r="E318" s="115" t="s">
        <v>596</v>
      </c>
      <c r="F318" s="113" t="s">
        <v>92</v>
      </c>
      <c r="G318" s="116" t="s">
        <v>1317</v>
      </c>
      <c r="H318" s="79">
        <v>46156</v>
      </c>
      <c r="I318" s="114" t="s">
        <v>79</v>
      </c>
      <c r="J318" s="117" t="s">
        <v>1318</v>
      </c>
      <c r="K318" s="118">
        <v>46149</v>
      </c>
      <c r="L318" s="114" t="s">
        <v>81</v>
      </c>
      <c r="M318" s="119">
        <v>46150</v>
      </c>
      <c r="N318" s="128">
        <v>46154</v>
      </c>
      <c r="O318" s="120">
        <f>NETWORKDAYS.INTL(K318,N318,1,$AM$2:$AM$10)-1</f>
        <v>3</v>
      </c>
      <c r="P318" s="114" t="s">
        <v>81</v>
      </c>
      <c r="Q318" s="114" t="s">
        <v>79</v>
      </c>
      <c r="R318" s="115"/>
      <c r="S318" s="145">
        <v>1562</v>
      </c>
      <c r="T318" s="148" t="s">
        <v>1319</v>
      </c>
      <c r="U318" s="147">
        <v>2</v>
      </c>
      <c r="V318" s="121">
        <v>7</v>
      </c>
      <c r="W318" s="121">
        <v>1065</v>
      </c>
      <c r="X318" s="114" t="s">
        <v>84</v>
      </c>
      <c r="Y318" s="115" t="s">
        <v>85</v>
      </c>
      <c r="Z318" s="115" t="s">
        <v>160</v>
      </c>
      <c r="AA318" s="113" t="s">
        <v>87</v>
      </c>
      <c r="AB318" s="122">
        <v>628.69000000000005</v>
      </c>
      <c r="AC318" s="122">
        <f>IF(C318="DENALI", AB318*0.495, IF(C318="SCHNEIDER ELECTRIC", AB318*1.136, IF(C318="WWT", AB318*1.2, AC318)))+AB318</f>
        <v>939.89155000000005</v>
      </c>
      <c r="AD318" s="129">
        <f>AC318-AB318</f>
        <v>311.20155</v>
      </c>
      <c r="AE318" s="122">
        <v>3026.59</v>
      </c>
      <c r="AF318" s="130">
        <f>AB318/U318</f>
        <v>314.34500000000003</v>
      </c>
      <c r="AG318" s="130">
        <f>AB318/V318</f>
        <v>89.812857142857155</v>
      </c>
      <c r="AH318" s="123">
        <f>AB318/S318</f>
        <v>0.40249039692701666</v>
      </c>
      <c r="AI318" s="124" t="s">
        <v>155</v>
      </c>
      <c r="AJ318" s="125" t="s">
        <v>89</v>
      </c>
      <c r="AK318"/>
      <c r="AM318" s="80"/>
    </row>
    <row r="319" spans="1:39" ht="28.5" customHeight="1">
      <c r="A319" s="113" t="s">
        <v>73</v>
      </c>
      <c r="B319" s="114" t="s">
        <v>74</v>
      </c>
      <c r="C319" s="113" t="s">
        <v>35</v>
      </c>
      <c r="D319" s="113" t="s">
        <v>218</v>
      </c>
      <c r="E319" s="115" t="s">
        <v>1320</v>
      </c>
      <c r="F319" s="113" t="s">
        <v>1321</v>
      </c>
      <c r="G319" s="116" t="s">
        <v>1322</v>
      </c>
      <c r="H319" s="79">
        <v>46157</v>
      </c>
      <c r="I319" s="114" t="s">
        <v>79</v>
      </c>
      <c r="J319" s="117" t="s">
        <v>1323</v>
      </c>
      <c r="K319" s="118">
        <v>46149</v>
      </c>
      <c r="L319" s="114" t="s">
        <v>81</v>
      </c>
      <c r="M319" s="119">
        <v>46154</v>
      </c>
      <c r="N319" s="128">
        <v>46157</v>
      </c>
      <c r="O319" s="120">
        <f>NETWORKDAYS.INTL(K319,N319,1,$AM$2:$AM$10)-1</f>
        <v>6</v>
      </c>
      <c r="P319" s="114" t="s">
        <v>81</v>
      </c>
      <c r="Q319" s="114" t="s">
        <v>79</v>
      </c>
      <c r="R319" s="115"/>
      <c r="S319" s="145">
        <v>1762</v>
      </c>
      <c r="T319" s="148" t="s">
        <v>1324</v>
      </c>
      <c r="U319" s="147">
        <v>1</v>
      </c>
      <c r="V319" s="121">
        <v>3</v>
      </c>
      <c r="W319" s="121">
        <v>460</v>
      </c>
      <c r="X319" s="114" t="s">
        <v>84</v>
      </c>
      <c r="Y319" s="115" t="s">
        <v>85</v>
      </c>
      <c r="Z319" s="115" t="s">
        <v>935</v>
      </c>
      <c r="AA319" s="113" t="s">
        <v>87</v>
      </c>
      <c r="AB319" s="122">
        <v>649.09</v>
      </c>
      <c r="AC319" s="122">
        <f>IF(C319="DENALI", AB319*0.495, IF(C319="SCHNEIDER ELECTRIC", AB319*1.136, IF(C319="WWT", AB319*1.2, AC319)))+AB319</f>
        <v>970.3895500000001</v>
      </c>
      <c r="AD319" s="129">
        <f>AC319-AB319</f>
        <v>321.29955000000007</v>
      </c>
      <c r="AE319" s="122">
        <v>2369.6999999999998</v>
      </c>
      <c r="AF319" s="130">
        <f>AB319/U319</f>
        <v>649.09</v>
      </c>
      <c r="AG319" s="130">
        <f>AB319/V319</f>
        <v>216.36333333333334</v>
      </c>
      <c r="AH319" s="123">
        <f>AB319/S319</f>
        <v>0.36838251986379117</v>
      </c>
      <c r="AI319" s="124" t="s">
        <v>97</v>
      </c>
      <c r="AJ319" s="125" t="s">
        <v>349</v>
      </c>
      <c r="AK319"/>
      <c r="AM319" s="80"/>
    </row>
    <row r="320" spans="1:39" ht="28.5" customHeight="1">
      <c r="A320" s="113" t="s">
        <v>73</v>
      </c>
      <c r="B320" s="114" t="s">
        <v>140</v>
      </c>
      <c r="C320" s="113" t="s">
        <v>35</v>
      </c>
      <c r="D320" s="113" t="s">
        <v>218</v>
      </c>
      <c r="E320" s="115" t="s">
        <v>141</v>
      </c>
      <c r="F320" s="113" t="s">
        <v>142</v>
      </c>
      <c r="G320" s="116" t="s">
        <v>1325</v>
      </c>
      <c r="H320" s="79">
        <v>46157</v>
      </c>
      <c r="I320" s="114" t="s">
        <v>79</v>
      </c>
      <c r="J320" s="117" t="s">
        <v>1326</v>
      </c>
      <c r="K320" s="118">
        <v>46150</v>
      </c>
      <c r="L320" s="114" t="s">
        <v>81</v>
      </c>
      <c r="M320" s="119">
        <v>46153</v>
      </c>
      <c r="N320" s="128">
        <v>46155</v>
      </c>
      <c r="O320" s="120">
        <f>NETWORKDAYS.INTL(K320,N320,1,$AM$2:$AM$10)-1</f>
        <v>3</v>
      </c>
      <c r="P320" s="114" t="s">
        <v>81</v>
      </c>
      <c r="Q320" s="114" t="s">
        <v>79</v>
      </c>
      <c r="R320" s="115"/>
      <c r="S320" s="145">
        <v>441</v>
      </c>
      <c r="T320" s="148" t="s">
        <v>1327</v>
      </c>
      <c r="U320" s="147">
        <v>3</v>
      </c>
      <c r="V320" s="121">
        <v>10</v>
      </c>
      <c r="W320" s="121">
        <v>1525</v>
      </c>
      <c r="X320" s="114" t="s">
        <v>84</v>
      </c>
      <c r="Y320" s="115" t="s">
        <v>85</v>
      </c>
      <c r="Z320" s="115" t="s">
        <v>160</v>
      </c>
      <c r="AA320" s="113" t="s">
        <v>87</v>
      </c>
      <c r="AB320" s="122">
        <v>566.29</v>
      </c>
      <c r="AC320" s="122">
        <f>IF(C320="DENALI", AB320*0.495, IF(C320="SCHNEIDER ELECTRIC", AB320*1.136, IF(C320="WWT", AB320*1.2, AC320)))+AB320</f>
        <v>846.60354999999993</v>
      </c>
      <c r="AD320" s="129">
        <f>AC320-AB320</f>
        <v>280.31354999999996</v>
      </c>
      <c r="AE320" s="122">
        <v>2408.7600000000002</v>
      </c>
      <c r="AF320" s="130">
        <f>AB320/U320</f>
        <v>188.76333333333332</v>
      </c>
      <c r="AG320" s="130">
        <f>AB320/V320</f>
        <v>56.628999999999998</v>
      </c>
      <c r="AH320" s="123">
        <f>AB320/S320</f>
        <v>1.2841043083900225</v>
      </c>
      <c r="AI320" s="124" t="s">
        <v>147</v>
      </c>
      <c r="AJ320" s="125" t="s">
        <v>343</v>
      </c>
      <c r="AK320"/>
      <c r="AM320" s="80"/>
    </row>
    <row r="321" spans="1:39" ht="28.5" customHeight="1">
      <c r="A321" s="113" t="s">
        <v>73</v>
      </c>
      <c r="B321" s="114" t="s">
        <v>140</v>
      </c>
      <c r="C321" s="113" t="s">
        <v>35</v>
      </c>
      <c r="D321" s="113" t="s">
        <v>218</v>
      </c>
      <c r="E321" s="115" t="s">
        <v>242</v>
      </c>
      <c r="F321" s="113" t="s">
        <v>243</v>
      </c>
      <c r="G321" s="116" t="s">
        <v>1328</v>
      </c>
      <c r="H321" s="79">
        <v>46157</v>
      </c>
      <c r="I321" s="114" t="s">
        <v>79</v>
      </c>
      <c r="J321" s="117" t="s">
        <v>1329</v>
      </c>
      <c r="K321" s="118">
        <v>46150</v>
      </c>
      <c r="L321" s="114" t="s">
        <v>81</v>
      </c>
      <c r="M321" s="119">
        <v>46154</v>
      </c>
      <c r="N321" s="128">
        <v>46155</v>
      </c>
      <c r="O321" s="120">
        <f>NETWORKDAYS.INTL(K321,N321,1,$AM$2:$AM$10)-1</f>
        <v>3</v>
      </c>
      <c r="P321" s="114" t="s">
        <v>81</v>
      </c>
      <c r="Q321" s="114" t="s">
        <v>79</v>
      </c>
      <c r="R321" s="115"/>
      <c r="S321" s="145">
        <v>623</v>
      </c>
      <c r="T321" s="148" t="s">
        <v>1330</v>
      </c>
      <c r="U321" s="147">
        <v>5</v>
      </c>
      <c r="V321" s="121">
        <v>135</v>
      </c>
      <c r="W321" s="121">
        <v>4010</v>
      </c>
      <c r="X321" s="114" t="s">
        <v>84</v>
      </c>
      <c r="Y321" s="115" t="s">
        <v>85</v>
      </c>
      <c r="Z321" s="115" t="s">
        <v>160</v>
      </c>
      <c r="AA321" s="113" t="s">
        <v>87</v>
      </c>
      <c r="AB321" s="122">
        <v>904.73</v>
      </c>
      <c r="AC321" s="122">
        <f>IF(C321="DENALI", AB321*0.495, IF(C321="SCHNEIDER ELECTRIC", AB321*1.136, IF(C321="WWT", AB321*1.2, AC321)))+AB321</f>
        <v>1352.5713499999999</v>
      </c>
      <c r="AD321" s="129">
        <f>AC321-AB321</f>
        <v>447.84134999999992</v>
      </c>
      <c r="AE321" s="122">
        <v>328166.09999999998</v>
      </c>
      <c r="AF321" s="130">
        <f>AB321/U321</f>
        <v>180.946</v>
      </c>
      <c r="AG321" s="130">
        <f>AB321/V321</f>
        <v>6.7017037037037035</v>
      </c>
      <c r="AH321" s="123">
        <f>AB321/S321</f>
        <v>1.452215088282504</v>
      </c>
      <c r="AI321" s="124" t="s">
        <v>97</v>
      </c>
      <c r="AJ321" s="125" t="s">
        <v>349</v>
      </c>
      <c r="AK321"/>
      <c r="AM321" s="80"/>
    </row>
    <row r="322" spans="1:39" ht="28.5" customHeight="1">
      <c r="A322" s="113" t="s">
        <v>73</v>
      </c>
      <c r="B322" s="114" t="s">
        <v>74</v>
      </c>
      <c r="C322" s="113" t="s">
        <v>35</v>
      </c>
      <c r="D322" s="113" t="s">
        <v>218</v>
      </c>
      <c r="E322" s="115" t="s">
        <v>1331</v>
      </c>
      <c r="F322" s="113" t="s">
        <v>396</v>
      </c>
      <c r="G322" s="116" t="s">
        <v>1332</v>
      </c>
      <c r="H322" s="79">
        <v>46157</v>
      </c>
      <c r="I322" s="114" t="s">
        <v>79</v>
      </c>
      <c r="J322" s="117" t="s">
        <v>1333</v>
      </c>
      <c r="K322" s="118">
        <v>46150</v>
      </c>
      <c r="L322" s="114" t="s">
        <v>81</v>
      </c>
      <c r="M322" s="119">
        <v>46154</v>
      </c>
      <c r="N322" s="128">
        <v>46154</v>
      </c>
      <c r="O322" s="120">
        <f>NETWORKDAYS.INTL(K322,N322,1,$AM$2:$AM$10)-1</f>
        <v>2</v>
      </c>
      <c r="P322" s="114" t="s">
        <v>81</v>
      </c>
      <c r="Q322" s="114" t="s">
        <v>79</v>
      </c>
      <c r="R322" s="115"/>
      <c r="S322" s="145">
        <v>636</v>
      </c>
      <c r="T322" s="148" t="s">
        <v>1334</v>
      </c>
      <c r="U322" s="147">
        <v>1</v>
      </c>
      <c r="V322" s="121">
        <v>3</v>
      </c>
      <c r="W322" s="121">
        <v>460</v>
      </c>
      <c r="X322" s="114" t="s">
        <v>84</v>
      </c>
      <c r="Y322" s="115" t="s">
        <v>85</v>
      </c>
      <c r="Z322" s="115" t="s">
        <v>86</v>
      </c>
      <c r="AA322" s="113" t="s">
        <v>87</v>
      </c>
      <c r="AB322" s="122">
        <v>205.62</v>
      </c>
      <c r="AC322" s="122">
        <f>IF(C322="DENALI", AB322*0.495, IF(C322="SCHNEIDER ELECTRIC", AB322*1.136, IF(C322="WWT", AB322*1.2, AC322)))+AB322</f>
        <v>307.40190000000001</v>
      </c>
      <c r="AD322" s="129">
        <f>AC322-AB322</f>
        <v>101.78190000000001</v>
      </c>
      <c r="AE322" s="122">
        <v>2369.6999999999998</v>
      </c>
      <c r="AF322" s="130">
        <f>AB322/U322</f>
        <v>205.62</v>
      </c>
      <c r="AG322" s="130">
        <f>AB322/V322</f>
        <v>68.540000000000006</v>
      </c>
      <c r="AH322" s="123">
        <f>AB322/S322</f>
        <v>0.32330188679245286</v>
      </c>
      <c r="AI322" s="124" t="s">
        <v>1044</v>
      </c>
      <c r="AJ322" s="125" t="s">
        <v>349</v>
      </c>
      <c r="AK322"/>
      <c r="AM322" s="80"/>
    </row>
    <row r="323" spans="1:39" ht="28.5" customHeight="1">
      <c r="A323" s="113" t="s">
        <v>73</v>
      </c>
      <c r="B323" s="114" t="s">
        <v>74</v>
      </c>
      <c r="C323" s="113" t="s">
        <v>35</v>
      </c>
      <c r="D323" s="113" t="s">
        <v>218</v>
      </c>
      <c r="E323" s="115" t="s">
        <v>1335</v>
      </c>
      <c r="F323" s="113" t="s">
        <v>585</v>
      </c>
      <c r="G323" s="116" t="s">
        <v>1336</v>
      </c>
      <c r="H323" s="79">
        <v>46157</v>
      </c>
      <c r="I323" s="114" t="s">
        <v>79</v>
      </c>
      <c r="J323" s="117" t="s">
        <v>1337</v>
      </c>
      <c r="K323" s="118">
        <v>46150</v>
      </c>
      <c r="L323" s="114" t="s">
        <v>81</v>
      </c>
      <c r="M323" s="119">
        <v>46154</v>
      </c>
      <c r="N323" s="128">
        <v>46156</v>
      </c>
      <c r="O323" s="120">
        <f>NETWORKDAYS.INTL(K323,N323,1,$AM$2:$AM$10)-1</f>
        <v>4</v>
      </c>
      <c r="P323" s="114" t="s">
        <v>81</v>
      </c>
      <c r="Q323" s="114" t="s">
        <v>79</v>
      </c>
      <c r="R323" s="115"/>
      <c r="S323" s="145">
        <v>1903</v>
      </c>
      <c r="T323" s="148" t="s">
        <v>1338</v>
      </c>
      <c r="U323" s="147">
        <v>1</v>
      </c>
      <c r="V323" s="121">
        <v>3</v>
      </c>
      <c r="W323" s="121">
        <v>460</v>
      </c>
      <c r="X323" s="114" t="s">
        <v>84</v>
      </c>
      <c r="Y323" s="115" t="s">
        <v>85</v>
      </c>
      <c r="Z323" s="115" t="s">
        <v>86</v>
      </c>
      <c r="AA323" s="113" t="s">
        <v>87</v>
      </c>
      <c r="AB323" s="122">
        <v>366.19</v>
      </c>
      <c r="AC323" s="122">
        <f>IF(C323="DENALI", AB323*0.495, IF(C323="SCHNEIDER ELECTRIC", AB323*1.136, IF(C323="WWT", AB323*1.2, AC323)))+AB323</f>
        <v>547.45405000000005</v>
      </c>
      <c r="AD323" s="129">
        <f>AC323-AB323</f>
        <v>181.26405000000005</v>
      </c>
      <c r="AE323" s="122">
        <v>2369.6999999999998</v>
      </c>
      <c r="AF323" s="130">
        <f>AB323/U323</f>
        <v>366.19</v>
      </c>
      <c r="AG323" s="130">
        <f>AB323/V323</f>
        <v>122.06333333333333</v>
      </c>
      <c r="AH323" s="123">
        <f>AB323/S323</f>
        <v>0.19242774566473989</v>
      </c>
      <c r="AI323" s="124" t="s">
        <v>1044</v>
      </c>
      <c r="AJ323" s="125" t="s">
        <v>349</v>
      </c>
      <c r="AK323"/>
      <c r="AM323" s="80"/>
    </row>
    <row r="324" spans="1:39" ht="28.5" customHeight="1">
      <c r="A324" s="113" t="s">
        <v>73</v>
      </c>
      <c r="B324" s="114" t="s">
        <v>74</v>
      </c>
      <c r="C324" s="113" t="s">
        <v>35</v>
      </c>
      <c r="D324" s="113" t="s">
        <v>218</v>
      </c>
      <c r="E324" s="115" t="s">
        <v>657</v>
      </c>
      <c r="F324" s="113" t="s">
        <v>644</v>
      </c>
      <c r="G324" s="116" t="s">
        <v>1339</v>
      </c>
      <c r="H324" s="79">
        <v>46157</v>
      </c>
      <c r="I324" s="114" t="s">
        <v>79</v>
      </c>
      <c r="J324" s="117" t="s">
        <v>1340</v>
      </c>
      <c r="K324" s="118">
        <v>46150</v>
      </c>
      <c r="L324" s="114" t="s">
        <v>81</v>
      </c>
      <c r="M324" s="119">
        <v>46154</v>
      </c>
      <c r="N324" s="128">
        <v>46154</v>
      </c>
      <c r="O324" s="120">
        <f>NETWORKDAYS.INTL(K324,N324,1,$AM$2:$AM$10)-1</f>
        <v>2</v>
      </c>
      <c r="P324" s="114" t="s">
        <v>81</v>
      </c>
      <c r="Q324" s="114" t="s">
        <v>79</v>
      </c>
      <c r="R324" s="115"/>
      <c r="S324" s="145">
        <v>321</v>
      </c>
      <c r="T324" s="148" t="s">
        <v>1341</v>
      </c>
      <c r="U324" s="147">
        <v>1</v>
      </c>
      <c r="V324" s="121">
        <v>3</v>
      </c>
      <c r="W324" s="121">
        <v>460</v>
      </c>
      <c r="X324" s="114" t="s">
        <v>84</v>
      </c>
      <c r="Y324" s="115" t="s">
        <v>85</v>
      </c>
      <c r="Z324" s="115" t="s">
        <v>1208</v>
      </c>
      <c r="AA324" s="113" t="s">
        <v>87</v>
      </c>
      <c r="AB324" s="122">
        <v>180.59</v>
      </c>
      <c r="AC324" s="122">
        <f>IF(C324="DENALI", AB324*0.495, IF(C324="SCHNEIDER ELECTRIC", AB324*1.136, IF(C324="WWT", AB324*1.2, AC324)))+AB324</f>
        <v>269.98205000000002</v>
      </c>
      <c r="AD324" s="129">
        <f>AC324-AB324</f>
        <v>89.392050000000012</v>
      </c>
      <c r="AE324" s="122">
        <v>1297.1099999999999</v>
      </c>
      <c r="AF324" s="130">
        <f>AB324/U324</f>
        <v>180.59</v>
      </c>
      <c r="AG324" s="130">
        <f>AB324/V324</f>
        <v>60.196666666666665</v>
      </c>
      <c r="AH324" s="123">
        <f>AB324/S324</f>
        <v>0.56258566978193147</v>
      </c>
      <c r="AI324" s="124" t="s">
        <v>97</v>
      </c>
      <c r="AJ324" s="125" t="s">
        <v>349</v>
      </c>
      <c r="AK324"/>
      <c r="AM324" s="80"/>
    </row>
    <row r="325" spans="1:39" ht="28.5" customHeight="1">
      <c r="A325" s="113" t="s">
        <v>73</v>
      </c>
      <c r="B325" s="114" t="s">
        <v>74</v>
      </c>
      <c r="C325" s="113" t="s">
        <v>35</v>
      </c>
      <c r="D325" s="113" t="s">
        <v>218</v>
      </c>
      <c r="E325" s="115" t="s">
        <v>1066</v>
      </c>
      <c r="F325" s="113" t="s">
        <v>370</v>
      </c>
      <c r="G325" s="116" t="s">
        <v>1342</v>
      </c>
      <c r="H325" s="79">
        <v>46157</v>
      </c>
      <c r="I325" s="114" t="s">
        <v>79</v>
      </c>
      <c r="J325" s="117" t="s">
        <v>1343</v>
      </c>
      <c r="K325" s="118">
        <v>46150</v>
      </c>
      <c r="L325" s="114" t="s">
        <v>81</v>
      </c>
      <c r="M325" s="119">
        <v>46154</v>
      </c>
      <c r="N325" s="128">
        <v>46154</v>
      </c>
      <c r="O325" s="120">
        <f>NETWORKDAYS.INTL(K325,N325,1,$AM$2:$AM$10)-1</f>
        <v>2</v>
      </c>
      <c r="P325" s="114" t="s">
        <v>81</v>
      </c>
      <c r="Q325" s="114" t="s">
        <v>79</v>
      </c>
      <c r="R325" s="115"/>
      <c r="S325" s="145">
        <v>675</v>
      </c>
      <c r="T325" s="148" t="s">
        <v>1344</v>
      </c>
      <c r="U325" s="147">
        <v>1</v>
      </c>
      <c r="V325" s="121">
        <v>3</v>
      </c>
      <c r="W325" s="121">
        <v>460</v>
      </c>
      <c r="X325" s="114" t="s">
        <v>84</v>
      </c>
      <c r="Y325" s="115" t="s">
        <v>85</v>
      </c>
      <c r="Z325" s="115" t="s">
        <v>86</v>
      </c>
      <c r="AA325" s="113" t="s">
        <v>87</v>
      </c>
      <c r="AB325" s="122">
        <v>238.9</v>
      </c>
      <c r="AC325" s="122">
        <f>IF(C325="DENALI", AB325*0.495, IF(C325="SCHNEIDER ELECTRIC", AB325*1.136, IF(C325="WWT", AB325*1.2, AC325)))+AB325</f>
        <v>357.15550000000002</v>
      </c>
      <c r="AD325" s="129">
        <f>AC325-AB325</f>
        <v>118.25550000000001</v>
      </c>
      <c r="AE325" s="122">
        <v>2369.6999999999998</v>
      </c>
      <c r="AF325" s="130">
        <f>AB325/U325</f>
        <v>238.9</v>
      </c>
      <c r="AG325" s="130">
        <f>AB325/V325</f>
        <v>79.63333333333334</v>
      </c>
      <c r="AH325" s="123">
        <f>AB325/S325</f>
        <v>0.35392592592592592</v>
      </c>
      <c r="AI325" s="124" t="s">
        <v>97</v>
      </c>
      <c r="AJ325" s="125" t="s">
        <v>349</v>
      </c>
      <c r="AK325"/>
      <c r="AM325" s="80"/>
    </row>
    <row r="326" spans="1:39" ht="28.5" customHeight="1">
      <c r="A326" s="113" t="s">
        <v>73</v>
      </c>
      <c r="B326" s="114" t="s">
        <v>74</v>
      </c>
      <c r="C326" s="113" t="s">
        <v>35</v>
      </c>
      <c r="D326" s="113" t="s">
        <v>218</v>
      </c>
      <c r="E326" s="115" t="s">
        <v>1259</v>
      </c>
      <c r="F326" s="113" t="s">
        <v>99</v>
      </c>
      <c r="G326" s="116" t="s">
        <v>1345</v>
      </c>
      <c r="H326" s="79">
        <v>46157</v>
      </c>
      <c r="I326" s="114" t="s">
        <v>79</v>
      </c>
      <c r="J326" s="117" t="s">
        <v>1346</v>
      </c>
      <c r="K326" s="118">
        <v>46150</v>
      </c>
      <c r="L326" s="114" t="s">
        <v>81</v>
      </c>
      <c r="M326" s="119">
        <v>46157</v>
      </c>
      <c r="N326" s="128">
        <v>46155</v>
      </c>
      <c r="O326" s="120">
        <f>NETWORKDAYS.INTL(K326,N326,1,$AM$2:$AM$10)-1</f>
        <v>3</v>
      </c>
      <c r="P326" s="114" t="s">
        <v>81</v>
      </c>
      <c r="Q326" s="114" t="s">
        <v>79</v>
      </c>
      <c r="R326" s="115"/>
      <c r="S326" s="145">
        <v>2302</v>
      </c>
      <c r="T326" s="148" t="s">
        <v>1347</v>
      </c>
      <c r="U326" s="147">
        <v>1</v>
      </c>
      <c r="V326" s="121">
        <v>3</v>
      </c>
      <c r="W326" s="121">
        <v>460</v>
      </c>
      <c r="X326" s="114" t="s">
        <v>84</v>
      </c>
      <c r="Y326" s="115" t="s">
        <v>85</v>
      </c>
      <c r="Z326" s="115" t="s">
        <v>86</v>
      </c>
      <c r="AA326" s="113" t="s">
        <v>87</v>
      </c>
      <c r="AB326" s="122">
        <v>404.1</v>
      </c>
      <c r="AC326" s="122">
        <f>IF(C326="DENALI", AB326*0.495, IF(C326="SCHNEIDER ELECTRIC", AB326*1.136, IF(C326="WWT", AB326*1.2, AC326)))+AB326</f>
        <v>604.12950000000001</v>
      </c>
      <c r="AD326" s="129">
        <f>AC326-AB326</f>
        <v>200.02949999999998</v>
      </c>
      <c r="AE326" s="122">
        <v>2369.6999999999998</v>
      </c>
      <c r="AF326" s="130">
        <f>AB326/U326</f>
        <v>404.1</v>
      </c>
      <c r="AG326" s="130">
        <f>AB326/V326</f>
        <v>134.70000000000002</v>
      </c>
      <c r="AH326" s="123">
        <f>AB326/S326</f>
        <v>0.17554300608166812</v>
      </c>
      <c r="AI326" s="124" t="s">
        <v>97</v>
      </c>
      <c r="AJ326" s="125" t="s">
        <v>349</v>
      </c>
      <c r="AK326"/>
      <c r="AM326" s="80"/>
    </row>
    <row r="327" spans="1:39" ht="28.5" customHeight="1">
      <c r="A327" s="113" t="s">
        <v>73</v>
      </c>
      <c r="B327" s="114" t="s">
        <v>74</v>
      </c>
      <c r="C327" s="113" t="s">
        <v>35</v>
      </c>
      <c r="D327" s="113" t="s">
        <v>218</v>
      </c>
      <c r="E327" s="115" t="s">
        <v>248</v>
      </c>
      <c r="F327" s="113" t="s">
        <v>189</v>
      </c>
      <c r="G327" s="116" t="s">
        <v>1348</v>
      </c>
      <c r="H327" s="79">
        <v>46157</v>
      </c>
      <c r="I327" s="114" t="s">
        <v>79</v>
      </c>
      <c r="J327" s="117" t="s">
        <v>1349</v>
      </c>
      <c r="K327" s="118">
        <v>46150</v>
      </c>
      <c r="L327" s="114" t="s">
        <v>81</v>
      </c>
      <c r="M327" s="119">
        <v>46154</v>
      </c>
      <c r="N327" s="128">
        <v>46155</v>
      </c>
      <c r="O327" s="120">
        <f>NETWORKDAYS.INTL(K327,N327,1,$AM$2:$AM$10)-1</f>
        <v>3</v>
      </c>
      <c r="P327" s="114" t="s">
        <v>81</v>
      </c>
      <c r="Q327" s="114" t="s">
        <v>79</v>
      </c>
      <c r="R327" s="115"/>
      <c r="S327" s="145">
        <v>1549</v>
      </c>
      <c r="T327" s="148" t="s">
        <v>1350</v>
      </c>
      <c r="U327" s="147">
        <v>1</v>
      </c>
      <c r="V327" s="121">
        <v>3</v>
      </c>
      <c r="W327" s="121">
        <v>460</v>
      </c>
      <c r="X327" s="114" t="s">
        <v>84</v>
      </c>
      <c r="Y327" s="115" t="s">
        <v>85</v>
      </c>
      <c r="Z327" s="115" t="s">
        <v>86</v>
      </c>
      <c r="AA327" s="113" t="s">
        <v>87</v>
      </c>
      <c r="AB327" s="122">
        <v>327.26</v>
      </c>
      <c r="AC327" s="122">
        <f>IF(C327="DENALI", AB327*0.495, IF(C327="SCHNEIDER ELECTRIC", AB327*1.136, IF(C327="WWT", AB327*1.2, AC327)))+AB327</f>
        <v>489.25369999999998</v>
      </c>
      <c r="AD327" s="129">
        <f>AC327-AB327</f>
        <v>161.99369999999999</v>
      </c>
      <c r="AE327" s="122">
        <v>2369.6999999999998</v>
      </c>
      <c r="AF327" s="130">
        <f>AB327/U327</f>
        <v>327.26</v>
      </c>
      <c r="AG327" s="130">
        <f>AB327/V327</f>
        <v>109.08666666666666</v>
      </c>
      <c r="AH327" s="123">
        <f>AB327/S327</f>
        <v>0.21127178825048418</v>
      </c>
      <c r="AI327" s="124" t="s">
        <v>147</v>
      </c>
      <c r="AJ327" s="125" t="s">
        <v>343</v>
      </c>
      <c r="AK327"/>
      <c r="AM327" s="80"/>
    </row>
    <row r="328" spans="1:39" ht="28.5" customHeight="1">
      <c r="A328" s="113" t="s">
        <v>73</v>
      </c>
      <c r="B328" s="114" t="s">
        <v>74</v>
      </c>
      <c r="C328" s="113" t="s">
        <v>35</v>
      </c>
      <c r="D328" s="113" t="s">
        <v>218</v>
      </c>
      <c r="E328" s="115" t="s">
        <v>596</v>
      </c>
      <c r="F328" s="113" t="s">
        <v>92</v>
      </c>
      <c r="G328" s="116" t="s">
        <v>1351</v>
      </c>
      <c r="H328" s="79">
        <v>46157</v>
      </c>
      <c r="I328" s="114" t="s">
        <v>79</v>
      </c>
      <c r="J328" s="117" t="s">
        <v>1352</v>
      </c>
      <c r="K328" s="118">
        <v>46150</v>
      </c>
      <c r="L328" s="114" t="s">
        <v>81</v>
      </c>
      <c r="M328" s="119">
        <v>46155</v>
      </c>
      <c r="N328" s="128">
        <v>46155</v>
      </c>
      <c r="O328" s="120">
        <f>NETWORKDAYS.INTL(K328,N328,1,$AM$2:$AM$10)-1</f>
        <v>3</v>
      </c>
      <c r="P328" s="114" t="s">
        <v>81</v>
      </c>
      <c r="Q328" s="114" t="s">
        <v>79</v>
      </c>
      <c r="R328" s="115"/>
      <c r="S328" s="145">
        <v>1562</v>
      </c>
      <c r="T328" s="148" t="s">
        <v>1353</v>
      </c>
      <c r="U328" s="147">
        <v>1</v>
      </c>
      <c r="V328" s="121">
        <v>1</v>
      </c>
      <c r="W328" s="121">
        <v>165</v>
      </c>
      <c r="X328" s="114" t="s">
        <v>84</v>
      </c>
      <c r="Y328" s="115" t="s">
        <v>85</v>
      </c>
      <c r="Z328" s="115" t="s">
        <v>86</v>
      </c>
      <c r="AA328" s="113" t="s">
        <v>87</v>
      </c>
      <c r="AB328" s="122">
        <v>248.76</v>
      </c>
      <c r="AC328" s="122">
        <f>IF(C328="DENALI", AB328*0.495, IF(C328="SCHNEIDER ELECTRIC", AB328*1.136, IF(C328="WWT", AB328*1.2, AC328)))+AB328</f>
        <v>371.89619999999996</v>
      </c>
      <c r="AD328" s="129">
        <f>AC328-AB328</f>
        <v>123.13619999999997</v>
      </c>
      <c r="AE328" s="122">
        <v>432.37</v>
      </c>
      <c r="AF328" s="130">
        <f>AB328/U328</f>
        <v>248.76</v>
      </c>
      <c r="AG328" s="130">
        <f>AB328/V328</f>
        <v>248.76</v>
      </c>
      <c r="AH328" s="123">
        <f>AB328/S328</f>
        <v>0.15925736235595389</v>
      </c>
      <c r="AI328" s="124" t="s">
        <v>155</v>
      </c>
      <c r="AJ328" s="125" t="s">
        <v>89</v>
      </c>
      <c r="AK328"/>
      <c r="AM328" s="80"/>
    </row>
    <row r="329" spans="1:39" ht="28.5" customHeight="1">
      <c r="A329" s="113" t="s">
        <v>73</v>
      </c>
      <c r="B329" s="114" t="s">
        <v>74</v>
      </c>
      <c r="C329" s="113" t="s">
        <v>35</v>
      </c>
      <c r="D329" s="113" t="s">
        <v>99</v>
      </c>
      <c r="E329" s="115" t="s">
        <v>1190</v>
      </c>
      <c r="F329" s="113" t="s">
        <v>90</v>
      </c>
      <c r="G329" s="116" t="s">
        <v>1354</v>
      </c>
      <c r="H329" s="79">
        <v>46157</v>
      </c>
      <c r="I329" s="114" t="s">
        <v>79</v>
      </c>
      <c r="J329" s="117" t="s">
        <v>1355</v>
      </c>
      <c r="K329" s="118">
        <v>46150</v>
      </c>
      <c r="L329" s="114" t="s">
        <v>81</v>
      </c>
      <c r="M329" s="119">
        <v>46154</v>
      </c>
      <c r="N329" s="128">
        <v>46154</v>
      </c>
      <c r="O329" s="120">
        <f>NETWORKDAYS.INTL(K329,N329,1,$AM$2:$AM$10)-1</f>
        <v>2</v>
      </c>
      <c r="P329" s="114" t="s">
        <v>81</v>
      </c>
      <c r="Q329" s="114" t="s">
        <v>79</v>
      </c>
      <c r="R329" s="115"/>
      <c r="S329" s="145">
        <v>976</v>
      </c>
      <c r="T329" s="148" t="s">
        <v>1356</v>
      </c>
      <c r="U329" s="147">
        <v>2</v>
      </c>
      <c r="V329" s="121">
        <v>2</v>
      </c>
      <c r="W329" s="121">
        <v>837</v>
      </c>
      <c r="X329" s="114" t="s">
        <v>84</v>
      </c>
      <c r="Y329" s="115" t="s">
        <v>85</v>
      </c>
      <c r="Z329" s="115" t="s">
        <v>1357</v>
      </c>
      <c r="AA329" s="113" t="s">
        <v>87</v>
      </c>
      <c r="AB329" s="122">
        <v>592.62</v>
      </c>
      <c r="AC329" s="122">
        <f>IF(C329="DENALI", AB329*0.495, IF(C329="SCHNEIDER ELECTRIC", AB329*1.136, IF(C329="WWT", AB329*1.2, AC329)))+AB329</f>
        <v>885.96690000000001</v>
      </c>
      <c r="AD329" s="129">
        <f>AC329-AB329</f>
        <v>293.34690000000001</v>
      </c>
      <c r="AE329" s="122">
        <v>46631.61</v>
      </c>
      <c r="AF329" s="130">
        <f>AB329/U329</f>
        <v>296.31</v>
      </c>
      <c r="AG329" s="130">
        <f>AB329/V329</f>
        <v>296.31</v>
      </c>
      <c r="AH329" s="123">
        <f>AB329/S329</f>
        <v>0.60719262295081966</v>
      </c>
      <c r="AI329" s="124" t="s">
        <v>97</v>
      </c>
      <c r="AJ329" s="125" t="s">
        <v>349</v>
      </c>
      <c r="AK329"/>
      <c r="AM329" s="80"/>
    </row>
    <row r="330" spans="1:39" ht="28.5" customHeight="1">
      <c r="A330" s="113" t="s">
        <v>73</v>
      </c>
      <c r="B330" s="114" t="s">
        <v>74</v>
      </c>
      <c r="C330" s="113" t="s">
        <v>35</v>
      </c>
      <c r="D330" s="113" t="s">
        <v>218</v>
      </c>
      <c r="E330" s="115" t="s">
        <v>1358</v>
      </c>
      <c r="F330" s="113" t="s">
        <v>90</v>
      </c>
      <c r="G330" s="116" t="s">
        <v>1359</v>
      </c>
      <c r="H330" s="79">
        <v>46157</v>
      </c>
      <c r="I330" s="114" t="s">
        <v>79</v>
      </c>
      <c r="J330" s="117" t="s">
        <v>1360</v>
      </c>
      <c r="K330" s="118">
        <v>46150</v>
      </c>
      <c r="L330" s="114" t="s">
        <v>81</v>
      </c>
      <c r="M330" s="119">
        <v>46154</v>
      </c>
      <c r="N330" s="128">
        <v>46155</v>
      </c>
      <c r="O330" s="120">
        <f>NETWORKDAYS.INTL(K330,N330,1,$AM$2:$AM$10)-1</f>
        <v>3</v>
      </c>
      <c r="P330" s="114" t="s">
        <v>81</v>
      </c>
      <c r="Q330" s="114" t="s">
        <v>79</v>
      </c>
      <c r="R330" s="115"/>
      <c r="S330" s="145">
        <v>591</v>
      </c>
      <c r="T330" s="148" t="s">
        <v>1361</v>
      </c>
      <c r="U330" s="147">
        <v>1</v>
      </c>
      <c r="V330" s="121">
        <v>90</v>
      </c>
      <c r="W330" s="121">
        <v>700</v>
      </c>
      <c r="X330" s="114" t="s">
        <v>84</v>
      </c>
      <c r="Y330" s="115" t="s">
        <v>85</v>
      </c>
      <c r="Z330" s="115" t="s">
        <v>86</v>
      </c>
      <c r="AA330" s="113" t="s">
        <v>87</v>
      </c>
      <c r="AB330" s="122">
        <v>405.9</v>
      </c>
      <c r="AC330" s="122">
        <f>IF(C330="DENALI", AB330*0.495, IF(C330="SCHNEIDER ELECTRIC", AB330*1.136, IF(C330="WWT", AB330*1.2, AC330)))+AB330</f>
        <v>606.82049999999992</v>
      </c>
      <c r="AD330" s="129">
        <f>AC330-AB330</f>
        <v>200.92049999999995</v>
      </c>
      <c r="AE330" s="122">
        <v>61813.2</v>
      </c>
      <c r="AF330" s="130">
        <f>AB330/U330</f>
        <v>405.9</v>
      </c>
      <c r="AG330" s="130">
        <f>AB330/V330</f>
        <v>4.51</v>
      </c>
      <c r="AH330" s="123">
        <f>AB330/S330</f>
        <v>0.68680203045685273</v>
      </c>
      <c r="AI330" s="124" t="s">
        <v>147</v>
      </c>
      <c r="AJ330" s="125" t="s">
        <v>343</v>
      </c>
      <c r="AK330"/>
      <c r="AM330" s="80"/>
    </row>
    <row r="331" spans="1:39" ht="28.5" customHeight="1">
      <c r="A331" s="113" t="s">
        <v>73</v>
      </c>
      <c r="B331" s="114" t="s">
        <v>140</v>
      </c>
      <c r="C331" s="113" t="s">
        <v>35</v>
      </c>
      <c r="D331" s="113" t="s">
        <v>218</v>
      </c>
      <c r="E331" s="115" t="s">
        <v>141</v>
      </c>
      <c r="F331" s="113" t="s">
        <v>142</v>
      </c>
      <c r="G331" s="116" t="s">
        <v>1362</v>
      </c>
      <c r="H331" s="79">
        <v>46157</v>
      </c>
      <c r="I331" s="114" t="s">
        <v>79</v>
      </c>
      <c r="J331" s="117" t="s">
        <v>1363</v>
      </c>
      <c r="K331" s="118">
        <v>46150</v>
      </c>
      <c r="L331" s="114" t="s">
        <v>81</v>
      </c>
      <c r="M331" s="119">
        <v>46154</v>
      </c>
      <c r="N331" s="128">
        <v>46155</v>
      </c>
      <c r="O331" s="120">
        <f>NETWORKDAYS.INTL(K331,N331,1,$AM$2:$AM$10)-1</f>
        <v>3</v>
      </c>
      <c r="P331" s="114" t="s">
        <v>81</v>
      </c>
      <c r="Q331" s="114" t="s">
        <v>79</v>
      </c>
      <c r="R331" s="115"/>
      <c r="S331" s="145">
        <v>441</v>
      </c>
      <c r="T331" s="148" t="s">
        <v>1364</v>
      </c>
      <c r="U331" s="147">
        <v>2</v>
      </c>
      <c r="V331" s="121">
        <v>622</v>
      </c>
      <c r="W331" s="121">
        <v>1150</v>
      </c>
      <c r="X331" s="114" t="s">
        <v>84</v>
      </c>
      <c r="Y331" s="115" t="s">
        <v>85</v>
      </c>
      <c r="Z331" s="115" t="s">
        <v>160</v>
      </c>
      <c r="AA331" s="113" t="s">
        <v>87</v>
      </c>
      <c r="AB331" s="122">
        <v>471.29</v>
      </c>
      <c r="AC331" s="122">
        <f>IF(C331="DENALI", AB331*0.495, IF(C331="SCHNEIDER ELECTRIC", AB331*1.136, IF(C331="WWT", AB331*1.2, AC331)))+AB331</f>
        <v>704.57855000000006</v>
      </c>
      <c r="AD331" s="129">
        <f>AC331-AB331</f>
        <v>233.28855000000004</v>
      </c>
      <c r="AE331" s="122">
        <v>43226.28</v>
      </c>
      <c r="AF331" s="130">
        <f>AB331/U331</f>
        <v>235.64500000000001</v>
      </c>
      <c r="AG331" s="130">
        <f>AB331/V331</f>
        <v>0.75770096463022507</v>
      </c>
      <c r="AH331" s="123">
        <f>AB331/S331</f>
        <v>1.0686848072562358</v>
      </c>
      <c r="AI331" s="124" t="s">
        <v>1365</v>
      </c>
      <c r="AJ331" s="125" t="s">
        <v>349</v>
      </c>
      <c r="AK331"/>
      <c r="AM331" s="80"/>
    </row>
    <row r="332" spans="1:39" ht="28.5" customHeight="1">
      <c r="A332" s="113" t="s">
        <v>73</v>
      </c>
      <c r="B332" s="114" t="s">
        <v>74</v>
      </c>
      <c r="C332" s="113" t="s">
        <v>35</v>
      </c>
      <c r="D332" s="113" t="s">
        <v>218</v>
      </c>
      <c r="E332" s="115" t="s">
        <v>551</v>
      </c>
      <c r="F332" s="113" t="s">
        <v>213</v>
      </c>
      <c r="G332" s="116" t="s">
        <v>1366</v>
      </c>
      <c r="H332" s="79">
        <v>46157</v>
      </c>
      <c r="I332" s="114" t="s">
        <v>79</v>
      </c>
      <c r="J332" s="117" t="s">
        <v>1367</v>
      </c>
      <c r="K332" s="118">
        <v>46150</v>
      </c>
      <c r="L332" s="114" t="s">
        <v>81</v>
      </c>
      <c r="M332" s="119">
        <v>46155</v>
      </c>
      <c r="N332" s="128">
        <v>46155</v>
      </c>
      <c r="O332" s="120">
        <f>NETWORKDAYS.INTL(K332,N332,1,$AM$2:$AM$10)-1</f>
        <v>3</v>
      </c>
      <c r="P332" s="114" t="s">
        <v>81</v>
      </c>
      <c r="Q332" s="114" t="s">
        <v>79</v>
      </c>
      <c r="R332" s="115"/>
      <c r="S332" s="145">
        <v>740</v>
      </c>
      <c r="T332" s="148" t="s">
        <v>981</v>
      </c>
      <c r="U332" s="147">
        <v>1</v>
      </c>
      <c r="V332" s="121">
        <v>43</v>
      </c>
      <c r="W332" s="121">
        <v>165</v>
      </c>
      <c r="X332" s="114" t="s">
        <v>84</v>
      </c>
      <c r="Y332" s="115" t="s">
        <v>85</v>
      </c>
      <c r="Z332" s="115" t="s">
        <v>86</v>
      </c>
      <c r="AA332" s="113" t="s">
        <v>87</v>
      </c>
      <c r="AB332" s="122">
        <v>238.9</v>
      </c>
      <c r="AC332" s="122">
        <f>IF(C332="DENALI", AB332*0.495, IF(C332="SCHNEIDER ELECTRIC", AB332*1.136, IF(C332="WWT", AB332*1.2, AC332)))+AB332</f>
        <v>357.15550000000002</v>
      </c>
      <c r="AD332" s="129">
        <f>AC332-AB332</f>
        <v>118.25550000000001</v>
      </c>
      <c r="AE332" s="122">
        <v>11023.48</v>
      </c>
      <c r="AF332" s="130">
        <f>AB332/U332</f>
        <v>238.9</v>
      </c>
      <c r="AG332" s="130">
        <f>AB332/V332</f>
        <v>5.5558139534883724</v>
      </c>
      <c r="AH332" s="123">
        <f>AB332/S332</f>
        <v>0.32283783783783787</v>
      </c>
      <c r="AI332" s="124" t="s">
        <v>97</v>
      </c>
      <c r="AJ332" s="125" t="s">
        <v>349</v>
      </c>
      <c r="AK332"/>
      <c r="AM332" s="80"/>
    </row>
    <row r="333" spans="1:39" ht="28.5" customHeight="1">
      <c r="A333" s="113" t="s">
        <v>73</v>
      </c>
      <c r="B333" s="114" t="s">
        <v>74</v>
      </c>
      <c r="C333" s="113" t="s">
        <v>35</v>
      </c>
      <c r="D333" s="113" t="s">
        <v>218</v>
      </c>
      <c r="E333" s="115" t="s">
        <v>1368</v>
      </c>
      <c r="F333" s="113" t="s">
        <v>90</v>
      </c>
      <c r="G333" s="116" t="s">
        <v>1369</v>
      </c>
      <c r="H333" s="79">
        <v>46157</v>
      </c>
      <c r="I333" s="114" t="s">
        <v>79</v>
      </c>
      <c r="J333" s="117" t="s">
        <v>1370</v>
      </c>
      <c r="K333" s="118">
        <v>46150</v>
      </c>
      <c r="L333" s="114" t="s">
        <v>81</v>
      </c>
      <c r="M333" s="119">
        <v>46156</v>
      </c>
      <c r="N333" s="128">
        <v>46155</v>
      </c>
      <c r="O333" s="120">
        <f>NETWORKDAYS.INTL(K333,N333,1,$AM$2:$AM$10)-1</f>
        <v>3</v>
      </c>
      <c r="P333" s="114" t="s">
        <v>81</v>
      </c>
      <c r="Q333" s="114" t="s">
        <v>79</v>
      </c>
      <c r="R333" s="115"/>
      <c r="S333" s="145">
        <v>2245</v>
      </c>
      <c r="T333" s="148" t="s">
        <v>1371</v>
      </c>
      <c r="U333" s="147">
        <v>3</v>
      </c>
      <c r="V333" s="121">
        <v>1627</v>
      </c>
      <c r="W333" s="121">
        <v>2425</v>
      </c>
      <c r="X333" s="114" t="s">
        <v>84</v>
      </c>
      <c r="Y333" s="115" t="s">
        <v>85</v>
      </c>
      <c r="Z333" s="115" t="s">
        <v>160</v>
      </c>
      <c r="AA333" s="113" t="s">
        <v>87</v>
      </c>
      <c r="AB333" s="122">
        <v>963.88</v>
      </c>
      <c r="AC333" s="122">
        <f>IF(C333="DENALI", AB333*0.495, IF(C333="SCHNEIDER ELECTRIC", AB333*1.136, IF(C333="WWT", AB333*1.2, AC333)))+AB333</f>
        <v>1441.0005999999998</v>
      </c>
      <c r="AD333" s="129">
        <f>AC333-AB333</f>
        <v>477.12059999999985</v>
      </c>
      <c r="AE333" s="122">
        <v>287776.07</v>
      </c>
      <c r="AF333" s="130">
        <f>AB333/U333</f>
        <v>321.29333333333335</v>
      </c>
      <c r="AG333" s="130">
        <f>AB333/V333</f>
        <v>0.5924277811923786</v>
      </c>
      <c r="AH333" s="123">
        <f>AB333/S333</f>
        <v>0.42934521158129174</v>
      </c>
      <c r="AI333" s="124" t="s">
        <v>1044</v>
      </c>
      <c r="AJ333" s="125" t="s">
        <v>349</v>
      </c>
      <c r="AK333"/>
      <c r="AM333" s="80"/>
    </row>
    <row r="334" spans="1:39" ht="28.5" customHeight="1">
      <c r="A334" s="113" t="s">
        <v>73</v>
      </c>
      <c r="B334" s="114" t="s">
        <v>74</v>
      </c>
      <c r="C334" s="113" t="s">
        <v>35</v>
      </c>
      <c r="D334" s="113" t="s">
        <v>218</v>
      </c>
      <c r="E334" s="115" t="s">
        <v>1372</v>
      </c>
      <c r="F334" s="113" t="s">
        <v>365</v>
      </c>
      <c r="G334" s="116" t="s">
        <v>1373</v>
      </c>
      <c r="H334" s="79">
        <v>46157</v>
      </c>
      <c r="I334" s="114" t="s">
        <v>79</v>
      </c>
      <c r="J334" s="117" t="s">
        <v>1374</v>
      </c>
      <c r="K334" s="118">
        <v>46150</v>
      </c>
      <c r="L334" s="114" t="s">
        <v>81</v>
      </c>
      <c r="M334" s="119">
        <v>46156</v>
      </c>
      <c r="N334" s="128">
        <v>46154</v>
      </c>
      <c r="O334" s="120">
        <f>NETWORKDAYS.INTL(K334,N334,1,$AM$2:$AM$10)-1</f>
        <v>2</v>
      </c>
      <c r="P334" s="114" t="s">
        <v>81</v>
      </c>
      <c r="Q334" s="114" t="s">
        <v>79</v>
      </c>
      <c r="R334" s="115"/>
      <c r="S334" s="145">
        <v>659</v>
      </c>
      <c r="T334" s="148" t="s">
        <v>1375</v>
      </c>
      <c r="U334" s="147">
        <v>2</v>
      </c>
      <c r="V334" s="121">
        <v>196</v>
      </c>
      <c r="W334" s="121">
        <v>1567</v>
      </c>
      <c r="X334" s="114" t="s">
        <v>84</v>
      </c>
      <c r="Y334" s="115" t="s">
        <v>85</v>
      </c>
      <c r="Z334" s="115" t="s">
        <v>770</v>
      </c>
      <c r="AA334" s="113" t="s">
        <v>87</v>
      </c>
      <c r="AB334" s="122">
        <v>625.19000000000005</v>
      </c>
      <c r="AC334" s="122">
        <f>IF(C334="DENALI", AB334*0.495, IF(C334="SCHNEIDER ELECTRIC", AB334*1.136, IF(C334="WWT", AB334*1.2, AC334)))+AB334</f>
        <v>934.65905000000009</v>
      </c>
      <c r="AD334" s="129">
        <f>AC334-AB334</f>
        <v>309.46905000000004</v>
      </c>
      <c r="AE334" s="122">
        <v>38668.839999999997</v>
      </c>
      <c r="AF334" s="130">
        <f>AB334/U334</f>
        <v>312.59500000000003</v>
      </c>
      <c r="AG334" s="130">
        <f>AB334/V334</f>
        <v>3.189744897959184</v>
      </c>
      <c r="AH334" s="123">
        <f>AB334/S334</f>
        <v>0.94869499241274668</v>
      </c>
      <c r="AI334" s="124" t="s">
        <v>147</v>
      </c>
      <c r="AJ334" s="125" t="s">
        <v>343</v>
      </c>
      <c r="AK334"/>
      <c r="AM334" s="80"/>
    </row>
    <row r="335" spans="1:39" ht="28.5" customHeight="1">
      <c r="A335" s="113" t="s">
        <v>73</v>
      </c>
      <c r="B335" s="114" t="s">
        <v>74</v>
      </c>
      <c r="C335" s="113" t="s">
        <v>36</v>
      </c>
      <c r="D335" s="113" t="s">
        <v>90</v>
      </c>
      <c r="E335" s="115" t="s">
        <v>141</v>
      </c>
      <c r="F335" s="113" t="s">
        <v>142</v>
      </c>
      <c r="G335" s="116" t="s">
        <v>1376</v>
      </c>
      <c r="H335" s="79">
        <v>46157</v>
      </c>
      <c r="I335" s="114" t="s">
        <v>79</v>
      </c>
      <c r="J335" s="117" t="s">
        <v>1377</v>
      </c>
      <c r="K335" s="118">
        <v>46150</v>
      </c>
      <c r="L335" s="114" t="s">
        <v>79</v>
      </c>
      <c r="M335" s="119">
        <v>46156</v>
      </c>
      <c r="N335" s="128">
        <v>46164</v>
      </c>
      <c r="O335" s="120">
        <f>NETWORKDAYS.INTL(K335,N335,1,$AM$2:$AM$10)-1</f>
        <v>10</v>
      </c>
      <c r="P335" s="114" t="s">
        <v>81</v>
      </c>
      <c r="Q335" s="114" t="s">
        <v>79</v>
      </c>
      <c r="R335" s="115" t="s">
        <v>1378</v>
      </c>
      <c r="S335" s="145">
        <v>1988</v>
      </c>
      <c r="T335" s="148" t="s">
        <v>1379</v>
      </c>
      <c r="U335" s="147">
        <v>3</v>
      </c>
      <c r="V335" s="121">
        <v>20</v>
      </c>
      <c r="W335" s="121">
        <v>1554</v>
      </c>
      <c r="X335" s="114" t="s">
        <v>84</v>
      </c>
      <c r="Y335" s="115" t="s">
        <v>85</v>
      </c>
      <c r="Z335" s="115" t="s">
        <v>86</v>
      </c>
      <c r="AA335" s="113" t="s">
        <v>87</v>
      </c>
      <c r="AB335" s="122">
        <v>1170</v>
      </c>
      <c r="AC335" s="122">
        <f>IF(C335="DENALI", AB335*0.495, IF(C335="SCHNEIDER ELECTRIC", AB335*1.136, IF(C335="WWT", AB335*1.2, AC335)))+AB335</f>
        <v>2499.12</v>
      </c>
      <c r="AD335" s="129">
        <f>AC335-AB335</f>
        <v>1329.12</v>
      </c>
      <c r="AE335" s="122">
        <v>24643.599999999999</v>
      </c>
      <c r="AF335" s="130">
        <f>AB335/U335</f>
        <v>390</v>
      </c>
      <c r="AG335" s="130">
        <f>AB335/V335</f>
        <v>58.5</v>
      </c>
      <c r="AH335" s="123">
        <f>AB335/S335</f>
        <v>0.58853118712273644</v>
      </c>
      <c r="AI335" s="124" t="s">
        <v>155</v>
      </c>
      <c r="AJ335" s="125" t="s">
        <v>98</v>
      </c>
      <c r="AK335"/>
      <c r="AM335" s="80"/>
    </row>
    <row r="336" spans="1:39" ht="28.5" customHeight="1">
      <c r="A336" s="113" t="s">
        <v>73</v>
      </c>
      <c r="B336" s="114" t="s">
        <v>74</v>
      </c>
      <c r="C336" s="113" t="s">
        <v>35</v>
      </c>
      <c r="D336" s="113" t="s">
        <v>218</v>
      </c>
      <c r="E336" s="115" t="s">
        <v>992</v>
      </c>
      <c r="F336" s="113" t="s">
        <v>75</v>
      </c>
      <c r="G336" s="116" t="s">
        <v>1380</v>
      </c>
      <c r="H336" s="79">
        <v>46157</v>
      </c>
      <c r="I336" s="114" t="s">
        <v>79</v>
      </c>
      <c r="J336" s="117" t="s">
        <v>1381</v>
      </c>
      <c r="K336" s="118">
        <v>46150</v>
      </c>
      <c r="L336" s="114" t="s">
        <v>81</v>
      </c>
      <c r="M336" s="119">
        <v>46156</v>
      </c>
      <c r="N336" s="128">
        <v>46154</v>
      </c>
      <c r="O336" s="120">
        <f>NETWORKDAYS.INTL(K336,N336,1,$AM$2:$AM$10)-1</f>
        <v>2</v>
      </c>
      <c r="P336" s="114" t="s">
        <v>81</v>
      </c>
      <c r="Q336" s="114" t="s">
        <v>79</v>
      </c>
      <c r="R336" s="115" t="s">
        <v>1382</v>
      </c>
      <c r="S336" s="145">
        <v>534</v>
      </c>
      <c r="T336" s="148" t="s">
        <v>1383</v>
      </c>
      <c r="U336" s="147">
        <v>2</v>
      </c>
      <c r="V336" s="121">
        <v>352</v>
      </c>
      <c r="W336" s="121">
        <v>940</v>
      </c>
      <c r="X336" s="114" t="s">
        <v>84</v>
      </c>
      <c r="Y336" s="115" t="s">
        <v>85</v>
      </c>
      <c r="Z336" s="115" t="s">
        <v>770</v>
      </c>
      <c r="AA336" s="113" t="s">
        <v>87</v>
      </c>
      <c r="AB336" s="122">
        <v>326.57</v>
      </c>
      <c r="AC336" s="122">
        <f>IF(C336="DENALI", AB336*0.495, IF(C336="SCHNEIDER ELECTRIC", AB336*1.136, IF(C336="WWT", AB336*1.2, AC336)))+AB336</f>
        <v>488.22215</v>
      </c>
      <c r="AD336" s="129">
        <f>AC336-AB336</f>
        <v>161.65215000000001</v>
      </c>
      <c r="AE336" s="122">
        <v>96867.65</v>
      </c>
      <c r="AF336" s="130">
        <f>AB336/U336</f>
        <v>163.285</v>
      </c>
      <c r="AG336" s="130">
        <f>AB336/V336</f>
        <v>0.9277556818181818</v>
      </c>
      <c r="AH336" s="123">
        <f>AB336/S336</f>
        <v>0.61155430711610481</v>
      </c>
      <c r="AI336" s="124" t="s">
        <v>147</v>
      </c>
      <c r="AJ336" s="125" t="s">
        <v>343</v>
      </c>
      <c r="AK336"/>
      <c r="AM336" s="80"/>
    </row>
    <row r="337" spans="1:39" ht="28.5" customHeight="1">
      <c r="A337" s="113" t="s">
        <v>73</v>
      </c>
      <c r="B337" s="114" t="s">
        <v>74</v>
      </c>
      <c r="C337" s="113" t="s">
        <v>36</v>
      </c>
      <c r="D337" s="113" t="s">
        <v>90</v>
      </c>
      <c r="E337" s="115" t="s">
        <v>1384</v>
      </c>
      <c r="F337" s="113" t="s">
        <v>92</v>
      </c>
      <c r="G337" s="116" t="s">
        <v>1385</v>
      </c>
      <c r="H337" s="79">
        <v>46157</v>
      </c>
      <c r="I337" s="114" t="s">
        <v>79</v>
      </c>
      <c r="J337" s="117" t="s">
        <v>1386</v>
      </c>
      <c r="K337" s="118">
        <v>46150</v>
      </c>
      <c r="L337" s="114" t="s">
        <v>81</v>
      </c>
      <c r="M337" s="119">
        <v>46156</v>
      </c>
      <c r="N337" s="128">
        <v>46154</v>
      </c>
      <c r="O337" s="120">
        <f>NETWORKDAYS.INTL(K337,N337,1,$AM$2:$AM$10)-1</f>
        <v>2</v>
      </c>
      <c r="P337" s="114" t="s">
        <v>81</v>
      </c>
      <c r="Q337" s="114" t="s">
        <v>79</v>
      </c>
      <c r="R337" s="115"/>
      <c r="S337" s="145">
        <v>1371</v>
      </c>
      <c r="T337" s="148" t="s">
        <v>1387</v>
      </c>
      <c r="U337" s="147">
        <v>1</v>
      </c>
      <c r="V337" s="121">
        <v>10</v>
      </c>
      <c r="W337" s="121">
        <v>465</v>
      </c>
      <c r="X337" s="114" t="s">
        <v>84</v>
      </c>
      <c r="Y337" s="115" t="s">
        <v>85</v>
      </c>
      <c r="Z337" s="115" t="s">
        <v>86</v>
      </c>
      <c r="AA337" s="113" t="s">
        <v>87</v>
      </c>
      <c r="AB337" s="122">
        <v>299.41000000000003</v>
      </c>
      <c r="AC337" s="122">
        <f>IF(C337="DENALI", AB337*0.495, IF(C337="SCHNEIDER ELECTRIC", AB337*1.136, IF(C337="WWT", AB337*1.2, AC337)))+AB337</f>
        <v>639.53976</v>
      </c>
      <c r="AD337" s="129">
        <f>AC337-AB337</f>
        <v>340.12975999999998</v>
      </c>
      <c r="AE337" s="122">
        <v>3415.72</v>
      </c>
      <c r="AF337" s="130">
        <f>AB337/U337</f>
        <v>299.41000000000003</v>
      </c>
      <c r="AG337" s="130">
        <f>AB337/V337</f>
        <v>29.941000000000003</v>
      </c>
      <c r="AH337" s="123">
        <f>AB337/S337</f>
        <v>0.21838803792851935</v>
      </c>
      <c r="AI337" s="124" t="s">
        <v>1388</v>
      </c>
      <c r="AJ337" s="125" t="s">
        <v>98</v>
      </c>
      <c r="AK337"/>
      <c r="AM337" s="80"/>
    </row>
    <row r="338" spans="1:39" ht="28.5" customHeight="1">
      <c r="A338" s="113" t="s">
        <v>73</v>
      </c>
      <c r="B338" s="114" t="s">
        <v>74</v>
      </c>
      <c r="C338" s="113" t="s">
        <v>35</v>
      </c>
      <c r="D338" s="113" t="s">
        <v>99</v>
      </c>
      <c r="E338" s="115" t="s">
        <v>1389</v>
      </c>
      <c r="F338" s="113" t="s">
        <v>1390</v>
      </c>
      <c r="G338" s="116" t="s">
        <v>1391</v>
      </c>
      <c r="H338" s="79">
        <v>46160</v>
      </c>
      <c r="I338" s="114" t="s">
        <v>79</v>
      </c>
      <c r="J338" s="117" t="s">
        <v>1392</v>
      </c>
      <c r="K338" s="118">
        <v>46153</v>
      </c>
      <c r="L338" s="114" t="s">
        <v>81</v>
      </c>
      <c r="M338" s="119">
        <v>46157</v>
      </c>
      <c r="N338" s="128">
        <v>46157</v>
      </c>
      <c r="O338" s="120">
        <f>NETWORKDAYS.INTL(K338,N338,1,$AM$2:$AM$10)-1</f>
        <v>4</v>
      </c>
      <c r="P338" s="114" t="s">
        <v>81</v>
      </c>
      <c r="Q338" s="114" t="s">
        <v>79</v>
      </c>
      <c r="R338" s="115"/>
      <c r="S338" s="145">
        <v>2384</v>
      </c>
      <c r="T338" s="148" t="s">
        <v>1393</v>
      </c>
      <c r="U338" s="147">
        <v>1</v>
      </c>
      <c r="V338" s="121">
        <v>1</v>
      </c>
      <c r="W338" s="121">
        <v>420</v>
      </c>
      <c r="X338" s="114" t="s">
        <v>84</v>
      </c>
      <c r="Y338" s="115" t="s">
        <v>85</v>
      </c>
      <c r="Z338" s="115" t="s">
        <v>1173</v>
      </c>
      <c r="AA338" s="113" t="s">
        <v>87</v>
      </c>
      <c r="AB338" s="122">
        <v>1094.3399999999999</v>
      </c>
      <c r="AC338" s="122">
        <f>IF(C338="DENALI", AB338*0.495, IF(C338="SCHNEIDER ELECTRIC", AB338*1.136, IF(C338="WWT", AB338*1.2, AC338)))+AB338</f>
        <v>1636.0382999999997</v>
      </c>
      <c r="AD338" s="129">
        <f>AC338-AB338</f>
        <v>541.69829999999979</v>
      </c>
      <c r="AE338" s="122">
        <v>2913.01</v>
      </c>
      <c r="AF338" s="130">
        <f>AB338/U338</f>
        <v>1094.3399999999999</v>
      </c>
      <c r="AG338" s="130">
        <f>AB338/V338</f>
        <v>1094.3399999999999</v>
      </c>
      <c r="AH338" s="123">
        <f>AB338/S338</f>
        <v>0.45903523489932885</v>
      </c>
      <c r="AI338" s="124" t="s">
        <v>97</v>
      </c>
      <c r="AJ338" s="125" t="s">
        <v>349</v>
      </c>
      <c r="AK338"/>
      <c r="AM338" s="80"/>
    </row>
    <row r="339" spans="1:39" ht="28.5" customHeight="1">
      <c r="A339" s="113" t="s">
        <v>73</v>
      </c>
      <c r="B339" s="114" t="s">
        <v>74</v>
      </c>
      <c r="C339" s="113" t="s">
        <v>35</v>
      </c>
      <c r="D339" s="113" t="s">
        <v>218</v>
      </c>
      <c r="E339" s="115" t="s">
        <v>242</v>
      </c>
      <c r="F339" s="113" t="s">
        <v>243</v>
      </c>
      <c r="G339" s="116" t="s">
        <v>1394</v>
      </c>
      <c r="H339" s="79" t="s">
        <v>1395</v>
      </c>
      <c r="I339" s="114" t="s">
        <v>79</v>
      </c>
      <c r="J339" s="117" t="s">
        <v>1396</v>
      </c>
      <c r="K339" s="118">
        <v>46154</v>
      </c>
      <c r="L339" s="114" t="s">
        <v>81</v>
      </c>
      <c r="M339" s="119">
        <v>46155</v>
      </c>
      <c r="N339" s="128">
        <v>46156</v>
      </c>
      <c r="O339" s="120">
        <f>NETWORKDAYS.INTL(K339,N339,1,$AM$2:$AM$10)-1</f>
        <v>2</v>
      </c>
      <c r="P339" s="114" t="s">
        <v>81</v>
      </c>
      <c r="Q339" s="114" t="s">
        <v>79</v>
      </c>
      <c r="R339" s="115"/>
      <c r="S339" s="145">
        <v>623</v>
      </c>
      <c r="T339" s="148" t="s">
        <v>1397</v>
      </c>
      <c r="U339" s="147">
        <v>1</v>
      </c>
      <c r="V339" s="121">
        <v>120</v>
      </c>
      <c r="W339" s="121">
        <v>375</v>
      </c>
      <c r="X339" s="114" t="s">
        <v>84</v>
      </c>
      <c r="Y339" s="115" t="s">
        <v>85</v>
      </c>
      <c r="Z339" s="115" t="s">
        <v>770</v>
      </c>
      <c r="AA339" s="113" t="s">
        <v>87</v>
      </c>
      <c r="AB339" s="122">
        <v>251.95</v>
      </c>
      <c r="AC339" s="122">
        <f>IF(C339="DENALI", AB339*0.495, IF(C339="SCHNEIDER ELECTRIC", AB339*1.136, IF(C339="WWT", AB339*1.2, AC339)))+AB339</f>
        <v>376.66525000000001</v>
      </c>
      <c r="AD339" s="129">
        <f>AC339-AB339</f>
        <v>124.71525000000003</v>
      </c>
      <c r="AE339" s="122">
        <v>13891.31</v>
      </c>
      <c r="AF339" s="130">
        <f>AB339/U339</f>
        <v>251.95</v>
      </c>
      <c r="AG339" s="130">
        <f>AB339/V339</f>
        <v>2.0995833333333334</v>
      </c>
      <c r="AH339" s="123">
        <f>AB339/S339</f>
        <v>0.40441412520064202</v>
      </c>
      <c r="AI339" s="124" t="s">
        <v>97</v>
      </c>
      <c r="AJ339" s="125" t="s">
        <v>349</v>
      </c>
      <c r="AK339"/>
      <c r="AM339" s="80"/>
    </row>
    <row r="340" spans="1:39" ht="28.5" customHeight="1">
      <c r="A340" s="113" t="s">
        <v>73</v>
      </c>
      <c r="B340" s="114" t="s">
        <v>74</v>
      </c>
      <c r="C340" s="113" t="s">
        <v>35</v>
      </c>
      <c r="D340" s="113" t="s">
        <v>218</v>
      </c>
      <c r="E340" s="115" t="s">
        <v>141</v>
      </c>
      <c r="F340" s="113" t="s">
        <v>142</v>
      </c>
      <c r="G340" s="116" t="s">
        <v>1398</v>
      </c>
      <c r="H340" s="79">
        <v>46160</v>
      </c>
      <c r="I340" s="114" t="s">
        <v>79</v>
      </c>
      <c r="J340" s="117" t="s">
        <v>1399</v>
      </c>
      <c r="K340" s="118">
        <v>46154</v>
      </c>
      <c r="L340" s="114" t="s">
        <v>81</v>
      </c>
      <c r="M340" s="119">
        <v>46155</v>
      </c>
      <c r="N340" s="128">
        <v>46156</v>
      </c>
      <c r="O340" s="120">
        <f>NETWORKDAYS.INTL(K340,N340,1,$AM$2:$AM$10)-1</f>
        <v>2</v>
      </c>
      <c r="P340" s="114" t="s">
        <v>81</v>
      </c>
      <c r="Q340" s="114" t="s">
        <v>79</v>
      </c>
      <c r="R340" s="115"/>
      <c r="S340" s="145">
        <v>441</v>
      </c>
      <c r="T340" s="148" t="s">
        <v>1400</v>
      </c>
      <c r="U340" s="147">
        <v>1</v>
      </c>
      <c r="V340" s="121">
        <v>80</v>
      </c>
      <c r="W340" s="121">
        <v>240</v>
      </c>
      <c r="X340" s="114" t="s">
        <v>84</v>
      </c>
      <c r="Y340" s="115" t="s">
        <v>85</v>
      </c>
      <c r="Z340" s="115" t="s">
        <v>1208</v>
      </c>
      <c r="AA340" s="113" t="s">
        <v>87</v>
      </c>
      <c r="AB340" s="122">
        <v>581.55999999999995</v>
      </c>
      <c r="AC340" s="122">
        <f>IF(C340="DENALI", AB340*0.495, IF(C340="SCHNEIDER ELECTRIC", AB340*1.136, IF(C340="WWT", AB340*1.2, AC340)))+AB340</f>
        <v>869.43219999999997</v>
      </c>
      <c r="AD340" s="129">
        <f>AC340-AB340</f>
        <v>287.87220000000002</v>
      </c>
      <c r="AE340" s="122">
        <v>13071.74</v>
      </c>
      <c r="AF340" s="130">
        <f>AB340/U340</f>
        <v>581.55999999999995</v>
      </c>
      <c r="AG340" s="130">
        <f>AB340/V340</f>
        <v>7.269499999999999</v>
      </c>
      <c r="AH340" s="123">
        <f>AB340/S340</f>
        <v>1.3187301587301585</v>
      </c>
      <c r="AI340" s="124" t="s">
        <v>155</v>
      </c>
      <c r="AJ340" s="125" t="s">
        <v>89</v>
      </c>
      <c r="AK340"/>
      <c r="AM340" s="80"/>
    </row>
    <row r="341" spans="1:39" ht="28.5" customHeight="1">
      <c r="A341" s="113" t="s">
        <v>73</v>
      </c>
      <c r="B341" s="114" t="s">
        <v>74</v>
      </c>
      <c r="C341" s="113" t="s">
        <v>35</v>
      </c>
      <c r="D341" s="113" t="s">
        <v>218</v>
      </c>
      <c r="E341" s="115" t="s">
        <v>1335</v>
      </c>
      <c r="F341" s="113" t="s">
        <v>585</v>
      </c>
      <c r="G341" s="116" t="s">
        <v>1401</v>
      </c>
      <c r="H341" s="79">
        <v>46160</v>
      </c>
      <c r="I341" s="114" t="s">
        <v>79</v>
      </c>
      <c r="J341" s="117" t="s">
        <v>1402</v>
      </c>
      <c r="K341" s="118">
        <v>46154</v>
      </c>
      <c r="L341" s="114" t="s">
        <v>81</v>
      </c>
      <c r="M341" s="119">
        <v>46160</v>
      </c>
      <c r="N341" s="128">
        <v>46161</v>
      </c>
      <c r="O341" s="120">
        <f>NETWORKDAYS.INTL(K341,N341,1,$AM$2:$AM$10)-1</f>
        <v>5</v>
      </c>
      <c r="P341" s="114" t="s">
        <v>81</v>
      </c>
      <c r="Q341" s="114" t="s">
        <v>79</v>
      </c>
      <c r="R341" s="115" t="s">
        <v>1403</v>
      </c>
      <c r="S341" s="145">
        <v>1903</v>
      </c>
      <c r="T341" s="148" t="s">
        <v>1338</v>
      </c>
      <c r="U341" s="147">
        <v>1</v>
      </c>
      <c r="V341" s="121">
        <v>150</v>
      </c>
      <c r="W341" s="121">
        <v>375</v>
      </c>
      <c r="X341" s="114" t="s">
        <v>84</v>
      </c>
      <c r="Y341" s="115" t="s">
        <v>85</v>
      </c>
      <c r="Z341" s="115" t="s">
        <v>86</v>
      </c>
      <c r="AA341" s="113" t="s">
        <v>87</v>
      </c>
      <c r="AB341" s="122">
        <v>520.62</v>
      </c>
      <c r="AC341" s="122">
        <f>IF(C341="DENALI", AB341*0.495, IF(C341="SCHNEIDER ELECTRIC", AB341*1.136, IF(C341="WWT", AB341*1.2, AC341)))+AB341</f>
        <v>778.32690000000002</v>
      </c>
      <c r="AD341" s="129">
        <f>AC341-AB341</f>
        <v>257.70690000000002</v>
      </c>
      <c r="AE341" s="122">
        <v>15925.17</v>
      </c>
      <c r="AF341" s="130">
        <f>AB341/U341</f>
        <v>520.62</v>
      </c>
      <c r="AG341" s="130">
        <f>AB341/V341</f>
        <v>3.4708000000000001</v>
      </c>
      <c r="AH341" s="123">
        <f>AB341/S341</f>
        <v>0.27357856016815557</v>
      </c>
      <c r="AI341" s="124" t="s">
        <v>1044</v>
      </c>
      <c r="AJ341" s="125" t="s">
        <v>349</v>
      </c>
      <c r="AK341"/>
      <c r="AM341" s="80"/>
    </row>
    <row r="342" spans="1:39" ht="28.5" customHeight="1">
      <c r="A342" s="113" t="s">
        <v>73</v>
      </c>
      <c r="B342" s="114" t="s">
        <v>74</v>
      </c>
      <c r="C342" s="113" t="s">
        <v>35</v>
      </c>
      <c r="D342" s="113" t="s">
        <v>218</v>
      </c>
      <c r="E342" s="115" t="s">
        <v>1331</v>
      </c>
      <c r="F342" s="113" t="s">
        <v>396</v>
      </c>
      <c r="G342" s="116" t="s">
        <v>1404</v>
      </c>
      <c r="H342" s="79">
        <v>46160</v>
      </c>
      <c r="I342" s="114" t="s">
        <v>79</v>
      </c>
      <c r="J342" s="117" t="s">
        <v>1405</v>
      </c>
      <c r="K342" s="118">
        <v>46154</v>
      </c>
      <c r="L342" s="114" t="s">
        <v>81</v>
      </c>
      <c r="M342" s="119">
        <v>46155</v>
      </c>
      <c r="N342" s="128">
        <v>46161</v>
      </c>
      <c r="O342" s="120">
        <f>NETWORKDAYS.INTL(K342,N342,1,$AM$2:$AM$10)-1</f>
        <v>5</v>
      </c>
      <c r="P342" s="114" t="s">
        <v>81</v>
      </c>
      <c r="Q342" s="114" t="s">
        <v>79</v>
      </c>
      <c r="R342" s="115"/>
      <c r="S342" s="145">
        <v>636</v>
      </c>
      <c r="T342" s="148" t="s">
        <v>1334</v>
      </c>
      <c r="U342" s="147">
        <v>1</v>
      </c>
      <c r="V342" s="121">
        <v>150</v>
      </c>
      <c r="W342" s="121">
        <v>375</v>
      </c>
      <c r="X342" s="114" t="s">
        <v>84</v>
      </c>
      <c r="Y342" s="115" t="s">
        <v>85</v>
      </c>
      <c r="Z342" s="115" t="s">
        <v>770</v>
      </c>
      <c r="AA342" s="113" t="s">
        <v>87</v>
      </c>
      <c r="AB342" s="122">
        <v>379.22</v>
      </c>
      <c r="AC342" s="122">
        <f>IF(C342="DENALI", AB342*0.495, IF(C342="SCHNEIDER ELECTRIC", AB342*1.136, IF(C342="WWT", AB342*1.2, AC342)))+AB342</f>
        <v>566.93389999999999</v>
      </c>
      <c r="AD342" s="129">
        <f>AC342-AB342</f>
        <v>187.71389999999997</v>
      </c>
      <c r="AE342" s="122">
        <v>13555.47</v>
      </c>
      <c r="AF342" s="130">
        <f>AB342/U342</f>
        <v>379.22</v>
      </c>
      <c r="AG342" s="130">
        <f>AB342/V342</f>
        <v>2.5281333333333333</v>
      </c>
      <c r="AH342" s="123">
        <f>AB342/S342</f>
        <v>0.59625786163522021</v>
      </c>
      <c r="AI342" s="124" t="s">
        <v>1044</v>
      </c>
      <c r="AJ342" s="125" t="s">
        <v>349</v>
      </c>
      <c r="AK342"/>
      <c r="AM342" s="80"/>
    </row>
    <row r="343" spans="1:39" ht="28.5" customHeight="1">
      <c r="A343" s="113" t="s">
        <v>73</v>
      </c>
      <c r="B343" s="114" t="s">
        <v>74</v>
      </c>
      <c r="C343" s="113" t="s">
        <v>35</v>
      </c>
      <c r="D343" s="113" t="s">
        <v>218</v>
      </c>
      <c r="E343" s="115" t="s">
        <v>1284</v>
      </c>
      <c r="F343" s="113" t="s">
        <v>207</v>
      </c>
      <c r="G343" s="116" t="s">
        <v>1406</v>
      </c>
      <c r="H343" s="79">
        <v>46160</v>
      </c>
      <c r="I343" s="114" t="s">
        <v>79</v>
      </c>
      <c r="J343" s="117" t="s">
        <v>1407</v>
      </c>
      <c r="K343" s="118">
        <v>46154</v>
      </c>
      <c r="L343" s="114" t="s">
        <v>81</v>
      </c>
      <c r="M343" s="119">
        <v>46155</v>
      </c>
      <c r="N343" s="128">
        <v>46155</v>
      </c>
      <c r="O343" s="120">
        <f>NETWORKDAYS.INTL(K343,N343,1,$AM$2:$AM$10)-1</f>
        <v>1</v>
      </c>
      <c r="P343" s="114" t="s">
        <v>81</v>
      </c>
      <c r="Q343" s="114" t="s">
        <v>79</v>
      </c>
      <c r="R343" s="115"/>
      <c r="S343" s="145">
        <v>169</v>
      </c>
      <c r="T343" s="148" t="s">
        <v>1408</v>
      </c>
      <c r="U343" s="147">
        <v>1</v>
      </c>
      <c r="V343" s="121">
        <v>120</v>
      </c>
      <c r="W343" s="121">
        <v>375</v>
      </c>
      <c r="X343" s="114" t="s">
        <v>84</v>
      </c>
      <c r="Y343" s="115" t="s">
        <v>85</v>
      </c>
      <c r="Z343" s="115" t="s">
        <v>770</v>
      </c>
      <c r="AA343" s="113" t="s">
        <v>87</v>
      </c>
      <c r="AB343" s="122">
        <v>206.69</v>
      </c>
      <c r="AC343" s="122">
        <f>IF(C343="DENALI", AB343*0.495, IF(C343="SCHNEIDER ELECTRIC", AB343*1.136, IF(C343="WWT", AB343*1.2, AC343)))+AB343</f>
        <v>309.00155000000001</v>
      </c>
      <c r="AD343" s="129">
        <f>AC343-AB343</f>
        <v>102.31155000000001</v>
      </c>
      <c r="AE343" s="122">
        <v>13555.47</v>
      </c>
      <c r="AF343" s="130">
        <f>AB343/U343</f>
        <v>206.69</v>
      </c>
      <c r="AG343" s="130">
        <f>AB343/V343</f>
        <v>1.7224166666666667</v>
      </c>
      <c r="AH343" s="123">
        <f>AB343/S343</f>
        <v>1.2230177514792899</v>
      </c>
      <c r="AI343" s="124" t="s">
        <v>97</v>
      </c>
      <c r="AJ343" s="125" t="s">
        <v>349</v>
      </c>
      <c r="AK343"/>
      <c r="AM343" s="80"/>
    </row>
    <row r="344" spans="1:39" ht="28.5" customHeight="1">
      <c r="A344" s="113" t="s">
        <v>73</v>
      </c>
      <c r="B344" s="114" t="s">
        <v>74</v>
      </c>
      <c r="C344" s="113" t="s">
        <v>35</v>
      </c>
      <c r="D344" s="113" t="s">
        <v>218</v>
      </c>
      <c r="E344" s="115" t="s">
        <v>1259</v>
      </c>
      <c r="F344" s="113" t="s">
        <v>99</v>
      </c>
      <c r="G344" s="116" t="s">
        <v>1409</v>
      </c>
      <c r="H344" s="79">
        <v>46161</v>
      </c>
      <c r="I344" s="114" t="s">
        <v>79</v>
      </c>
      <c r="J344" s="117" t="s">
        <v>1410</v>
      </c>
      <c r="K344" s="118">
        <v>46154</v>
      </c>
      <c r="L344" s="114" t="s">
        <v>81</v>
      </c>
      <c r="M344" s="119">
        <v>46161</v>
      </c>
      <c r="N344" s="128">
        <v>46160</v>
      </c>
      <c r="O344" s="120">
        <f>NETWORKDAYS.INTL(K344,N344,1,$AM$2:$AM$10)-1</f>
        <v>4</v>
      </c>
      <c r="P344" s="114" t="s">
        <v>81</v>
      </c>
      <c r="Q344" s="114" t="s">
        <v>79</v>
      </c>
      <c r="R344" s="115"/>
      <c r="S344" s="145">
        <v>2302</v>
      </c>
      <c r="T344" s="148" t="s">
        <v>1347</v>
      </c>
      <c r="U344" s="147">
        <v>1</v>
      </c>
      <c r="V344" s="121">
        <v>120</v>
      </c>
      <c r="W344" s="121">
        <v>375</v>
      </c>
      <c r="X344" s="114" t="s">
        <v>84</v>
      </c>
      <c r="Y344" s="115" t="s">
        <v>85</v>
      </c>
      <c r="Z344" s="115" t="s">
        <v>86</v>
      </c>
      <c r="AA344" s="113" t="s">
        <v>87</v>
      </c>
      <c r="AB344" s="122">
        <v>622.75</v>
      </c>
      <c r="AC344" s="122">
        <f>IF(C344="DENALI", AB344*0.495, IF(C344="SCHNEIDER ELECTRIC", AB344*1.136, IF(C344="WWT", AB344*1.2, AC344)))+AB344</f>
        <v>931.01125000000002</v>
      </c>
      <c r="AD344" s="129">
        <f>AC344-AB344</f>
        <v>308.26125000000002</v>
      </c>
      <c r="AE344" s="122">
        <v>13555.47</v>
      </c>
      <c r="AF344" s="130">
        <f>AB344/U344</f>
        <v>622.75</v>
      </c>
      <c r="AG344" s="130">
        <f>AB344/V344</f>
        <v>5.1895833333333332</v>
      </c>
      <c r="AH344" s="123">
        <f>AB344/S344</f>
        <v>0.27052562988705475</v>
      </c>
      <c r="AI344" s="124" t="s">
        <v>97</v>
      </c>
      <c r="AJ344" s="125" t="s">
        <v>349</v>
      </c>
      <c r="AK344"/>
      <c r="AM344" s="80"/>
    </row>
    <row r="345" spans="1:39" ht="28.5" customHeight="1">
      <c r="A345" s="113" t="s">
        <v>73</v>
      </c>
      <c r="B345" s="114" t="s">
        <v>74</v>
      </c>
      <c r="C345" s="113" t="s">
        <v>35</v>
      </c>
      <c r="D345" s="113" t="s">
        <v>218</v>
      </c>
      <c r="E345" s="115" t="s">
        <v>1320</v>
      </c>
      <c r="F345" s="113" t="s">
        <v>1321</v>
      </c>
      <c r="G345" s="116" t="s">
        <v>1411</v>
      </c>
      <c r="H345" s="79">
        <v>46160</v>
      </c>
      <c r="I345" s="114" t="s">
        <v>79</v>
      </c>
      <c r="J345" s="117" t="s">
        <v>1412</v>
      </c>
      <c r="K345" s="118">
        <v>46154</v>
      </c>
      <c r="L345" s="114" t="s">
        <v>81</v>
      </c>
      <c r="M345" s="119">
        <v>46157</v>
      </c>
      <c r="N345" s="128">
        <v>46163</v>
      </c>
      <c r="O345" s="120">
        <f>NETWORKDAYS.INTL(K345,N345,1,$AM$2:$AM$10)-1</f>
        <v>7</v>
      </c>
      <c r="P345" s="114" t="s">
        <v>81</v>
      </c>
      <c r="Q345" s="114" t="s">
        <v>79</v>
      </c>
      <c r="R345" s="115" t="s">
        <v>1413</v>
      </c>
      <c r="S345" s="145">
        <v>1763</v>
      </c>
      <c r="T345" s="148" t="s">
        <v>1324</v>
      </c>
      <c r="U345" s="147">
        <v>1</v>
      </c>
      <c r="V345" s="121">
        <v>120</v>
      </c>
      <c r="W345" s="121">
        <v>375</v>
      </c>
      <c r="X345" s="114" t="s">
        <v>84</v>
      </c>
      <c r="Y345" s="115" t="s">
        <v>85</v>
      </c>
      <c r="Z345" s="115" t="s">
        <v>1414</v>
      </c>
      <c r="AA345" s="113" t="s">
        <v>87</v>
      </c>
      <c r="AB345" s="122">
        <v>817.88</v>
      </c>
      <c r="AC345" s="122">
        <f>IF(C345="DENALI", AB345*0.495, IF(C345="SCHNEIDER ELECTRIC", AB345*1.136, IF(C345="WWT", AB345*1.2, AC345)))+AB345</f>
        <v>1222.7305999999999</v>
      </c>
      <c r="AD345" s="129">
        <f>AC345-AB345</f>
        <v>404.85059999999987</v>
      </c>
      <c r="AE345" s="122">
        <v>257238.92</v>
      </c>
      <c r="AF345" s="130">
        <f>AB345/U345</f>
        <v>817.88</v>
      </c>
      <c r="AG345" s="130">
        <f>AB345/V345</f>
        <v>6.815666666666667</v>
      </c>
      <c r="AH345" s="123">
        <f>AB345/S345</f>
        <v>0.46391378332387972</v>
      </c>
      <c r="AI345" s="124" t="s">
        <v>97</v>
      </c>
      <c r="AJ345" s="125" t="s">
        <v>349</v>
      </c>
      <c r="AK345"/>
      <c r="AM345" s="80"/>
    </row>
    <row r="346" spans="1:39" ht="28.5" customHeight="1">
      <c r="A346" s="113" t="s">
        <v>73</v>
      </c>
      <c r="B346" s="114" t="s">
        <v>74</v>
      </c>
      <c r="C346" s="113" t="s">
        <v>36</v>
      </c>
      <c r="D346" s="113" t="s">
        <v>90</v>
      </c>
      <c r="E346" s="115" t="s">
        <v>135</v>
      </c>
      <c r="F346" s="113" t="s">
        <v>90</v>
      </c>
      <c r="G346" s="116" t="s">
        <v>1415</v>
      </c>
      <c r="H346" s="79">
        <v>46162</v>
      </c>
      <c r="I346" s="114" t="s">
        <v>79</v>
      </c>
      <c r="J346" s="117" t="s">
        <v>1416</v>
      </c>
      <c r="K346" s="118">
        <v>46154</v>
      </c>
      <c r="L346" s="114" t="s">
        <v>79</v>
      </c>
      <c r="M346" s="119">
        <v>46155</v>
      </c>
      <c r="N346" s="128">
        <v>46157</v>
      </c>
      <c r="O346" s="120">
        <f>NETWORKDAYS.INTL(K346,N346,1,$AM$2:$AM$10)-1</f>
        <v>3</v>
      </c>
      <c r="P346" s="114" t="s">
        <v>81</v>
      </c>
      <c r="Q346" s="114" t="s">
        <v>79</v>
      </c>
      <c r="R346" s="115"/>
      <c r="S346" s="145">
        <v>46</v>
      </c>
      <c r="T346" s="148" t="s">
        <v>1417</v>
      </c>
      <c r="U346" s="147">
        <v>1</v>
      </c>
      <c r="V346" s="121">
        <v>2</v>
      </c>
      <c r="W346" s="121">
        <v>200</v>
      </c>
      <c r="X346" s="114" t="s">
        <v>84</v>
      </c>
      <c r="Y346" s="115" t="s">
        <v>85</v>
      </c>
      <c r="Z346" s="115" t="s">
        <v>86</v>
      </c>
      <c r="AA346" s="113" t="s">
        <v>87</v>
      </c>
      <c r="AB346" s="122">
        <v>190.99</v>
      </c>
      <c r="AC346" s="122">
        <f>IF(C346="DENALI", AB346*0.495, IF(C346="SCHNEIDER ELECTRIC", AB346*1.136, IF(C346="WWT", AB346*1.2, AC346)))+AB346</f>
        <v>407.95464000000004</v>
      </c>
      <c r="AD346" s="129">
        <f>AC346-AB346</f>
        <v>216.96464000000003</v>
      </c>
      <c r="AE346" s="122">
        <v>28773.5</v>
      </c>
      <c r="AF346" s="130">
        <f>AB346/U346</f>
        <v>190.99</v>
      </c>
      <c r="AG346" s="130">
        <f>AB346/V346</f>
        <v>95.495000000000005</v>
      </c>
      <c r="AH346" s="123">
        <f>AB346/S346</f>
        <v>4.1519565217391303</v>
      </c>
      <c r="AI346" s="124" t="s">
        <v>97</v>
      </c>
      <c r="AJ346" s="125" t="s">
        <v>98</v>
      </c>
      <c r="AK346"/>
      <c r="AM346" s="80"/>
    </row>
    <row r="347" spans="1:39" ht="28.5" customHeight="1">
      <c r="A347" s="113" t="s">
        <v>73</v>
      </c>
      <c r="B347" s="114" t="s">
        <v>74</v>
      </c>
      <c r="C347" s="113" t="s">
        <v>35</v>
      </c>
      <c r="D347" s="113" t="s">
        <v>218</v>
      </c>
      <c r="E347" s="115" t="s">
        <v>380</v>
      </c>
      <c r="F347" s="113" t="s">
        <v>370</v>
      </c>
      <c r="G347" s="116" t="s">
        <v>1418</v>
      </c>
      <c r="H347" s="79">
        <v>46162</v>
      </c>
      <c r="I347" s="114" t="s">
        <v>79</v>
      </c>
      <c r="J347" s="117" t="s">
        <v>1419</v>
      </c>
      <c r="K347" s="118">
        <v>46155</v>
      </c>
      <c r="L347" s="114" t="s">
        <v>81</v>
      </c>
      <c r="M347" s="119">
        <v>46155</v>
      </c>
      <c r="N347" s="128">
        <v>46157</v>
      </c>
      <c r="O347" s="120">
        <f>NETWORKDAYS.INTL(K347,N347,1,$AM$2:$AM$10)-1</f>
        <v>2</v>
      </c>
      <c r="P347" s="114" t="s">
        <v>81</v>
      </c>
      <c r="Q347" s="114" t="s">
        <v>79</v>
      </c>
      <c r="R347" s="115"/>
      <c r="S347" s="145">
        <v>688</v>
      </c>
      <c r="T347" s="148" t="s">
        <v>1420</v>
      </c>
      <c r="U347" s="147">
        <v>1</v>
      </c>
      <c r="V347" s="121">
        <v>11</v>
      </c>
      <c r="W347" s="121">
        <v>405</v>
      </c>
      <c r="X347" s="114" t="s">
        <v>84</v>
      </c>
      <c r="Y347" s="115" t="s">
        <v>85</v>
      </c>
      <c r="Z347" s="115" t="s">
        <v>86</v>
      </c>
      <c r="AA347" s="113" t="s">
        <v>87</v>
      </c>
      <c r="AB347" s="122">
        <v>244.67</v>
      </c>
      <c r="AC347" s="122">
        <f>IF(C347="DENALI", AB347*0.495, IF(C347="SCHNEIDER ELECTRIC", AB347*1.136, IF(C347="WWT", AB347*1.2, AC347)))+AB347</f>
        <v>365.78165000000001</v>
      </c>
      <c r="AD347" s="129">
        <f>AC347-AB347</f>
        <v>121.11165000000003</v>
      </c>
      <c r="AE347" s="122">
        <v>8777.35</v>
      </c>
      <c r="AF347" s="130">
        <f>AB347/U347</f>
        <v>244.67</v>
      </c>
      <c r="AG347" s="130">
        <f>AB347/V347</f>
        <v>22.242727272727272</v>
      </c>
      <c r="AH347" s="123">
        <f>AB347/S347</f>
        <v>0.35562499999999997</v>
      </c>
      <c r="AI347" s="124" t="s">
        <v>97</v>
      </c>
      <c r="AJ347" s="125" t="s">
        <v>349</v>
      </c>
      <c r="AK347"/>
      <c r="AM347" s="80"/>
    </row>
    <row r="348" spans="1:39" ht="28.5" customHeight="1">
      <c r="A348" s="113" t="s">
        <v>73</v>
      </c>
      <c r="B348" s="114" t="s">
        <v>74</v>
      </c>
      <c r="C348" s="113" t="s">
        <v>35</v>
      </c>
      <c r="D348" s="113" t="s">
        <v>218</v>
      </c>
      <c r="E348" s="115" t="s">
        <v>384</v>
      </c>
      <c r="F348" s="113" t="s">
        <v>370</v>
      </c>
      <c r="G348" s="116" t="s">
        <v>1421</v>
      </c>
      <c r="H348" s="79">
        <v>46162</v>
      </c>
      <c r="I348" s="114" t="s">
        <v>79</v>
      </c>
      <c r="J348" s="117" t="s">
        <v>1422</v>
      </c>
      <c r="K348" s="118">
        <v>46155</v>
      </c>
      <c r="L348" s="114" t="s">
        <v>81</v>
      </c>
      <c r="M348" s="119">
        <v>46157</v>
      </c>
      <c r="N348" s="128">
        <v>46160</v>
      </c>
      <c r="O348" s="120">
        <f>NETWORKDAYS.INTL(K348,N348,1,$AM$2:$AM$10)-1</f>
        <v>3</v>
      </c>
      <c r="P348" s="114" t="s">
        <v>81</v>
      </c>
      <c r="Q348" s="114" t="s">
        <v>79</v>
      </c>
      <c r="R348" s="115"/>
      <c r="S348" s="145">
        <v>688</v>
      </c>
      <c r="T348" s="148" t="s">
        <v>1423</v>
      </c>
      <c r="U348" s="147">
        <v>4</v>
      </c>
      <c r="V348" s="121">
        <v>1000</v>
      </c>
      <c r="W348" s="121">
        <v>2685</v>
      </c>
      <c r="X348" s="114" t="s">
        <v>84</v>
      </c>
      <c r="Y348" s="115" t="s">
        <v>85</v>
      </c>
      <c r="Z348" s="115" t="s">
        <v>160</v>
      </c>
      <c r="AA348" s="113" t="s">
        <v>87</v>
      </c>
      <c r="AB348" s="122">
        <v>663.43</v>
      </c>
      <c r="AC348" s="122">
        <f>IF(C348="DENALI", AB348*0.495, IF(C348="SCHNEIDER ELECTRIC", AB348*1.136, IF(C348="WWT", AB348*1.2, AC348)))+AB348</f>
        <v>991.8278499999999</v>
      </c>
      <c r="AD348" s="129">
        <f>AC348-AB348</f>
        <v>328.39784999999995</v>
      </c>
      <c r="AE348" s="122">
        <v>357790</v>
      </c>
      <c r="AF348" s="130">
        <f>AB348/U348</f>
        <v>165.85749999999999</v>
      </c>
      <c r="AG348" s="130">
        <f>AB348/V348</f>
        <v>0.66342999999999996</v>
      </c>
      <c r="AH348" s="123">
        <f>AB348/S348</f>
        <v>0.96428779069767434</v>
      </c>
      <c r="AI348" s="124" t="s">
        <v>97</v>
      </c>
      <c r="AJ348" s="125" t="s">
        <v>349</v>
      </c>
      <c r="AK348"/>
      <c r="AM348" s="80"/>
    </row>
    <row r="349" spans="1:39" ht="28.5" customHeight="1">
      <c r="A349" s="113" t="s">
        <v>73</v>
      </c>
      <c r="B349" s="114" t="s">
        <v>74</v>
      </c>
      <c r="C349" s="113" t="s">
        <v>35</v>
      </c>
      <c r="D349" s="113" t="s">
        <v>218</v>
      </c>
      <c r="E349" s="115" t="s">
        <v>141</v>
      </c>
      <c r="F349" s="113" t="s">
        <v>142</v>
      </c>
      <c r="G349" s="116" t="s">
        <v>1424</v>
      </c>
      <c r="H349" s="79">
        <v>46162</v>
      </c>
      <c r="I349" s="114" t="s">
        <v>79</v>
      </c>
      <c r="J349" s="117" t="s">
        <v>1425</v>
      </c>
      <c r="K349" s="118">
        <v>46155</v>
      </c>
      <c r="L349" s="114" t="s">
        <v>81</v>
      </c>
      <c r="M349" s="119">
        <v>46156</v>
      </c>
      <c r="N349" s="128">
        <v>46160</v>
      </c>
      <c r="O349" s="120">
        <f>NETWORKDAYS.INTL(K349,N349,1,$AM$2:$AM$10)-1</f>
        <v>3</v>
      </c>
      <c r="P349" s="114" t="s">
        <v>81</v>
      </c>
      <c r="Q349" s="114" t="s">
        <v>79</v>
      </c>
      <c r="R349" s="115"/>
      <c r="S349" s="145">
        <v>401</v>
      </c>
      <c r="T349" s="148" t="s">
        <v>722</v>
      </c>
      <c r="U349" s="147">
        <v>1</v>
      </c>
      <c r="V349" s="121">
        <v>75000</v>
      </c>
      <c r="W349" s="121">
        <v>1000</v>
      </c>
      <c r="X349" s="114" t="s">
        <v>84</v>
      </c>
      <c r="Y349" s="115" t="s">
        <v>85</v>
      </c>
      <c r="Z349" s="115" t="s">
        <v>1208</v>
      </c>
      <c r="AA349" s="113" t="s">
        <v>87</v>
      </c>
      <c r="AB349" s="122">
        <v>219.11</v>
      </c>
      <c r="AC349" s="122">
        <f>IF(C349="DENALI", AB349*0.495, IF(C349="SCHNEIDER ELECTRIC", AB349*1.136, IF(C349="WWT", AB349*1.2, AC349)))+AB349</f>
        <v>327.56945000000002</v>
      </c>
      <c r="AD349" s="129">
        <f>AC349-AB349</f>
        <v>108.45945</v>
      </c>
      <c r="AE349" s="122">
        <v>153959.25</v>
      </c>
      <c r="AF349" s="130">
        <f>AB349/U349</f>
        <v>219.11</v>
      </c>
      <c r="AG349" s="130">
        <f>AB349/V349</f>
        <v>2.9214666666666669E-3</v>
      </c>
      <c r="AH349" s="123">
        <f>AB349/S349</f>
        <v>0.54640897755610973</v>
      </c>
      <c r="AI349" s="124" t="s">
        <v>97</v>
      </c>
      <c r="AJ349" s="125" t="s">
        <v>349</v>
      </c>
      <c r="AK349"/>
      <c r="AM349" s="80"/>
    </row>
    <row r="350" spans="1:39" ht="28.5" customHeight="1">
      <c r="A350" s="113" t="s">
        <v>73</v>
      </c>
      <c r="B350" s="114" t="s">
        <v>74</v>
      </c>
      <c r="C350" s="113" t="s">
        <v>35</v>
      </c>
      <c r="D350" s="113" t="s">
        <v>218</v>
      </c>
      <c r="E350" s="115" t="s">
        <v>1066</v>
      </c>
      <c r="F350" s="113" t="s">
        <v>370</v>
      </c>
      <c r="G350" s="116" t="s">
        <v>1426</v>
      </c>
      <c r="H350" s="79">
        <v>46162</v>
      </c>
      <c r="I350" s="114" t="s">
        <v>79</v>
      </c>
      <c r="J350" s="117" t="s">
        <v>1427</v>
      </c>
      <c r="K350" s="118">
        <v>46155</v>
      </c>
      <c r="L350" s="114" t="s">
        <v>81</v>
      </c>
      <c r="M350" s="119">
        <v>46157</v>
      </c>
      <c r="N350" s="128">
        <v>46157</v>
      </c>
      <c r="O350" s="120">
        <f>NETWORKDAYS.INTL(K350,N350,1,$AM$2:$AM$10)-1</f>
        <v>2</v>
      </c>
      <c r="P350" s="114" t="s">
        <v>81</v>
      </c>
      <c r="Q350" s="114" t="s">
        <v>79</v>
      </c>
      <c r="R350" s="115"/>
      <c r="S350" s="145">
        <v>673</v>
      </c>
      <c r="T350" s="148" t="s">
        <v>1344</v>
      </c>
      <c r="U350" s="147">
        <v>1</v>
      </c>
      <c r="V350" s="121">
        <v>150</v>
      </c>
      <c r="W350" s="121">
        <v>375</v>
      </c>
      <c r="X350" s="114" t="s">
        <v>84</v>
      </c>
      <c r="Y350" s="115" t="s">
        <v>85</v>
      </c>
      <c r="Z350" s="115" t="s">
        <v>86</v>
      </c>
      <c r="AA350" s="113" t="s">
        <v>87</v>
      </c>
      <c r="AB350" s="122">
        <v>296.70999999999998</v>
      </c>
      <c r="AC350" s="122">
        <f>IF(C350="DENALI", AB350*0.495, IF(C350="SCHNEIDER ELECTRIC", AB350*1.136, IF(C350="WWT", AB350*1.2, AC350)))+AB350</f>
        <v>443.58144999999996</v>
      </c>
      <c r="AD350" s="129">
        <f>AC350-AB350</f>
        <v>146.87144999999998</v>
      </c>
      <c r="AE350" s="122">
        <v>15925.17</v>
      </c>
      <c r="AF350" s="130">
        <f>AB350/U350</f>
        <v>296.70999999999998</v>
      </c>
      <c r="AG350" s="130">
        <f>AB350/V350</f>
        <v>1.9780666666666666</v>
      </c>
      <c r="AH350" s="123">
        <f>AB350/S350</f>
        <v>0.44087667161961364</v>
      </c>
      <c r="AI350" s="124" t="s">
        <v>97</v>
      </c>
      <c r="AJ350" s="125" t="s">
        <v>349</v>
      </c>
      <c r="AK350"/>
      <c r="AM350" s="80"/>
    </row>
    <row r="351" spans="1:39" ht="28.5" customHeight="1">
      <c r="A351" s="113" t="s">
        <v>73</v>
      </c>
      <c r="B351" s="114" t="s">
        <v>74</v>
      </c>
      <c r="C351" s="113" t="s">
        <v>35</v>
      </c>
      <c r="D351" s="113" t="s">
        <v>218</v>
      </c>
      <c r="E351" s="115" t="s">
        <v>1194</v>
      </c>
      <c r="F351" s="113" t="s">
        <v>1103</v>
      </c>
      <c r="G351" s="116" t="s">
        <v>1428</v>
      </c>
      <c r="H351" s="79">
        <v>46162</v>
      </c>
      <c r="I351" s="114" t="s">
        <v>79</v>
      </c>
      <c r="J351" s="117" t="s">
        <v>1429</v>
      </c>
      <c r="K351" s="118">
        <v>46155</v>
      </c>
      <c r="L351" s="114" t="s">
        <v>81</v>
      </c>
      <c r="M351" s="119">
        <v>46157</v>
      </c>
      <c r="N351" s="128">
        <v>46157</v>
      </c>
      <c r="O351" s="120">
        <f>NETWORKDAYS.INTL(K351,N351,1,$AM$2:$AM$10)-1</f>
        <v>2</v>
      </c>
      <c r="P351" s="114" t="s">
        <v>81</v>
      </c>
      <c r="Q351" s="114" t="s">
        <v>79</v>
      </c>
      <c r="R351" s="115"/>
      <c r="S351" s="145">
        <v>756</v>
      </c>
      <c r="T351" s="148" t="s">
        <v>1430</v>
      </c>
      <c r="U351" s="147">
        <v>1</v>
      </c>
      <c r="V351" s="121">
        <v>150</v>
      </c>
      <c r="W351" s="121">
        <v>3756</v>
      </c>
      <c r="X351" s="114" t="s">
        <v>84</v>
      </c>
      <c r="Y351" s="115" t="s">
        <v>85</v>
      </c>
      <c r="Z351" s="115" t="s">
        <v>770</v>
      </c>
      <c r="AA351" s="113" t="s">
        <v>87</v>
      </c>
      <c r="AB351" s="122">
        <v>303.14</v>
      </c>
      <c r="AC351" s="122">
        <f>IF(C351="DENALI", AB351*0.495, IF(C351="SCHNEIDER ELECTRIC", AB351*1.136, IF(C351="WWT", AB351*1.2, AC351)))+AB351</f>
        <v>453.1943</v>
      </c>
      <c r="AD351" s="129">
        <f>AC351-AB351</f>
        <v>150.05430000000001</v>
      </c>
      <c r="AE351" s="122">
        <v>13555.47</v>
      </c>
      <c r="AF351" s="130">
        <f>AB351/U351</f>
        <v>303.14</v>
      </c>
      <c r="AG351" s="130">
        <f>AB351/V351</f>
        <v>2.0209333333333332</v>
      </c>
      <c r="AH351" s="123">
        <f>AB351/S351</f>
        <v>0.40097883597883593</v>
      </c>
      <c r="AI351" s="124" t="s">
        <v>97</v>
      </c>
      <c r="AJ351" s="125" t="s">
        <v>349</v>
      </c>
      <c r="AK351"/>
      <c r="AM351" s="80"/>
    </row>
    <row r="352" spans="1:39" ht="28.5" customHeight="1">
      <c r="A352" s="113" t="s">
        <v>73</v>
      </c>
      <c r="B352" s="114" t="s">
        <v>74</v>
      </c>
      <c r="C352" s="113" t="s">
        <v>35</v>
      </c>
      <c r="D352" s="113" t="s">
        <v>218</v>
      </c>
      <c r="E352" s="115" t="s">
        <v>1431</v>
      </c>
      <c r="F352" s="113" t="s">
        <v>396</v>
      </c>
      <c r="G352" s="116" t="s">
        <v>1432</v>
      </c>
      <c r="H352" s="79">
        <v>46162</v>
      </c>
      <c r="I352" s="114" t="s">
        <v>79</v>
      </c>
      <c r="J352" s="117" t="s">
        <v>1433</v>
      </c>
      <c r="K352" s="118">
        <v>46155</v>
      </c>
      <c r="L352" s="114" t="s">
        <v>81</v>
      </c>
      <c r="M352" s="119">
        <v>46157</v>
      </c>
      <c r="N352" s="128">
        <v>46157</v>
      </c>
      <c r="O352" s="120">
        <f>NETWORKDAYS.INTL(K352,N352,1,$AM$2:$AM$10)-1</f>
        <v>2</v>
      </c>
      <c r="P352" s="114" t="s">
        <v>81</v>
      </c>
      <c r="Q352" s="114" t="s">
        <v>79</v>
      </c>
      <c r="R352" s="115"/>
      <c r="S352" s="145">
        <v>657</v>
      </c>
      <c r="T352" s="148" t="s">
        <v>1434</v>
      </c>
      <c r="U352" s="147">
        <v>1</v>
      </c>
      <c r="V352" s="121">
        <v>103</v>
      </c>
      <c r="W352" s="121">
        <v>340</v>
      </c>
      <c r="X352" s="114" t="s">
        <v>84</v>
      </c>
      <c r="Y352" s="115" t="s">
        <v>85</v>
      </c>
      <c r="Z352" s="115" t="s">
        <v>1208</v>
      </c>
      <c r="AA352" s="113" t="s">
        <v>87</v>
      </c>
      <c r="AB352" s="122">
        <v>199.46</v>
      </c>
      <c r="AC352" s="122">
        <f>IF(C352="DENALI", AB352*0.495, IF(C352="SCHNEIDER ELECTRIC", AB352*1.136, IF(C352="WWT", AB352*1.2, AC352)))+AB352</f>
        <v>298.1927</v>
      </c>
      <c r="AD352" s="129">
        <f>AC352-AB352</f>
        <v>98.732699999999994</v>
      </c>
      <c r="AE352" s="122">
        <v>7612.24</v>
      </c>
      <c r="AF352" s="130">
        <f>AB352/U352</f>
        <v>199.46</v>
      </c>
      <c r="AG352" s="130">
        <f>AB352/V352</f>
        <v>1.936504854368932</v>
      </c>
      <c r="AH352" s="123">
        <f>AB352/S352</f>
        <v>0.30359208523592085</v>
      </c>
      <c r="AI352" s="124" t="s">
        <v>183</v>
      </c>
      <c r="AJ352" s="125" t="s">
        <v>379</v>
      </c>
      <c r="AK352"/>
      <c r="AM352" s="80"/>
    </row>
    <row r="353" spans="1:39" ht="28.5" customHeight="1">
      <c r="A353" s="113" t="s">
        <v>73</v>
      </c>
      <c r="B353" s="114" t="s">
        <v>74</v>
      </c>
      <c r="C353" s="113" t="s">
        <v>35</v>
      </c>
      <c r="D353" s="113" t="s">
        <v>218</v>
      </c>
      <c r="E353" s="115" t="s">
        <v>416</v>
      </c>
      <c r="F353" s="113" t="s">
        <v>90</v>
      </c>
      <c r="G353" s="116" t="s">
        <v>1435</v>
      </c>
      <c r="H353" s="79">
        <v>46162</v>
      </c>
      <c r="I353" s="114" t="s">
        <v>79</v>
      </c>
      <c r="J353" s="117" t="s">
        <v>1436</v>
      </c>
      <c r="K353" s="118">
        <v>46155</v>
      </c>
      <c r="L353" s="114" t="s">
        <v>81</v>
      </c>
      <c r="M353" s="119">
        <v>46157</v>
      </c>
      <c r="N353" s="128">
        <v>46161</v>
      </c>
      <c r="O353" s="120">
        <f>NETWORKDAYS.INTL(K353,N353,1,$AM$2:$AM$10)-1</f>
        <v>4</v>
      </c>
      <c r="P353" s="114" t="s">
        <v>81</v>
      </c>
      <c r="Q353" s="114" t="s">
        <v>79</v>
      </c>
      <c r="R353" s="115"/>
      <c r="S353" s="145">
        <v>2255</v>
      </c>
      <c r="T353" s="148" t="s">
        <v>1437</v>
      </c>
      <c r="U353" s="147">
        <v>1</v>
      </c>
      <c r="V353" s="121">
        <v>267</v>
      </c>
      <c r="W353" s="121">
        <v>345</v>
      </c>
      <c r="X353" s="114" t="s">
        <v>84</v>
      </c>
      <c r="Y353" s="115" t="s">
        <v>85</v>
      </c>
      <c r="Z353" s="115" t="s">
        <v>86</v>
      </c>
      <c r="AA353" s="113" t="s">
        <v>87</v>
      </c>
      <c r="AB353" s="122">
        <v>373.61</v>
      </c>
      <c r="AC353" s="122">
        <f>IF(C353="DENALI", AB353*0.495, IF(C353="SCHNEIDER ELECTRIC", AB353*1.136, IF(C353="WWT", AB353*1.2, AC353)))+AB353</f>
        <v>558.54695000000004</v>
      </c>
      <c r="AD353" s="129">
        <f>AC353-AB353</f>
        <v>184.93695000000002</v>
      </c>
      <c r="AE353" s="122">
        <v>12630.08</v>
      </c>
      <c r="AF353" s="130">
        <f>AB353/U353</f>
        <v>373.61</v>
      </c>
      <c r="AG353" s="130">
        <f>AB353/V353</f>
        <v>1.3992883895131087</v>
      </c>
      <c r="AH353" s="123">
        <f>AB353/S353</f>
        <v>0.16568070953436809</v>
      </c>
      <c r="AI353" s="124" t="s">
        <v>147</v>
      </c>
      <c r="AJ353" s="125" t="s">
        <v>343</v>
      </c>
      <c r="AK353"/>
      <c r="AM353" s="80"/>
    </row>
    <row r="354" spans="1:39" ht="28.5" customHeight="1">
      <c r="A354" s="113" t="s">
        <v>73</v>
      </c>
      <c r="B354" s="114" t="s">
        <v>74</v>
      </c>
      <c r="C354" s="113" t="s">
        <v>35</v>
      </c>
      <c r="D354" s="113" t="s">
        <v>99</v>
      </c>
      <c r="E354" s="115" t="s">
        <v>1288</v>
      </c>
      <c r="F354" s="113" t="s">
        <v>585</v>
      </c>
      <c r="G354" s="116">
        <v>23031175</v>
      </c>
      <c r="H354" s="79">
        <v>46163</v>
      </c>
      <c r="I354" s="114" t="s">
        <v>79</v>
      </c>
      <c r="J354" s="117" t="s">
        <v>1438</v>
      </c>
      <c r="K354" s="118">
        <v>46157</v>
      </c>
      <c r="L354" s="114" t="s">
        <v>81</v>
      </c>
      <c r="M354" s="119">
        <v>46160</v>
      </c>
      <c r="N354" s="128">
        <v>46160</v>
      </c>
      <c r="O354" s="120">
        <f>NETWORKDAYS.INTL(K354,N354,1,$AM$2:$AM$10)-1</f>
        <v>1</v>
      </c>
      <c r="P354" s="114" t="s">
        <v>81</v>
      </c>
      <c r="Q354" s="114" t="s">
        <v>79</v>
      </c>
      <c r="R354" s="115"/>
      <c r="S354" s="145">
        <v>1522</v>
      </c>
      <c r="T354" s="148" t="s">
        <v>1439</v>
      </c>
      <c r="U354" s="147">
        <v>24</v>
      </c>
      <c r="V354" s="121">
        <v>24</v>
      </c>
      <c r="W354" s="121">
        <v>17040</v>
      </c>
      <c r="X354" s="114" t="s">
        <v>113</v>
      </c>
      <c r="Y354" s="115" t="s">
        <v>85</v>
      </c>
      <c r="Z354" s="115" t="s">
        <v>1440</v>
      </c>
      <c r="AA354" s="113" t="s">
        <v>87</v>
      </c>
      <c r="AB354" s="122">
        <v>3345.46</v>
      </c>
      <c r="AC354" s="122">
        <f>IF(C354="DENALI", AB354*0.495, IF(C354="SCHNEIDER ELECTRIC", AB354*1.136, IF(C354="WWT", AB354*1.2, AC354)))+AB354</f>
        <v>5001.4627</v>
      </c>
      <c r="AD354" s="129">
        <f>AC354-AB354</f>
        <v>1656.0027</v>
      </c>
      <c r="AE354" s="122">
        <v>222413.28</v>
      </c>
      <c r="AF354" s="130">
        <f>AB354/U354</f>
        <v>139.39416666666668</v>
      </c>
      <c r="AG354" s="130">
        <f>AB354/V354</f>
        <v>139.39416666666668</v>
      </c>
      <c r="AH354" s="123">
        <f>AB354/S354</f>
        <v>2.1980683311432325</v>
      </c>
      <c r="AI354" s="124" t="s">
        <v>97</v>
      </c>
      <c r="AJ354" s="125" t="s">
        <v>349</v>
      </c>
      <c r="AK354"/>
      <c r="AM354" s="80"/>
    </row>
    <row r="355" spans="1:39" ht="28.5" customHeight="1">
      <c r="A355" s="113" t="s">
        <v>73</v>
      </c>
      <c r="B355" s="114" t="s">
        <v>74</v>
      </c>
      <c r="C355" s="113" t="s">
        <v>35</v>
      </c>
      <c r="D355" s="113" t="s">
        <v>99</v>
      </c>
      <c r="E355" s="115" t="s">
        <v>201</v>
      </c>
      <c r="F355" s="113" t="s">
        <v>99</v>
      </c>
      <c r="G355" s="116">
        <v>23033539</v>
      </c>
      <c r="H355" s="79">
        <v>46163</v>
      </c>
      <c r="I355" s="114" t="s">
        <v>79</v>
      </c>
      <c r="J355" s="117" t="s">
        <v>1441</v>
      </c>
      <c r="K355" s="118">
        <v>46156</v>
      </c>
      <c r="L355" s="114" t="s">
        <v>81</v>
      </c>
      <c r="M355" s="119">
        <v>46157</v>
      </c>
      <c r="N355" s="128">
        <v>46157</v>
      </c>
      <c r="O355" s="120">
        <f>NETWORKDAYS.INTL(K355,N355,1,$AM$2:$AM$10)-1</f>
        <v>1</v>
      </c>
      <c r="P355" s="114" t="s">
        <v>81</v>
      </c>
      <c r="Q355" s="114" t="s">
        <v>79</v>
      </c>
      <c r="R355" s="115"/>
      <c r="S355" s="145">
        <v>26</v>
      </c>
      <c r="T355" s="148" t="s">
        <v>1442</v>
      </c>
      <c r="U355" s="147">
        <v>7</v>
      </c>
      <c r="V355" s="121">
        <v>1170</v>
      </c>
      <c r="W355" s="121">
        <v>3723</v>
      </c>
      <c r="X355" s="114" t="s">
        <v>113</v>
      </c>
      <c r="Y355" s="115" t="s">
        <v>85</v>
      </c>
      <c r="Z355" s="115" t="s">
        <v>1443</v>
      </c>
      <c r="AA355" s="113" t="s">
        <v>87</v>
      </c>
      <c r="AB355" s="122">
        <v>1962.7</v>
      </c>
      <c r="AC355" s="122">
        <f>IF(C355="DENALI", AB355*0.495, IF(C355="SCHNEIDER ELECTRIC", AB355*1.136, IF(C355="WWT", AB355*1.2, AC355)))+AB355</f>
        <v>2934.2365</v>
      </c>
      <c r="AD355" s="129">
        <f>AC355-AB355</f>
        <v>971.53649999999993</v>
      </c>
      <c r="AE355" s="122">
        <v>122429.68</v>
      </c>
      <c r="AF355" s="130">
        <f>AB355/U355</f>
        <v>280.3857142857143</v>
      </c>
      <c r="AG355" s="130">
        <f>AB355/V355</f>
        <v>1.6775213675213676</v>
      </c>
      <c r="AH355" s="123">
        <f>AB355/S355</f>
        <v>75.488461538461536</v>
      </c>
      <c r="AI355" s="124" t="s">
        <v>147</v>
      </c>
      <c r="AJ355" s="125" t="s">
        <v>343</v>
      </c>
      <c r="AK355"/>
      <c r="AM355" s="80"/>
    </row>
    <row r="356" spans="1:39" ht="28.5" customHeight="1">
      <c r="A356" s="113" t="s">
        <v>73</v>
      </c>
      <c r="B356" s="114" t="s">
        <v>74</v>
      </c>
      <c r="C356" s="113" t="s">
        <v>35</v>
      </c>
      <c r="D356" s="113" t="s">
        <v>99</v>
      </c>
      <c r="E356" s="115" t="s">
        <v>1444</v>
      </c>
      <c r="F356" s="113" t="s">
        <v>1445</v>
      </c>
      <c r="G356" s="116" t="s">
        <v>1446</v>
      </c>
      <c r="H356" s="79">
        <v>46163</v>
      </c>
      <c r="I356" s="114" t="s">
        <v>79</v>
      </c>
      <c r="J356" s="117" t="s">
        <v>1447</v>
      </c>
      <c r="K356" s="118">
        <v>46156</v>
      </c>
      <c r="L356" s="114" t="s">
        <v>81</v>
      </c>
      <c r="M356" s="119">
        <v>46157</v>
      </c>
      <c r="N356" s="128">
        <v>46161</v>
      </c>
      <c r="O356" s="120">
        <f>NETWORKDAYS.INTL(K356,N356,1,$AM$2:$AM$10)-1</f>
        <v>3</v>
      </c>
      <c r="P356" s="114" t="s">
        <v>81</v>
      </c>
      <c r="Q356" s="114" t="s">
        <v>79</v>
      </c>
      <c r="R356" s="115"/>
      <c r="S356" s="145">
        <v>1127</v>
      </c>
      <c r="T356" s="148" t="s">
        <v>1448</v>
      </c>
      <c r="U356" s="147">
        <v>1</v>
      </c>
      <c r="V356" s="121">
        <v>20</v>
      </c>
      <c r="W356" s="121">
        <v>460</v>
      </c>
      <c r="X356" s="114" t="s">
        <v>84</v>
      </c>
      <c r="Y356" s="115" t="s">
        <v>85</v>
      </c>
      <c r="Z356" s="115" t="s">
        <v>86</v>
      </c>
      <c r="AA356" s="113" t="s">
        <v>87</v>
      </c>
      <c r="AB356" s="122">
        <v>272.81</v>
      </c>
      <c r="AC356" s="122">
        <f>IF(C356="DENALI", AB356*0.495, IF(C356="SCHNEIDER ELECTRIC", AB356*1.136, IF(C356="WWT", AB356*1.2, AC356)))+AB356</f>
        <v>407.85095000000001</v>
      </c>
      <c r="AD356" s="129">
        <f>AC356-AB356</f>
        <v>135.04095000000001</v>
      </c>
      <c r="AE356" s="122">
        <v>5860.77</v>
      </c>
      <c r="AF356" s="130">
        <f>AB356/U356</f>
        <v>272.81</v>
      </c>
      <c r="AG356" s="130">
        <f>AB356/V356</f>
        <v>13.640499999999999</v>
      </c>
      <c r="AH356" s="123">
        <f>AB356/S356</f>
        <v>0.24206743566992014</v>
      </c>
      <c r="AI356" s="124" t="s">
        <v>147</v>
      </c>
      <c r="AJ356" s="125" t="s">
        <v>343</v>
      </c>
      <c r="AK356"/>
      <c r="AM356" s="80"/>
    </row>
    <row r="357" spans="1:39" ht="28.5" customHeight="1">
      <c r="A357" s="113" t="s">
        <v>73</v>
      </c>
      <c r="B357" s="114" t="s">
        <v>74</v>
      </c>
      <c r="C357" s="113" t="s">
        <v>35</v>
      </c>
      <c r="D357" s="113" t="s">
        <v>99</v>
      </c>
      <c r="E357" s="115" t="s">
        <v>1368</v>
      </c>
      <c r="F357" s="113" t="s">
        <v>90</v>
      </c>
      <c r="G357" s="116" t="s">
        <v>1449</v>
      </c>
      <c r="H357" s="79">
        <v>46163</v>
      </c>
      <c r="I357" s="114" t="s">
        <v>79</v>
      </c>
      <c r="J357" s="117" t="s">
        <v>1450</v>
      </c>
      <c r="K357" s="118">
        <v>46156</v>
      </c>
      <c r="L357" s="114" t="s">
        <v>81</v>
      </c>
      <c r="M357" s="119">
        <v>46157</v>
      </c>
      <c r="N357" s="128">
        <v>46161</v>
      </c>
      <c r="O357" s="120">
        <f>NETWORKDAYS.INTL(K357,N357,1,$AM$2:$AM$10)-1</f>
        <v>3</v>
      </c>
      <c r="P357" s="114" t="s">
        <v>81</v>
      </c>
      <c r="Q357" s="114" t="s">
        <v>79</v>
      </c>
      <c r="R357" s="115"/>
      <c r="S357" s="145">
        <v>1290</v>
      </c>
      <c r="T357" s="148" t="s">
        <v>1254</v>
      </c>
      <c r="U357" s="147">
        <v>1</v>
      </c>
      <c r="V357" s="121">
        <v>4</v>
      </c>
      <c r="W357" s="121">
        <v>522</v>
      </c>
      <c r="X357" s="114" t="s">
        <v>84</v>
      </c>
      <c r="Y357" s="115" t="s">
        <v>85</v>
      </c>
      <c r="Z357" s="115" t="s">
        <v>86</v>
      </c>
      <c r="AA357" s="113" t="s">
        <v>87</v>
      </c>
      <c r="AB357" s="122">
        <v>264.33</v>
      </c>
      <c r="AC357" s="122">
        <f>IF(C357="DENALI", AB357*0.495, IF(C357="SCHNEIDER ELECTRIC", AB357*1.136, IF(C357="WWT", AB357*1.2, AC357)))+AB357</f>
        <v>395.17334999999997</v>
      </c>
      <c r="AD357" s="129">
        <f>AC357-AB357</f>
        <v>130.84334999999999</v>
      </c>
      <c r="AE357" s="122">
        <v>5052.38</v>
      </c>
      <c r="AF357" s="130">
        <f>AB357/U357</f>
        <v>264.33</v>
      </c>
      <c r="AG357" s="130">
        <f>AB357/V357</f>
        <v>66.082499999999996</v>
      </c>
      <c r="AH357" s="123">
        <f>AB357/S357</f>
        <v>0.20490697674418604</v>
      </c>
      <c r="AI357" s="124" t="s">
        <v>1044</v>
      </c>
      <c r="AJ357" s="125" t="s">
        <v>349</v>
      </c>
      <c r="AK357"/>
      <c r="AM357" s="80"/>
    </row>
    <row r="358" spans="1:39" ht="28.5" customHeight="1">
      <c r="A358" s="113" t="s">
        <v>73</v>
      </c>
      <c r="B358" s="114" t="s">
        <v>74</v>
      </c>
      <c r="C358" s="113" t="s">
        <v>35</v>
      </c>
      <c r="D358" s="113" t="s">
        <v>218</v>
      </c>
      <c r="E358" s="115" t="s">
        <v>248</v>
      </c>
      <c r="F358" s="113" t="s">
        <v>189</v>
      </c>
      <c r="G358" s="116" t="s">
        <v>1451</v>
      </c>
      <c r="H358" s="79">
        <v>46164</v>
      </c>
      <c r="I358" s="114" t="s">
        <v>79</v>
      </c>
      <c r="J358" s="117" t="s">
        <v>1452</v>
      </c>
      <c r="K358" s="118">
        <v>46157</v>
      </c>
      <c r="L358" s="114" t="s">
        <v>81</v>
      </c>
      <c r="M358" s="119">
        <v>46161</v>
      </c>
      <c r="N358" s="128">
        <v>46162</v>
      </c>
      <c r="O358" s="120">
        <f>NETWORKDAYS.INTL(K358,N358,1,$AM$2:$AM$10)-1</f>
        <v>3</v>
      </c>
      <c r="P358" s="114" t="s">
        <v>81</v>
      </c>
      <c r="Q358" s="114" t="s">
        <v>79</v>
      </c>
      <c r="R358" s="115"/>
      <c r="S358" s="145">
        <v>1549</v>
      </c>
      <c r="T358" s="148" t="s">
        <v>1350</v>
      </c>
      <c r="U358" s="147">
        <v>1</v>
      </c>
      <c r="V358" s="121">
        <v>119</v>
      </c>
      <c r="W358" s="121">
        <v>375</v>
      </c>
      <c r="X358" s="114" t="s">
        <v>84</v>
      </c>
      <c r="Y358" s="115" t="s">
        <v>85</v>
      </c>
      <c r="Z358" s="115" t="s">
        <v>86</v>
      </c>
      <c r="AA358" s="113" t="s">
        <v>87</v>
      </c>
      <c r="AB358" s="122">
        <v>491.13</v>
      </c>
      <c r="AC358" s="122">
        <f>IF(C358="DENALI", AB358*0.495, IF(C358="SCHNEIDER ELECTRIC", AB358*1.136, IF(C358="WWT", AB358*1.2, AC358)))+AB358</f>
        <v>734.23935000000006</v>
      </c>
      <c r="AD358" s="129">
        <f>AC358-AB358</f>
        <v>243.10935000000006</v>
      </c>
      <c r="AE358" s="122">
        <v>13555.47</v>
      </c>
      <c r="AF358" s="130">
        <f>AB358/U358</f>
        <v>491.13</v>
      </c>
      <c r="AG358" s="130">
        <f>AB358/V358</f>
        <v>4.1271428571428572</v>
      </c>
      <c r="AH358" s="123">
        <f>AB358/S358</f>
        <v>0.31706262104583605</v>
      </c>
      <c r="AI358" s="124" t="s">
        <v>147</v>
      </c>
      <c r="AJ358" s="125" t="s">
        <v>343</v>
      </c>
      <c r="AK358"/>
      <c r="AM358" s="80"/>
    </row>
    <row r="359" spans="1:39" ht="60.75">
      <c r="A359" s="113" t="s">
        <v>73</v>
      </c>
      <c r="B359" s="114" t="s">
        <v>74</v>
      </c>
      <c r="C359" s="113" t="s">
        <v>35</v>
      </c>
      <c r="D359" s="113" t="s">
        <v>218</v>
      </c>
      <c r="E359" s="115" t="s">
        <v>1453</v>
      </c>
      <c r="F359" s="113" t="s">
        <v>142</v>
      </c>
      <c r="G359" s="116" t="s">
        <v>1454</v>
      </c>
      <c r="H359" s="79">
        <v>46167</v>
      </c>
      <c r="I359" s="114" t="s">
        <v>79</v>
      </c>
      <c r="J359" s="117" t="s">
        <v>1455</v>
      </c>
      <c r="K359" s="118">
        <v>46157</v>
      </c>
      <c r="L359" s="114" t="s">
        <v>81</v>
      </c>
      <c r="M359" s="119">
        <v>46160</v>
      </c>
      <c r="N359" s="128">
        <v>46162</v>
      </c>
      <c r="O359" s="120">
        <f>NETWORKDAYS.INTL(K359,N359,1,$AM$2:$AM$10)-1</f>
        <v>3</v>
      </c>
      <c r="P359" s="114" t="s">
        <v>81</v>
      </c>
      <c r="Q359" s="114" t="s">
        <v>79</v>
      </c>
      <c r="R359" s="115"/>
      <c r="S359" s="145">
        <v>441</v>
      </c>
      <c r="T359" s="148" t="s">
        <v>1456</v>
      </c>
      <c r="U359" s="147">
        <v>4</v>
      </c>
      <c r="V359" s="121">
        <v>542</v>
      </c>
      <c r="W359" s="121">
        <v>1500</v>
      </c>
      <c r="X359" s="114" t="s">
        <v>84</v>
      </c>
      <c r="Y359" s="115" t="s">
        <v>85</v>
      </c>
      <c r="Z359" s="115" t="s">
        <v>160</v>
      </c>
      <c r="AA359" s="113" t="s">
        <v>87</v>
      </c>
      <c r="AB359" s="122">
        <v>741.01</v>
      </c>
      <c r="AC359" s="122">
        <f>IF(C359="DENALI", AB359*0.495, IF(C359="SCHNEIDER ELECTRIC", AB359*1.136, IF(C359="WWT", AB359*1.2, AC359)))+AB359</f>
        <v>1107.8099499999998</v>
      </c>
      <c r="AD359" s="129">
        <f>AC359-AB359</f>
        <v>366.79994999999985</v>
      </c>
      <c r="AE359" s="122">
        <v>58413.34</v>
      </c>
      <c r="AF359" s="130">
        <f>AB359/U359</f>
        <v>185.2525</v>
      </c>
      <c r="AG359" s="130">
        <f>AB359/V359</f>
        <v>1.3671771217712176</v>
      </c>
      <c r="AH359" s="123">
        <f>AB359/S359</f>
        <v>1.6802947845804987</v>
      </c>
      <c r="AI359" s="124" t="s">
        <v>147</v>
      </c>
      <c r="AJ359" s="125" t="s">
        <v>343</v>
      </c>
      <c r="AK359"/>
      <c r="AM359" s="80"/>
    </row>
    <row r="360" spans="1:39" ht="28.5" customHeight="1">
      <c r="A360" s="113" t="s">
        <v>73</v>
      </c>
      <c r="B360" s="114" t="s">
        <v>74</v>
      </c>
      <c r="C360" s="113" t="s">
        <v>35</v>
      </c>
      <c r="D360" s="113" t="s">
        <v>218</v>
      </c>
      <c r="E360" s="115" t="s">
        <v>416</v>
      </c>
      <c r="F360" s="113" t="s">
        <v>90</v>
      </c>
      <c r="G360" s="116" t="s">
        <v>1457</v>
      </c>
      <c r="H360" s="79">
        <v>46164</v>
      </c>
      <c r="I360" s="114" t="s">
        <v>79</v>
      </c>
      <c r="J360" s="117" t="s">
        <v>1458</v>
      </c>
      <c r="K360" s="118">
        <v>46157</v>
      </c>
      <c r="L360" s="114" t="s">
        <v>81</v>
      </c>
      <c r="M360" s="119">
        <v>46161</v>
      </c>
      <c r="N360" s="128">
        <v>46162</v>
      </c>
      <c r="O360" s="120">
        <f>NETWORKDAYS.INTL(K360,N360,1,$AM$2:$AM$10)-1</f>
        <v>3</v>
      </c>
      <c r="P360" s="114" t="s">
        <v>81</v>
      </c>
      <c r="Q360" s="114" t="s">
        <v>79</v>
      </c>
      <c r="R360" s="115"/>
      <c r="S360" s="145">
        <v>2257</v>
      </c>
      <c r="T360" s="148" t="s">
        <v>1459</v>
      </c>
      <c r="U360" s="147">
        <v>1</v>
      </c>
      <c r="V360" s="121">
        <v>119</v>
      </c>
      <c r="W360" s="121">
        <v>375</v>
      </c>
      <c r="X360" s="114" t="s">
        <v>84</v>
      </c>
      <c r="Y360" s="115" t="s">
        <v>85</v>
      </c>
      <c r="Z360" s="115" t="s">
        <v>86</v>
      </c>
      <c r="AA360" s="113" t="s">
        <v>87</v>
      </c>
      <c r="AB360" s="122">
        <v>585.23</v>
      </c>
      <c r="AC360" s="122">
        <f>IF(C360="DENALI", AB360*0.495, IF(C360="SCHNEIDER ELECTRIC", AB360*1.136, IF(C360="WWT", AB360*1.2, AC360)))+AB360</f>
        <v>874.91885000000002</v>
      </c>
      <c r="AD360" s="129">
        <f>AC360-AB360</f>
        <v>289.68885</v>
      </c>
      <c r="AE360" s="122">
        <v>13640.04</v>
      </c>
      <c r="AF360" s="130">
        <f>AB360/U360</f>
        <v>585.23</v>
      </c>
      <c r="AG360" s="130">
        <f>AB360/V360</f>
        <v>4.9178991596638655</v>
      </c>
      <c r="AH360" s="123">
        <f>AB360/S360</f>
        <v>0.25929552503322995</v>
      </c>
      <c r="AI360" s="124" t="s">
        <v>147</v>
      </c>
      <c r="AJ360" s="125" t="s">
        <v>343</v>
      </c>
      <c r="AK360"/>
      <c r="AM360" s="80"/>
    </row>
    <row r="361" spans="1:39" ht="28.5" customHeight="1">
      <c r="A361" s="113" t="s">
        <v>73</v>
      </c>
      <c r="B361" s="114" t="s">
        <v>74</v>
      </c>
      <c r="C361" s="113" t="s">
        <v>35</v>
      </c>
      <c r="D361" s="113" t="s">
        <v>99</v>
      </c>
      <c r="E361" s="115" t="s">
        <v>1460</v>
      </c>
      <c r="F361" s="113" t="s">
        <v>585</v>
      </c>
      <c r="G361" s="116">
        <v>23057132</v>
      </c>
      <c r="H361" s="79">
        <v>46164</v>
      </c>
      <c r="I361" s="114" t="s">
        <v>79</v>
      </c>
      <c r="J361" s="117" t="s">
        <v>1461</v>
      </c>
      <c r="K361" s="118">
        <v>46160</v>
      </c>
      <c r="L361" s="114" t="s">
        <v>81</v>
      </c>
      <c r="M361" s="119">
        <v>46161</v>
      </c>
      <c r="N361" s="128">
        <v>46162</v>
      </c>
      <c r="O361" s="120">
        <f>NETWORKDAYS.INTL(K361,N361,1,$AM$2:$AM$10)-1</f>
        <v>2</v>
      </c>
      <c r="P361" s="114" t="s">
        <v>81</v>
      </c>
      <c r="Q361" s="114" t="s">
        <v>79</v>
      </c>
      <c r="R361" s="115"/>
      <c r="S361" s="145">
        <v>1543</v>
      </c>
      <c r="T361" s="148" t="s">
        <v>1462</v>
      </c>
      <c r="U361" s="147">
        <v>13</v>
      </c>
      <c r="V361" s="121">
        <v>276</v>
      </c>
      <c r="W361" s="121">
        <v>10910</v>
      </c>
      <c r="X361" s="114" t="s">
        <v>113</v>
      </c>
      <c r="Y361" s="115" t="s">
        <v>85</v>
      </c>
      <c r="Z361" s="115" t="s">
        <v>1463</v>
      </c>
      <c r="AA361" s="113" t="s">
        <v>87</v>
      </c>
      <c r="AB361" s="122">
        <v>3597.01</v>
      </c>
      <c r="AC361" s="122">
        <f>IF(C361="DENALI", AB361*0.495, IF(C361="SCHNEIDER ELECTRIC", AB361*1.136, IF(C361="WWT", AB361*1.2, AC361)))+AB361</f>
        <v>5377.5299500000001</v>
      </c>
      <c r="AD361" s="129">
        <f>AC361-AB361</f>
        <v>1780.5199499999999</v>
      </c>
      <c r="AE361" s="122">
        <v>209029.18</v>
      </c>
      <c r="AF361" s="130">
        <f>AB361/U361</f>
        <v>276.69307692307694</v>
      </c>
      <c r="AG361" s="130">
        <f>AB361/V361</f>
        <v>13.032644927536232</v>
      </c>
      <c r="AH361" s="123">
        <f>AB361/S361</f>
        <v>2.3311795204147767</v>
      </c>
      <c r="AI361" s="124" t="s">
        <v>147</v>
      </c>
      <c r="AJ361" s="125" t="s">
        <v>343</v>
      </c>
      <c r="AK361"/>
      <c r="AM361" s="80"/>
    </row>
    <row r="362" spans="1:39" ht="28.5" customHeight="1">
      <c r="A362" s="113" t="s">
        <v>73</v>
      </c>
      <c r="B362" s="114" t="s">
        <v>74</v>
      </c>
      <c r="C362" s="113" t="s">
        <v>36</v>
      </c>
      <c r="D362" s="113" t="s">
        <v>90</v>
      </c>
      <c r="E362" s="115" t="s">
        <v>1464</v>
      </c>
      <c r="F362" s="113" t="s">
        <v>92</v>
      </c>
      <c r="G362" s="116" t="s">
        <v>1465</v>
      </c>
      <c r="H362" s="79">
        <v>46164</v>
      </c>
      <c r="I362" s="114" t="s">
        <v>79</v>
      </c>
      <c r="J362" s="117" t="s">
        <v>1466</v>
      </c>
      <c r="K362" s="118">
        <v>46160</v>
      </c>
      <c r="L362" s="114" t="s">
        <v>81</v>
      </c>
      <c r="M362" s="119">
        <v>46163</v>
      </c>
      <c r="N362" s="128">
        <v>46163</v>
      </c>
      <c r="O362" s="120">
        <f>NETWORKDAYS.INTL(K362,N362,1,$AM$2:$AM$10)-1</f>
        <v>3</v>
      </c>
      <c r="P362" s="114" t="s">
        <v>81</v>
      </c>
      <c r="Q362" s="114" t="s">
        <v>79</v>
      </c>
      <c r="R362" s="115"/>
      <c r="S362" s="145">
        <v>1351</v>
      </c>
      <c r="T362" s="148" t="s">
        <v>1467</v>
      </c>
      <c r="U362" s="147">
        <v>1</v>
      </c>
      <c r="V362" s="121">
        <v>6</v>
      </c>
      <c r="W362" s="121">
        <v>502</v>
      </c>
      <c r="X362" s="114" t="s">
        <v>84</v>
      </c>
      <c r="Y362" s="115" t="s">
        <v>85</v>
      </c>
      <c r="Z362" s="115" t="s">
        <v>86</v>
      </c>
      <c r="AA362" s="113" t="s">
        <v>87</v>
      </c>
      <c r="AB362" s="122">
        <v>301.8</v>
      </c>
      <c r="AC362" s="122">
        <f>IF(C362="DENALI", AB362*0.495, IF(C362="SCHNEIDER ELECTRIC", AB362*1.136, IF(C362="WWT", AB362*1.2, AC362)))+AB362</f>
        <v>644.64480000000003</v>
      </c>
      <c r="AD362" s="129">
        <f>AC362-AB362</f>
        <v>342.84480000000002</v>
      </c>
      <c r="AE362" s="122">
        <v>12415</v>
      </c>
      <c r="AF362" s="130">
        <f>AB362/U362</f>
        <v>301.8</v>
      </c>
      <c r="AG362" s="130">
        <f>AB362/V362</f>
        <v>50.300000000000004</v>
      </c>
      <c r="AH362" s="123">
        <f>AB362/S362</f>
        <v>0.22339008142116951</v>
      </c>
      <c r="AI362" s="124" t="s">
        <v>97</v>
      </c>
      <c r="AJ362" s="125" t="s">
        <v>98</v>
      </c>
      <c r="AK362"/>
      <c r="AM362" s="80"/>
    </row>
    <row r="363" spans="1:39" ht="45.75">
      <c r="A363" s="113" t="s">
        <v>73</v>
      </c>
      <c r="B363" s="114" t="s">
        <v>74</v>
      </c>
      <c r="C363" s="113" t="s">
        <v>35</v>
      </c>
      <c r="D363" s="113" t="s">
        <v>218</v>
      </c>
      <c r="E363" s="115" t="s">
        <v>141</v>
      </c>
      <c r="F363" s="113" t="s">
        <v>142</v>
      </c>
      <c r="G363" s="116">
        <v>23066881</v>
      </c>
      <c r="H363" s="79">
        <v>46168</v>
      </c>
      <c r="I363" s="114" t="s">
        <v>79</v>
      </c>
      <c r="J363" s="117" t="s">
        <v>1468</v>
      </c>
      <c r="K363" s="118">
        <v>46161</v>
      </c>
      <c r="L363" s="114" t="s">
        <v>81</v>
      </c>
      <c r="M363" s="119">
        <v>46162</v>
      </c>
      <c r="N363" s="128">
        <v>46162</v>
      </c>
      <c r="O363" s="120">
        <f>NETWORKDAYS.INTL(K363,N363,1,$AM$2:$AM$10)-1</f>
        <v>1</v>
      </c>
      <c r="P363" s="114" t="s">
        <v>81</v>
      </c>
      <c r="Q363" s="114" t="s">
        <v>79</v>
      </c>
      <c r="R363" s="115"/>
      <c r="S363" s="145">
        <v>466</v>
      </c>
      <c r="T363" s="148" t="s">
        <v>1469</v>
      </c>
      <c r="U363" s="147">
        <v>17</v>
      </c>
      <c r="V363" s="121">
        <v>17</v>
      </c>
      <c r="W363" s="121">
        <v>6375</v>
      </c>
      <c r="X363" s="114" t="s">
        <v>113</v>
      </c>
      <c r="Y363" s="115" t="s">
        <v>85</v>
      </c>
      <c r="Z363" s="115" t="s">
        <v>1470</v>
      </c>
      <c r="AA363" s="113" t="s">
        <v>87</v>
      </c>
      <c r="AB363" s="122">
        <v>2413.5300000000002</v>
      </c>
      <c r="AC363" s="122">
        <f>IF(C363="DENALI", AB363*0.495, IF(C363="SCHNEIDER ELECTRIC", AB363*1.136, IF(C363="WWT", AB363*1.2, AC363)))+AB363</f>
        <v>3608.2273500000001</v>
      </c>
      <c r="AD363" s="129">
        <f>AC363-AB363</f>
        <v>1194.6973499999999</v>
      </c>
      <c r="AE363" s="122">
        <v>115322.05</v>
      </c>
      <c r="AF363" s="130">
        <f>AB363/U363</f>
        <v>141.9723529411765</v>
      </c>
      <c r="AG363" s="130">
        <f>AB363/V363</f>
        <v>141.9723529411765</v>
      </c>
      <c r="AH363" s="123">
        <f>AB363/S363</f>
        <v>5.1792489270386266</v>
      </c>
      <c r="AI363" s="124" t="s">
        <v>155</v>
      </c>
      <c r="AJ363" s="125" t="s">
        <v>89</v>
      </c>
      <c r="AK363"/>
      <c r="AM363" s="80"/>
    </row>
    <row r="364" spans="1:39" ht="28.5" customHeight="1">
      <c r="A364" s="113" t="s">
        <v>73</v>
      </c>
      <c r="B364" s="114" t="s">
        <v>74</v>
      </c>
      <c r="C364" s="113" t="s">
        <v>35</v>
      </c>
      <c r="D364" s="113" t="s">
        <v>218</v>
      </c>
      <c r="E364" s="115" t="s">
        <v>450</v>
      </c>
      <c r="F364" s="113" t="s">
        <v>265</v>
      </c>
      <c r="G364" s="116" t="s">
        <v>1471</v>
      </c>
      <c r="H364" s="79">
        <v>46165</v>
      </c>
      <c r="I364" s="114" t="s">
        <v>79</v>
      </c>
      <c r="J364" s="117" t="s">
        <v>1472</v>
      </c>
      <c r="K364" s="118">
        <v>46160</v>
      </c>
      <c r="L364" s="114" t="s">
        <v>81</v>
      </c>
      <c r="M364" s="119">
        <v>46163</v>
      </c>
      <c r="N364" s="128">
        <v>46170</v>
      </c>
      <c r="O364" s="120">
        <f>NETWORKDAYS.INTL(K364,N364,1,$AM$2:$AM$10)-1</f>
        <v>7</v>
      </c>
      <c r="P364" s="114" t="s">
        <v>79</v>
      </c>
      <c r="Q364" s="114" t="s">
        <v>79</v>
      </c>
      <c r="R364" s="115" t="s">
        <v>1473</v>
      </c>
      <c r="S364" s="145">
        <v>723</v>
      </c>
      <c r="T364" s="148" t="s">
        <v>1474</v>
      </c>
      <c r="U364" s="147">
        <v>1</v>
      </c>
      <c r="V364" s="121">
        <v>46</v>
      </c>
      <c r="W364" s="121">
        <v>375</v>
      </c>
      <c r="X364" s="114" t="s">
        <v>84</v>
      </c>
      <c r="Y364" s="115" t="s">
        <v>85</v>
      </c>
      <c r="Z364" s="115" t="s">
        <v>86</v>
      </c>
      <c r="AA364" s="113" t="s">
        <v>87</v>
      </c>
      <c r="AB364" s="122">
        <v>430.84</v>
      </c>
      <c r="AC364" s="122">
        <f>IF(C364="DENALI", AB364*0.495, IF(C364="SCHNEIDER ELECTRIC", AB364*1.136, IF(C364="WWT", AB364*1.2, AC364)))+AB364</f>
        <v>644.10579999999993</v>
      </c>
      <c r="AD364" s="129">
        <f>AC364-AB364</f>
        <v>213.26579999999996</v>
      </c>
      <c r="AE364" s="122">
        <v>5811.07</v>
      </c>
      <c r="AF364" s="130">
        <f>AB364/U364</f>
        <v>430.84</v>
      </c>
      <c r="AG364" s="130">
        <f>AB364/V364</f>
        <v>9.3660869565217393</v>
      </c>
      <c r="AH364" s="123">
        <f>AB364/S364</f>
        <v>0.59590594744121717</v>
      </c>
      <c r="AI364" s="124" t="s">
        <v>97</v>
      </c>
      <c r="AJ364" s="125" t="s">
        <v>349</v>
      </c>
      <c r="AK364"/>
      <c r="AM364" s="80"/>
    </row>
    <row r="365" spans="1:39" ht="76.5">
      <c r="A365" s="113" t="s">
        <v>73</v>
      </c>
      <c r="B365" s="114" t="s">
        <v>74</v>
      </c>
      <c r="C365" s="113" t="s">
        <v>35</v>
      </c>
      <c r="D365" s="113" t="s">
        <v>218</v>
      </c>
      <c r="E365" s="115" t="s">
        <v>141</v>
      </c>
      <c r="F365" s="113" t="s">
        <v>142</v>
      </c>
      <c r="G365" s="116">
        <v>23072280</v>
      </c>
      <c r="H365" s="79">
        <v>46168</v>
      </c>
      <c r="I365" s="114" t="s">
        <v>79</v>
      </c>
      <c r="J365" s="117" t="s">
        <v>1475</v>
      </c>
      <c r="K365" s="118">
        <v>46161</v>
      </c>
      <c r="L365" s="114" t="s">
        <v>81</v>
      </c>
      <c r="M365" s="119">
        <v>46162</v>
      </c>
      <c r="N365" s="128">
        <v>46162</v>
      </c>
      <c r="O365" s="120">
        <f>NETWORKDAYS.INTL(K365,N365,1,$AM$2:$AM$10)-1</f>
        <v>1</v>
      </c>
      <c r="P365" s="114" t="s">
        <v>81</v>
      </c>
      <c r="Q365" s="114" t="s">
        <v>79</v>
      </c>
      <c r="R365" s="115"/>
      <c r="S365" s="145">
        <v>443</v>
      </c>
      <c r="T365" s="148" t="s">
        <v>1476</v>
      </c>
      <c r="U365" s="147">
        <v>15</v>
      </c>
      <c r="V365" s="121">
        <v>15</v>
      </c>
      <c r="W365" s="121">
        <v>5625</v>
      </c>
      <c r="X365" s="114" t="s">
        <v>113</v>
      </c>
      <c r="Y365" s="115" t="s">
        <v>85</v>
      </c>
      <c r="Z365" s="115" t="s">
        <v>1477</v>
      </c>
      <c r="AA365" s="113" t="s">
        <v>87</v>
      </c>
      <c r="AB365" s="122">
        <v>2445.79</v>
      </c>
      <c r="AC365" s="122">
        <f>IF(C365="DENALI", AB365*0.495, IF(C365="SCHNEIDER ELECTRIC", AB365*1.136, IF(C365="WWT", AB365*1.2, AC365)))+AB365</f>
        <v>3656.4560499999998</v>
      </c>
      <c r="AD365" s="129">
        <f>AC365-AB365</f>
        <v>1210.6660499999998</v>
      </c>
      <c r="AE365" s="122">
        <v>74881.23</v>
      </c>
      <c r="AF365" s="130">
        <f>AB365/U365</f>
        <v>163.05266666666665</v>
      </c>
      <c r="AG365" s="130">
        <f>AB365/V365</f>
        <v>163.05266666666665</v>
      </c>
      <c r="AH365" s="123">
        <f>AB365/S365</f>
        <v>5.520970654627539</v>
      </c>
      <c r="AI365" s="124" t="s">
        <v>155</v>
      </c>
      <c r="AJ365" s="125" t="s">
        <v>89</v>
      </c>
      <c r="AK365"/>
      <c r="AM365" s="80"/>
    </row>
    <row r="366" spans="1:39" ht="28.5" customHeight="1">
      <c r="A366" s="113" t="s">
        <v>73</v>
      </c>
      <c r="B366" s="114" t="s">
        <v>74</v>
      </c>
      <c r="C366" s="113" t="s">
        <v>35</v>
      </c>
      <c r="D366" s="113" t="s">
        <v>99</v>
      </c>
      <c r="E366" s="115" t="s">
        <v>1190</v>
      </c>
      <c r="F366" s="113" t="s">
        <v>90</v>
      </c>
      <c r="G366" s="116" t="s">
        <v>1478</v>
      </c>
      <c r="H366" s="79">
        <v>46169</v>
      </c>
      <c r="I366" s="114" t="s">
        <v>79</v>
      </c>
      <c r="J366" s="117" t="s">
        <v>1479</v>
      </c>
      <c r="K366" s="118">
        <v>46161</v>
      </c>
      <c r="L366" s="114" t="s">
        <v>81</v>
      </c>
      <c r="M366" s="119">
        <v>46163</v>
      </c>
      <c r="N366" s="128">
        <v>46163</v>
      </c>
      <c r="O366" s="120">
        <f>NETWORKDAYS.INTL(K366,N366,1,$AM$2:$AM$10)-1</f>
        <v>2</v>
      </c>
      <c r="P366" s="114" t="s">
        <v>81</v>
      </c>
      <c r="Q366" s="114" t="s">
        <v>79</v>
      </c>
      <c r="R366" s="115" t="s">
        <v>1480</v>
      </c>
      <c r="S366" s="145">
        <v>977</v>
      </c>
      <c r="T366" s="148" t="s">
        <v>1356</v>
      </c>
      <c r="U366" s="147">
        <v>1</v>
      </c>
      <c r="V366" s="121">
        <v>7</v>
      </c>
      <c r="W366" s="121">
        <v>535</v>
      </c>
      <c r="X366" s="114" t="s">
        <v>84</v>
      </c>
      <c r="Y366" s="115" t="s">
        <v>85</v>
      </c>
      <c r="Z366" s="115" t="s">
        <v>1357</v>
      </c>
      <c r="AA366" s="113" t="s">
        <v>87</v>
      </c>
      <c r="AB366" s="122">
        <v>279.82</v>
      </c>
      <c r="AC366" s="122">
        <f>IF(C366="DENALI", AB366*0.495, IF(C366="SCHNEIDER ELECTRIC", AB366*1.136, IF(C366="WWT", AB366*1.2, AC366)))+AB366</f>
        <v>418.33089999999999</v>
      </c>
      <c r="AD366" s="129">
        <f>AC366-AB366</f>
        <v>138.51089999999999</v>
      </c>
      <c r="AE366" s="122">
        <v>2369.6999999999998</v>
      </c>
      <c r="AF366" s="130">
        <f>AB366/U366</f>
        <v>279.82</v>
      </c>
      <c r="AG366" s="130">
        <f>AB366/V366</f>
        <v>39.974285714285713</v>
      </c>
      <c r="AH366" s="123">
        <f>AB366/S366</f>
        <v>0.28640736949846468</v>
      </c>
      <c r="AI366" s="124" t="s">
        <v>97</v>
      </c>
      <c r="AJ366" s="125" t="s">
        <v>349</v>
      </c>
      <c r="AK366"/>
      <c r="AM366" s="80"/>
    </row>
    <row r="367" spans="1:39" ht="28.5" customHeight="1">
      <c r="A367" s="113" t="s">
        <v>73</v>
      </c>
      <c r="B367" s="114" t="s">
        <v>74</v>
      </c>
      <c r="C367" s="113" t="s">
        <v>35</v>
      </c>
      <c r="D367" s="113" t="s">
        <v>218</v>
      </c>
      <c r="E367" s="115" t="s">
        <v>1453</v>
      </c>
      <c r="F367" s="113" t="s">
        <v>142</v>
      </c>
      <c r="G367" s="116" t="s">
        <v>1481</v>
      </c>
      <c r="H367" s="79">
        <v>46169</v>
      </c>
      <c r="I367" s="114" t="s">
        <v>79</v>
      </c>
      <c r="J367" s="117" t="s">
        <v>1482</v>
      </c>
      <c r="K367" s="118">
        <v>46162</v>
      </c>
      <c r="L367" s="114" t="s">
        <v>81</v>
      </c>
      <c r="M367" s="119">
        <v>46163</v>
      </c>
      <c r="N367" s="128">
        <v>46168</v>
      </c>
      <c r="O367" s="120">
        <f>NETWORKDAYS.INTL(K367,N367,1,$AM$2:$AM$10)-1</f>
        <v>3</v>
      </c>
      <c r="P367" s="114" t="s">
        <v>81</v>
      </c>
      <c r="Q367" s="114" t="s">
        <v>79</v>
      </c>
      <c r="R367" s="115"/>
      <c r="S367" s="145">
        <v>441</v>
      </c>
      <c r="T367" s="148" t="s">
        <v>1483</v>
      </c>
      <c r="U367" s="147">
        <v>2</v>
      </c>
      <c r="V367" s="121">
        <v>250</v>
      </c>
      <c r="W367" s="121">
        <v>1740</v>
      </c>
      <c r="X367" s="114" t="s">
        <v>84</v>
      </c>
      <c r="Y367" s="115" t="s">
        <v>85</v>
      </c>
      <c r="Z367" s="115" t="s">
        <v>160</v>
      </c>
      <c r="AA367" s="113" t="s">
        <v>87</v>
      </c>
      <c r="AB367" s="122">
        <v>459.22</v>
      </c>
      <c r="AC367" s="122">
        <f>IF(C367="DENALI", AB367*0.495, IF(C367="SCHNEIDER ELECTRIC", AB367*1.136, IF(C367="WWT", AB367*1.2, AC367)))+AB367</f>
        <v>686.53390000000002</v>
      </c>
      <c r="AD367" s="129">
        <f>AC367-AB367</f>
        <v>227.31389999999999</v>
      </c>
      <c r="AE367" s="122">
        <v>221204.17</v>
      </c>
      <c r="AF367" s="130">
        <f>AB367/U367</f>
        <v>229.61</v>
      </c>
      <c r="AG367" s="130">
        <f>AB367/V367</f>
        <v>1.8368800000000001</v>
      </c>
      <c r="AH367" s="123">
        <f>AB367/S367</f>
        <v>1.0413151927437643</v>
      </c>
      <c r="AI367" s="124" t="s">
        <v>97</v>
      </c>
      <c r="AJ367" s="125" t="s">
        <v>349</v>
      </c>
      <c r="AK367"/>
      <c r="AM367" s="80"/>
    </row>
    <row r="368" spans="1:39" ht="28.5" customHeight="1">
      <c r="A368" s="113" t="s">
        <v>73</v>
      </c>
      <c r="B368" s="114" t="s">
        <v>140</v>
      </c>
      <c r="C368" s="113" t="s">
        <v>35</v>
      </c>
      <c r="D368" s="113" t="s">
        <v>99</v>
      </c>
      <c r="E368" s="115" t="s">
        <v>141</v>
      </c>
      <c r="F368" s="113" t="s">
        <v>142</v>
      </c>
      <c r="G368" s="116" t="s">
        <v>1484</v>
      </c>
      <c r="H368" s="79">
        <v>46169</v>
      </c>
      <c r="I368" s="114" t="s">
        <v>79</v>
      </c>
      <c r="J368" s="117" t="s">
        <v>1485</v>
      </c>
      <c r="K368" s="118">
        <v>46162</v>
      </c>
      <c r="L368" s="114" t="s">
        <v>81</v>
      </c>
      <c r="M368" s="119">
        <v>46163</v>
      </c>
      <c r="N368" s="128">
        <v>46175</v>
      </c>
      <c r="O368" s="120">
        <f>NETWORKDAYS.INTL(K368,N368,1,$AM$2:$AM$10)-1</f>
        <v>8</v>
      </c>
      <c r="P368" s="114" t="s">
        <v>81</v>
      </c>
      <c r="Q368" s="114" t="s">
        <v>79</v>
      </c>
      <c r="R368" s="115" t="s">
        <v>1486</v>
      </c>
      <c r="S368" s="145">
        <v>2435</v>
      </c>
      <c r="T368" s="148" t="s">
        <v>1487</v>
      </c>
      <c r="U368" s="147">
        <v>2</v>
      </c>
      <c r="V368" s="121">
        <v>2</v>
      </c>
      <c r="W368" s="121">
        <v>629</v>
      </c>
      <c r="X368" s="114" t="s">
        <v>84</v>
      </c>
      <c r="Y368" s="115" t="s">
        <v>85</v>
      </c>
      <c r="Z368" s="115" t="s">
        <v>86</v>
      </c>
      <c r="AA368" s="113" t="s">
        <v>87</v>
      </c>
      <c r="AB368" s="122">
        <v>589.09</v>
      </c>
      <c r="AC368" s="122">
        <f>IF(C368="DENALI", AB368*0.495, IF(C368="SCHNEIDER ELECTRIC", AB368*1.136, IF(C368="WWT", AB368*1.2, AC368)))+AB368</f>
        <v>880.68955000000005</v>
      </c>
      <c r="AD368" s="129">
        <f>AC368-AB368</f>
        <v>291.59955000000002</v>
      </c>
      <c r="AE368" s="122">
        <v>13413.73</v>
      </c>
      <c r="AF368" s="130">
        <f>AB368/U368</f>
        <v>294.54500000000002</v>
      </c>
      <c r="AG368" s="130">
        <f>AB368/V368</f>
        <v>294.54500000000002</v>
      </c>
      <c r="AH368" s="123">
        <f>AB368/S368</f>
        <v>0.24192607802874744</v>
      </c>
      <c r="AI368" s="124" t="s">
        <v>147</v>
      </c>
      <c r="AJ368" s="125" t="s">
        <v>343</v>
      </c>
      <c r="AK368"/>
      <c r="AM368" s="80"/>
    </row>
    <row r="369" spans="1:39" ht="28.5" customHeight="1">
      <c r="A369" s="113" t="s">
        <v>73</v>
      </c>
      <c r="B369" s="114" t="s">
        <v>140</v>
      </c>
      <c r="C369" s="113" t="s">
        <v>35</v>
      </c>
      <c r="D369" s="113" t="s">
        <v>99</v>
      </c>
      <c r="E369" s="115" t="s">
        <v>141</v>
      </c>
      <c r="F369" s="113" t="s">
        <v>142</v>
      </c>
      <c r="G369" s="116" t="s">
        <v>1488</v>
      </c>
      <c r="H369" s="79" t="s">
        <v>1489</v>
      </c>
      <c r="I369" s="114" t="s">
        <v>79</v>
      </c>
      <c r="J369" s="117" t="s">
        <v>1490</v>
      </c>
      <c r="K369" s="118">
        <v>46163</v>
      </c>
      <c r="L369" s="114" t="s">
        <v>81</v>
      </c>
      <c r="M369" s="119">
        <v>46168</v>
      </c>
      <c r="N369" s="128">
        <v>46175</v>
      </c>
      <c r="O369" s="120">
        <f>NETWORKDAYS.INTL(K369,N369,1,$AM$2:$AM$10)-1</f>
        <v>7</v>
      </c>
      <c r="P369" s="114" t="s">
        <v>81</v>
      </c>
      <c r="Q369" s="114" t="s">
        <v>79</v>
      </c>
      <c r="R369" s="115" t="s">
        <v>1486</v>
      </c>
      <c r="S369" s="145">
        <v>2435</v>
      </c>
      <c r="T369" s="148" t="s">
        <v>1491</v>
      </c>
      <c r="U369" s="147">
        <v>1</v>
      </c>
      <c r="V369" s="121">
        <v>24</v>
      </c>
      <c r="W369" s="121">
        <v>415</v>
      </c>
      <c r="X369" s="114" t="s">
        <v>84</v>
      </c>
      <c r="Y369" s="115" t="s">
        <v>85</v>
      </c>
      <c r="Z369" s="115" t="s">
        <v>86</v>
      </c>
      <c r="AA369" s="113" t="s">
        <v>87</v>
      </c>
      <c r="AB369" s="122">
        <v>376.53</v>
      </c>
      <c r="AC369" s="122">
        <f>IF(C369="DENALI", AB369*0.495, IF(C369="SCHNEIDER ELECTRIC", AB369*1.136, IF(C369="WWT", AB369*1.2, AC369)))+AB369</f>
        <v>562.91234999999995</v>
      </c>
      <c r="AD369" s="129">
        <f>AC369-AB369</f>
        <v>186.38234999999997</v>
      </c>
      <c r="AE369" s="122">
        <v>20480.849999999999</v>
      </c>
      <c r="AF369" s="130">
        <f>AB369/U369</f>
        <v>376.53</v>
      </c>
      <c r="AG369" s="130">
        <f>AB369/V369</f>
        <v>15.688749999999999</v>
      </c>
      <c r="AH369" s="123">
        <f>AB369/S369</f>
        <v>0.15463244353182751</v>
      </c>
      <c r="AI369" s="124" t="s">
        <v>147</v>
      </c>
      <c r="AJ369" s="125" t="s">
        <v>343</v>
      </c>
      <c r="AK369"/>
      <c r="AM369" s="80"/>
    </row>
    <row r="370" spans="1:39" ht="28.5" customHeight="1">
      <c r="A370" s="113" t="s">
        <v>73</v>
      </c>
      <c r="B370" s="114" t="s">
        <v>74</v>
      </c>
      <c r="C370" s="113" t="s">
        <v>35</v>
      </c>
      <c r="D370" s="113" t="s">
        <v>218</v>
      </c>
      <c r="E370" s="115" t="s">
        <v>1492</v>
      </c>
      <c r="F370" s="113" t="s">
        <v>99</v>
      </c>
      <c r="G370" s="116" t="s">
        <v>1493</v>
      </c>
      <c r="H370" s="79">
        <v>46171</v>
      </c>
      <c r="I370" s="114" t="s">
        <v>79</v>
      </c>
      <c r="J370" s="117" t="s">
        <v>1494</v>
      </c>
      <c r="K370" s="118">
        <v>46163</v>
      </c>
      <c r="L370" s="114" t="s">
        <v>81</v>
      </c>
      <c r="M370" s="119">
        <v>46168</v>
      </c>
      <c r="N370" s="128">
        <v>46174</v>
      </c>
      <c r="O370" s="120">
        <f>NETWORKDAYS.INTL(K370,N370,1,$AM$2:$AM$10)-1</f>
        <v>6</v>
      </c>
      <c r="P370" s="114" t="s">
        <v>81</v>
      </c>
      <c r="Q370" s="114" t="s">
        <v>79</v>
      </c>
      <c r="R370" s="115"/>
      <c r="S370" s="145">
        <v>2229</v>
      </c>
      <c r="T370" s="148" t="s">
        <v>1495</v>
      </c>
      <c r="U370" s="147">
        <v>1</v>
      </c>
      <c r="V370" s="121">
        <v>23100</v>
      </c>
      <c r="W370" s="121">
        <v>605</v>
      </c>
      <c r="X370" s="114" t="s">
        <v>84</v>
      </c>
      <c r="Y370" s="115" t="s">
        <v>85</v>
      </c>
      <c r="Z370" s="115" t="s">
        <v>86</v>
      </c>
      <c r="AA370" s="113" t="s">
        <v>87</v>
      </c>
      <c r="AB370" s="122">
        <v>583.30999999999995</v>
      </c>
      <c r="AC370" s="122">
        <f>IF(C370="DENALI", AB370*0.495, IF(C370="SCHNEIDER ELECTRIC", AB370*1.136, IF(C370="WWT", AB370*1.2, AC370)))+AB370</f>
        <v>872.04844999999989</v>
      </c>
      <c r="AD370" s="129">
        <f>AC370-AB370</f>
        <v>288.73844999999994</v>
      </c>
      <c r="AE370" s="122">
        <v>14216.151</v>
      </c>
      <c r="AF370" s="130">
        <f>AB370/U370</f>
        <v>583.30999999999995</v>
      </c>
      <c r="AG370" s="130">
        <f>AB370/V370</f>
        <v>2.525151515151515E-2</v>
      </c>
      <c r="AH370" s="123">
        <f>AB370/S370</f>
        <v>0.26169134140870343</v>
      </c>
      <c r="AI370" s="124" t="s">
        <v>1496</v>
      </c>
      <c r="AJ370" s="125" t="s">
        <v>349</v>
      </c>
      <c r="AK370"/>
      <c r="AM370" s="80"/>
    </row>
    <row r="371" spans="1:39" ht="28.5" customHeight="1">
      <c r="A371" s="113" t="s">
        <v>73</v>
      </c>
      <c r="B371" s="114" t="s">
        <v>74</v>
      </c>
      <c r="C371" s="113" t="s">
        <v>35</v>
      </c>
      <c r="D371" s="113" t="s">
        <v>218</v>
      </c>
      <c r="E371" s="115" t="s">
        <v>1320</v>
      </c>
      <c r="F371" s="113" t="s">
        <v>1321</v>
      </c>
      <c r="G371" s="116" t="s">
        <v>1497</v>
      </c>
      <c r="H371" s="79">
        <v>46176</v>
      </c>
      <c r="I371" s="114" t="s">
        <v>79</v>
      </c>
      <c r="J371" s="117" t="s">
        <v>1498</v>
      </c>
      <c r="K371" s="118">
        <v>46163</v>
      </c>
      <c r="L371" s="114" t="s">
        <v>81</v>
      </c>
      <c r="M371" s="119">
        <v>46174</v>
      </c>
      <c r="N371" s="128">
        <v>46181</v>
      </c>
      <c r="O371" s="120">
        <f>NETWORKDAYS.INTL(K371,N371,1,$AM$2:$AM$10)-1</f>
        <v>11</v>
      </c>
      <c r="P371" s="114" t="s">
        <v>81</v>
      </c>
      <c r="Q371" s="114" t="s">
        <v>79</v>
      </c>
      <c r="R371" s="115"/>
      <c r="S371" s="145">
        <v>1763.2</v>
      </c>
      <c r="T371" s="148" t="s">
        <v>1324</v>
      </c>
      <c r="U371" s="147">
        <v>3</v>
      </c>
      <c r="V371" s="121">
        <v>1287</v>
      </c>
      <c r="W371" s="121">
        <v>1300</v>
      </c>
      <c r="X371" s="114" t="s">
        <v>84</v>
      </c>
      <c r="Y371" s="115" t="s">
        <v>85</v>
      </c>
      <c r="Z371" s="115" t="s">
        <v>770</v>
      </c>
      <c r="AA371" s="113" t="s">
        <v>87</v>
      </c>
      <c r="AB371" s="122">
        <v>1183.71</v>
      </c>
      <c r="AC371" s="122">
        <f>IF(C371="DENALI", AB371*0.495, IF(C371="SCHNEIDER ELECTRIC", AB371*1.136, IF(C371="WWT", AB371*1.2, AC371)))+AB371</f>
        <v>1769.6464500000002</v>
      </c>
      <c r="AD371" s="129">
        <f>AC371-AB371</f>
        <v>585.93645000000015</v>
      </c>
      <c r="AE371" s="122">
        <v>108927.76</v>
      </c>
      <c r="AF371" s="130">
        <f>AB371/U371</f>
        <v>394.57</v>
      </c>
      <c r="AG371" s="130">
        <f>AB371/V371</f>
        <v>0.91974358974358972</v>
      </c>
      <c r="AH371" s="123">
        <f>AB371/S371</f>
        <v>0.67134187840290382</v>
      </c>
      <c r="AI371" s="124" t="s">
        <v>97</v>
      </c>
      <c r="AJ371" s="125" t="s">
        <v>349</v>
      </c>
      <c r="AK371"/>
      <c r="AM371" s="80"/>
    </row>
    <row r="372" spans="1:39" ht="28.5" customHeight="1">
      <c r="A372" s="113" t="s">
        <v>73</v>
      </c>
      <c r="B372" s="114" t="s">
        <v>74</v>
      </c>
      <c r="C372" s="113" t="s">
        <v>35</v>
      </c>
      <c r="D372" s="113" t="s">
        <v>218</v>
      </c>
      <c r="E372" s="115" t="s">
        <v>242</v>
      </c>
      <c r="F372" s="113" t="s">
        <v>243</v>
      </c>
      <c r="G372" s="116" t="s">
        <v>1499</v>
      </c>
      <c r="H372" s="79">
        <v>46171</v>
      </c>
      <c r="I372" s="114" t="s">
        <v>79</v>
      </c>
      <c r="J372" s="117" t="s">
        <v>1500</v>
      </c>
      <c r="K372" s="118">
        <v>46163</v>
      </c>
      <c r="L372" s="114" t="s">
        <v>81</v>
      </c>
      <c r="M372" s="119">
        <v>46168</v>
      </c>
      <c r="N372" s="128">
        <v>46168</v>
      </c>
      <c r="O372" s="120">
        <f>NETWORKDAYS.INTL(K372,N372,1,$AM$2:$AM$10)-1</f>
        <v>2</v>
      </c>
      <c r="P372" s="114" t="s">
        <v>81</v>
      </c>
      <c r="Q372" s="114" t="s">
        <v>79</v>
      </c>
      <c r="R372" s="115"/>
      <c r="S372" s="145">
        <v>575</v>
      </c>
      <c r="T372" s="148" t="s">
        <v>1501</v>
      </c>
      <c r="U372" s="147">
        <v>6</v>
      </c>
      <c r="V372" s="121">
        <v>2370</v>
      </c>
      <c r="W372" s="121">
        <v>4065</v>
      </c>
      <c r="X372" s="114" t="s">
        <v>84</v>
      </c>
      <c r="Y372" s="115" t="s">
        <v>85</v>
      </c>
      <c r="Z372" s="115" t="s">
        <v>160</v>
      </c>
      <c r="AA372" s="113" t="s">
        <v>87</v>
      </c>
      <c r="AB372" s="122">
        <v>500.37</v>
      </c>
      <c r="AC372" s="122">
        <f>IF(C372="DENALI", AB372*0.495, IF(C372="SCHNEIDER ELECTRIC", AB372*1.136, IF(C372="WWT", AB372*1.2, AC372)))+AB372</f>
        <v>748.05314999999996</v>
      </c>
      <c r="AD372" s="129">
        <f>AC372-AB372</f>
        <v>247.68314999999996</v>
      </c>
      <c r="AE372" s="122">
        <v>65796.86</v>
      </c>
      <c r="AF372" s="130">
        <f>AB372/U372</f>
        <v>83.394999999999996</v>
      </c>
      <c r="AG372" s="130">
        <f>AB372/V372</f>
        <v>0.21112658227848102</v>
      </c>
      <c r="AH372" s="123">
        <f>AB372/S372</f>
        <v>0.87020869565217396</v>
      </c>
      <c r="AI372" s="124" t="s">
        <v>97</v>
      </c>
      <c r="AJ372" s="125" t="s">
        <v>349</v>
      </c>
      <c r="AK372"/>
      <c r="AM372" s="80"/>
    </row>
    <row r="373" spans="1:39" ht="28.5" customHeight="1">
      <c r="A373" s="113" t="s">
        <v>73</v>
      </c>
      <c r="B373" s="114" t="s">
        <v>74</v>
      </c>
      <c r="C373" s="113" t="s">
        <v>35</v>
      </c>
      <c r="D373" s="113" t="s">
        <v>218</v>
      </c>
      <c r="E373" s="115" t="s">
        <v>212</v>
      </c>
      <c r="F373" s="113" t="s">
        <v>243</v>
      </c>
      <c r="G373" s="116" t="s">
        <v>1502</v>
      </c>
      <c r="H373" s="79">
        <v>46171</v>
      </c>
      <c r="I373" s="114" t="s">
        <v>79</v>
      </c>
      <c r="J373" s="117" t="s">
        <v>1503</v>
      </c>
      <c r="K373" s="118">
        <v>46163</v>
      </c>
      <c r="L373" s="114" t="s">
        <v>81</v>
      </c>
      <c r="M373" s="119">
        <v>46168</v>
      </c>
      <c r="N373" s="128">
        <v>46169</v>
      </c>
      <c r="O373" s="120">
        <f>NETWORKDAYS.INTL(K373,N373,1,$AM$2:$AM$10)-1</f>
        <v>3</v>
      </c>
      <c r="P373" s="114" t="s">
        <v>81</v>
      </c>
      <c r="Q373" s="114" t="s">
        <v>79</v>
      </c>
      <c r="R373" s="115"/>
      <c r="S373" s="145">
        <v>667</v>
      </c>
      <c r="T373" s="148" t="s">
        <v>1504</v>
      </c>
      <c r="U373" s="147">
        <v>1</v>
      </c>
      <c r="V373" s="121">
        <v>1</v>
      </c>
      <c r="W373" s="121">
        <v>125</v>
      </c>
      <c r="X373" s="114" t="s">
        <v>84</v>
      </c>
      <c r="Y373" s="115" t="s">
        <v>85</v>
      </c>
      <c r="Z373" s="115" t="s">
        <v>770</v>
      </c>
      <c r="AA373" s="113" t="s">
        <v>87</v>
      </c>
      <c r="AB373" s="122">
        <v>195.56</v>
      </c>
      <c r="AC373" s="122">
        <f>IF(C373="DENALI", AB373*0.495, IF(C373="SCHNEIDER ELECTRIC", AB373*1.136, IF(C373="WWT", AB373*1.2, AC373)))+AB373</f>
        <v>292.36220000000003</v>
      </c>
      <c r="AD373" s="129">
        <f>AC373-AB373</f>
        <v>96.802200000000028</v>
      </c>
      <c r="AE373" s="122">
        <v>7514.5</v>
      </c>
      <c r="AF373" s="130">
        <f>AB373/U373</f>
        <v>195.56</v>
      </c>
      <c r="AG373" s="130">
        <f>AB373/V373</f>
        <v>195.56</v>
      </c>
      <c r="AH373" s="123">
        <f>AB373/S373</f>
        <v>0.29319340329835081</v>
      </c>
      <c r="AI373" s="124" t="s">
        <v>97</v>
      </c>
      <c r="AJ373" s="125" t="s">
        <v>349</v>
      </c>
      <c r="AK373"/>
      <c r="AM373" s="80"/>
    </row>
    <row r="374" spans="1:39" ht="28.5" customHeight="1">
      <c r="A374" s="113" t="s">
        <v>73</v>
      </c>
      <c r="B374" s="114" t="s">
        <v>74</v>
      </c>
      <c r="C374" s="113" t="s">
        <v>35</v>
      </c>
      <c r="D374" s="113" t="s">
        <v>218</v>
      </c>
      <c r="E374" s="115" t="s">
        <v>416</v>
      </c>
      <c r="F374" s="113" t="s">
        <v>90</v>
      </c>
      <c r="G374" s="116" t="s">
        <v>1505</v>
      </c>
      <c r="H374" s="79">
        <v>46170</v>
      </c>
      <c r="I374" s="114" t="s">
        <v>79</v>
      </c>
      <c r="J374" s="117" t="s">
        <v>1506</v>
      </c>
      <c r="K374" s="118">
        <v>46163</v>
      </c>
      <c r="L374" s="114" t="s">
        <v>81</v>
      </c>
      <c r="M374" s="119">
        <v>46170</v>
      </c>
      <c r="N374" s="128">
        <v>46170</v>
      </c>
      <c r="O374" s="120">
        <f>NETWORKDAYS.INTL(K374,N374,1,$AM$2:$AM$10)-1</f>
        <v>4</v>
      </c>
      <c r="P374" s="114" t="s">
        <v>81</v>
      </c>
      <c r="Q374" s="114" t="s">
        <v>79</v>
      </c>
      <c r="R374" s="115"/>
      <c r="S374" s="145">
        <v>2255</v>
      </c>
      <c r="T374" s="148" t="s">
        <v>1507</v>
      </c>
      <c r="U374" s="147">
        <v>1</v>
      </c>
      <c r="V374" s="121">
        <v>120</v>
      </c>
      <c r="W374" s="121">
        <v>375</v>
      </c>
      <c r="X374" s="114" t="s">
        <v>84</v>
      </c>
      <c r="Y374" s="115" t="s">
        <v>85</v>
      </c>
      <c r="Z374" s="115" t="s">
        <v>86</v>
      </c>
      <c r="AA374" s="113" t="s">
        <v>87</v>
      </c>
      <c r="AB374" s="122">
        <v>608.66999999999996</v>
      </c>
      <c r="AC374" s="122">
        <f>IF(C374="DENALI", AB374*0.495, IF(C374="SCHNEIDER ELECTRIC", AB374*1.136, IF(C374="WWT", AB374*1.2, AC374)))+AB374</f>
        <v>909.96164999999996</v>
      </c>
      <c r="AD374" s="129">
        <f>AC374-AB374</f>
        <v>301.29165</v>
      </c>
      <c r="AE374" s="122">
        <v>13413.73</v>
      </c>
      <c r="AF374" s="130">
        <f>AB374/U374</f>
        <v>608.66999999999996</v>
      </c>
      <c r="AG374" s="130">
        <f>AB374/V374</f>
        <v>5.0722499999999995</v>
      </c>
      <c r="AH374" s="123">
        <f>AB374/S374</f>
        <v>0.26992017738359197</v>
      </c>
      <c r="AI374" s="124" t="s">
        <v>1508</v>
      </c>
      <c r="AJ374" s="125" t="s">
        <v>343</v>
      </c>
      <c r="AK374"/>
      <c r="AM374" s="80"/>
    </row>
    <row r="375" spans="1:39" ht="28.5" customHeight="1">
      <c r="A375" s="113" t="s">
        <v>73</v>
      </c>
      <c r="B375" s="114" t="s">
        <v>74</v>
      </c>
      <c r="C375" s="113" t="s">
        <v>35</v>
      </c>
      <c r="D375" s="113" t="s">
        <v>218</v>
      </c>
      <c r="E375" s="115" t="s">
        <v>992</v>
      </c>
      <c r="F375" s="113" t="s">
        <v>75</v>
      </c>
      <c r="G375" s="116" t="s">
        <v>1509</v>
      </c>
      <c r="H375" s="79">
        <v>46170</v>
      </c>
      <c r="I375" s="114" t="s">
        <v>79</v>
      </c>
      <c r="J375" s="117" t="s">
        <v>1510</v>
      </c>
      <c r="K375" s="118">
        <v>46163</v>
      </c>
      <c r="L375" s="114" t="s">
        <v>81</v>
      </c>
      <c r="M375" s="119">
        <v>46170</v>
      </c>
      <c r="N375" s="128">
        <v>46169</v>
      </c>
      <c r="O375" s="120">
        <f>NETWORKDAYS.INTL(K375,N375,1,$AM$2:$AM$10)-1</f>
        <v>3</v>
      </c>
      <c r="P375" s="114" t="s">
        <v>81</v>
      </c>
      <c r="Q375" s="114" t="s">
        <v>79</v>
      </c>
      <c r="R375" s="115"/>
      <c r="S375" s="145">
        <v>536</v>
      </c>
      <c r="T375" s="148" t="s">
        <v>1511</v>
      </c>
      <c r="U375" s="147">
        <v>1</v>
      </c>
      <c r="V375" s="121">
        <v>120</v>
      </c>
      <c r="W375" s="121">
        <v>375</v>
      </c>
      <c r="X375" s="114" t="s">
        <v>84</v>
      </c>
      <c r="Y375" s="115" t="s">
        <v>85</v>
      </c>
      <c r="Z375" s="115" t="s">
        <v>770</v>
      </c>
      <c r="AA375" s="113" t="s">
        <v>87</v>
      </c>
      <c r="AB375" s="122">
        <v>275.42</v>
      </c>
      <c r="AC375" s="122">
        <f>IF(C375="DENALI", AB375*0.495, IF(C375="SCHNEIDER ELECTRIC", AB375*1.136, IF(C375="WWT", AB375*1.2, AC375)))+AB375</f>
        <v>411.75290000000001</v>
      </c>
      <c r="AD375" s="129">
        <f>AC375-AB375</f>
        <v>136.3329</v>
      </c>
      <c r="AE375" s="122">
        <v>13640.04</v>
      </c>
      <c r="AF375" s="130">
        <f>AB375/U375</f>
        <v>275.42</v>
      </c>
      <c r="AG375" s="130">
        <f>AB375/V375</f>
        <v>2.2951666666666668</v>
      </c>
      <c r="AH375" s="123">
        <f>AB375/S375</f>
        <v>0.51384328358208953</v>
      </c>
      <c r="AI375" s="124" t="s">
        <v>147</v>
      </c>
      <c r="AJ375" s="125" t="s">
        <v>343</v>
      </c>
      <c r="AK375"/>
      <c r="AM375" s="80"/>
    </row>
    <row r="376" spans="1:39" ht="28.5" customHeight="1">
      <c r="A376" s="113" t="s">
        <v>73</v>
      </c>
      <c r="B376" s="114" t="s">
        <v>74</v>
      </c>
      <c r="C376" s="113" t="s">
        <v>35</v>
      </c>
      <c r="D376" s="113" t="s">
        <v>99</v>
      </c>
      <c r="E376" s="115" t="s">
        <v>736</v>
      </c>
      <c r="F376" s="113" t="s">
        <v>109</v>
      </c>
      <c r="G376" s="116">
        <v>23105725</v>
      </c>
      <c r="H376" s="79">
        <v>46171</v>
      </c>
      <c r="I376" s="114" t="s">
        <v>79</v>
      </c>
      <c r="J376" s="117" t="s">
        <v>1512</v>
      </c>
      <c r="K376" s="118">
        <v>46164</v>
      </c>
      <c r="L376" s="114" t="s">
        <v>81</v>
      </c>
      <c r="M376" s="119">
        <v>46167</v>
      </c>
      <c r="N376" s="128">
        <v>46168</v>
      </c>
      <c r="O376" s="120">
        <f>NETWORKDAYS.INTL(K376,N376,1,$AM$2:$AM$10)-1</f>
        <v>1</v>
      </c>
      <c r="P376" s="114" t="s">
        <v>81</v>
      </c>
      <c r="Q376" s="114" t="s">
        <v>79</v>
      </c>
      <c r="R376" s="115"/>
      <c r="S376" s="145">
        <v>3251</v>
      </c>
      <c r="T376" s="148" t="s">
        <v>1513</v>
      </c>
      <c r="U376" s="147">
        <v>21</v>
      </c>
      <c r="V376" s="121">
        <v>21</v>
      </c>
      <c r="W376" s="121">
        <v>16910</v>
      </c>
      <c r="X376" s="114" t="s">
        <v>113</v>
      </c>
      <c r="Y376" s="115" t="s">
        <v>85</v>
      </c>
      <c r="Z376" s="115" t="s">
        <v>1514</v>
      </c>
      <c r="AA376" s="113" t="s">
        <v>87</v>
      </c>
      <c r="AB376" s="122">
        <v>8746.11</v>
      </c>
      <c r="AC376" s="122">
        <f>IF(C376="DENALI", AB376*0.495, IF(C376="SCHNEIDER ELECTRIC", AB376*1.136, IF(C376="WWT", AB376*1.2, AC376)))+AB376</f>
        <v>13075.434450000001</v>
      </c>
      <c r="AD376" s="129">
        <f>AC376-AB376</f>
        <v>4329.3244500000001</v>
      </c>
      <c r="AE376" s="122">
        <v>261061.07</v>
      </c>
      <c r="AF376" s="130">
        <f>AB376/U376</f>
        <v>416.48142857142858</v>
      </c>
      <c r="AG376" s="130">
        <f>AB376/V376</f>
        <v>416.48142857142858</v>
      </c>
      <c r="AH376" s="123">
        <f>AB376/S376</f>
        <v>2.6902829898492775</v>
      </c>
      <c r="AI376" s="124" t="s">
        <v>97</v>
      </c>
      <c r="AJ376" s="125" t="s">
        <v>349</v>
      </c>
      <c r="AK376"/>
      <c r="AM376" s="80"/>
    </row>
    <row r="377" spans="1:39" ht="28.5" customHeight="1">
      <c r="A377" s="113" t="s">
        <v>73</v>
      </c>
      <c r="B377" s="114" t="s">
        <v>74</v>
      </c>
      <c r="C377" s="113" t="s">
        <v>35</v>
      </c>
      <c r="D377" s="113" t="s">
        <v>99</v>
      </c>
      <c r="E377" s="115" t="s">
        <v>736</v>
      </c>
      <c r="F377" s="113" t="s">
        <v>109</v>
      </c>
      <c r="G377" s="116">
        <v>23105762</v>
      </c>
      <c r="H377" s="79">
        <v>46171</v>
      </c>
      <c r="I377" s="114" t="s">
        <v>79</v>
      </c>
      <c r="J377" s="117" t="s">
        <v>1515</v>
      </c>
      <c r="K377" s="118">
        <v>46164</v>
      </c>
      <c r="L377" s="114" t="s">
        <v>81</v>
      </c>
      <c r="M377" s="119">
        <v>46167</v>
      </c>
      <c r="N377" s="128">
        <v>46167</v>
      </c>
      <c r="O377" s="120">
        <f>NETWORKDAYS.INTL(K377,N377,1,$AM$2:$AM$10)-1</f>
        <v>0</v>
      </c>
      <c r="P377" s="114" t="s">
        <v>81</v>
      </c>
      <c r="Q377" s="114" t="s">
        <v>79</v>
      </c>
      <c r="R377" s="115"/>
      <c r="S377" s="145">
        <v>3251</v>
      </c>
      <c r="T377" s="148" t="s">
        <v>1513</v>
      </c>
      <c r="U377" s="147">
        <v>20</v>
      </c>
      <c r="V377" s="121">
        <v>20</v>
      </c>
      <c r="W377" s="121">
        <v>16875</v>
      </c>
      <c r="X377" s="114" t="s">
        <v>113</v>
      </c>
      <c r="Y377" s="115" t="s">
        <v>85</v>
      </c>
      <c r="Z377" s="115" t="s">
        <v>298</v>
      </c>
      <c r="AA377" s="113" t="s">
        <v>87</v>
      </c>
      <c r="AB377" s="122">
        <v>8744.0300000000007</v>
      </c>
      <c r="AC377" s="122">
        <f>IF(C377="DENALI", AB377*0.495, IF(C377="SCHNEIDER ELECTRIC", AB377*1.136, IF(C377="WWT", AB377*1.2, AC377)))+AB377</f>
        <v>13072.324850000001</v>
      </c>
      <c r="AD377" s="129">
        <f>AC377-AB377</f>
        <v>4328.2948500000002</v>
      </c>
      <c r="AE377" s="122">
        <v>261101.07</v>
      </c>
      <c r="AF377" s="130">
        <f>AB377/U377</f>
        <v>437.20150000000001</v>
      </c>
      <c r="AG377" s="130">
        <f>AB377/V377</f>
        <v>437.20150000000001</v>
      </c>
      <c r="AH377" s="123">
        <f>AB377/S377</f>
        <v>2.6896431867117814</v>
      </c>
      <c r="AI377" s="124" t="s">
        <v>97</v>
      </c>
      <c r="AJ377" s="125" t="s">
        <v>349</v>
      </c>
      <c r="AK377"/>
      <c r="AM377" s="80"/>
    </row>
    <row r="378" spans="1:39" ht="28.5" customHeight="1">
      <c r="A378" s="113" t="s">
        <v>73</v>
      </c>
      <c r="B378" s="114" t="s">
        <v>74</v>
      </c>
      <c r="C378" s="113" t="s">
        <v>36</v>
      </c>
      <c r="D378" s="113" t="s">
        <v>90</v>
      </c>
      <c r="E378" s="115" t="s">
        <v>861</v>
      </c>
      <c r="F378" s="113" t="s">
        <v>162</v>
      </c>
      <c r="G378" s="116" t="s">
        <v>1516</v>
      </c>
      <c r="H378" s="79">
        <v>46171</v>
      </c>
      <c r="I378" s="114" t="s">
        <v>79</v>
      </c>
      <c r="J378" s="117" t="s">
        <v>1517</v>
      </c>
      <c r="K378" s="118">
        <v>46164</v>
      </c>
      <c r="L378" s="114" t="s">
        <v>79</v>
      </c>
      <c r="M378" s="119">
        <v>46168</v>
      </c>
      <c r="N378" s="128">
        <v>46171</v>
      </c>
      <c r="O378" s="120">
        <f>NETWORKDAYS.INTL(K378,N378,1,$AM$2:$AM$10)-1</f>
        <v>4</v>
      </c>
      <c r="P378" s="114" t="s">
        <v>81</v>
      </c>
      <c r="Q378" s="114" t="s">
        <v>79</v>
      </c>
      <c r="R378" s="115"/>
      <c r="S378" s="145">
        <v>243</v>
      </c>
      <c r="T378" s="148" t="s">
        <v>1518</v>
      </c>
      <c r="U378" s="147">
        <v>1</v>
      </c>
      <c r="V378" s="121">
        <v>18</v>
      </c>
      <c r="W378" s="121">
        <v>735</v>
      </c>
      <c r="X378" s="114" t="s">
        <v>84</v>
      </c>
      <c r="Y378" s="115" t="s">
        <v>85</v>
      </c>
      <c r="Z378" s="115" t="s">
        <v>86</v>
      </c>
      <c r="AA378" s="113" t="s">
        <v>87</v>
      </c>
      <c r="AB378" s="122">
        <v>423.59</v>
      </c>
      <c r="AC378" s="122">
        <f>IF(C378="DENALI", AB378*0.495, IF(C378="SCHNEIDER ELECTRIC", AB378*1.136, IF(C378="WWT", AB378*1.2, AC378)))+AB378</f>
        <v>904.78823999999986</v>
      </c>
      <c r="AD378" s="129">
        <f>AC378-AB378</f>
        <v>481.19823999999988</v>
      </c>
      <c r="AE378" s="122">
        <v>39868.239999999998</v>
      </c>
      <c r="AF378" s="130">
        <f>AB378/U378</f>
        <v>423.59</v>
      </c>
      <c r="AG378" s="130">
        <f>AB378/V378</f>
        <v>23.532777777777778</v>
      </c>
      <c r="AH378" s="123">
        <f>AB378/S378</f>
        <v>1.7431687242798353</v>
      </c>
      <c r="AI378" s="124" t="s">
        <v>155</v>
      </c>
      <c r="AJ378" s="125" t="s">
        <v>98</v>
      </c>
      <c r="AK378"/>
      <c r="AM378" s="80"/>
    </row>
    <row r="379" spans="1:39" ht="28.5" customHeight="1">
      <c r="A379" s="113" t="s">
        <v>73</v>
      </c>
      <c r="B379" s="114" t="s">
        <v>74</v>
      </c>
      <c r="C379" s="113" t="s">
        <v>35</v>
      </c>
      <c r="D379" s="113" t="s">
        <v>218</v>
      </c>
      <c r="E379" s="115" t="s">
        <v>657</v>
      </c>
      <c r="F379" s="113" t="s">
        <v>644</v>
      </c>
      <c r="G379" s="116" t="s">
        <v>1519</v>
      </c>
      <c r="H379" s="79">
        <v>46171</v>
      </c>
      <c r="I379" s="114" t="s">
        <v>79</v>
      </c>
      <c r="J379" s="117" t="s">
        <v>1520</v>
      </c>
      <c r="K379" s="118">
        <v>46164</v>
      </c>
      <c r="L379" s="114" t="s">
        <v>81</v>
      </c>
      <c r="M379" s="119">
        <v>46168</v>
      </c>
      <c r="N379" s="128">
        <v>46168</v>
      </c>
      <c r="O379" s="120">
        <f>NETWORKDAYS.INTL(K379,N379,1,$AM$2:$AM$10)-1</f>
        <v>1</v>
      </c>
      <c r="P379" s="114" t="s">
        <v>81</v>
      </c>
      <c r="Q379" s="114" t="s">
        <v>79</v>
      </c>
      <c r="R379" s="115"/>
      <c r="S379" s="145">
        <v>317</v>
      </c>
      <c r="T379" s="148" t="s">
        <v>1521</v>
      </c>
      <c r="U379" s="147">
        <v>1</v>
      </c>
      <c r="V379" s="121">
        <v>2</v>
      </c>
      <c r="W379" s="121">
        <v>230</v>
      </c>
      <c r="X379" s="114" t="s">
        <v>84</v>
      </c>
      <c r="Y379" s="115" t="s">
        <v>85</v>
      </c>
      <c r="Z379" s="115" t="s">
        <v>86</v>
      </c>
      <c r="AA379" s="113" t="s">
        <v>87</v>
      </c>
      <c r="AB379" s="122">
        <v>178.69</v>
      </c>
      <c r="AC379" s="122">
        <f>IF(C379="DENALI", AB379*0.495, IF(C379="SCHNEIDER ELECTRIC", AB379*1.136, IF(C379="WWT", AB379*1.2, AC379)))+AB379</f>
        <v>267.14155</v>
      </c>
      <c r="AD379" s="129">
        <f>AC379-AB379</f>
        <v>88.451549999999997</v>
      </c>
      <c r="AE379" s="122">
        <v>126675.98</v>
      </c>
      <c r="AF379" s="130">
        <f>AB379/U379</f>
        <v>178.69</v>
      </c>
      <c r="AG379" s="130">
        <f>AB379/V379</f>
        <v>89.344999999999999</v>
      </c>
      <c r="AH379" s="123">
        <f>AB379/S379</f>
        <v>0.56369085173501576</v>
      </c>
      <c r="AI379" s="124" t="s">
        <v>97</v>
      </c>
      <c r="AJ379" s="125" t="s">
        <v>349</v>
      </c>
      <c r="AK379"/>
      <c r="AM379" s="80"/>
    </row>
    <row r="380" spans="1:39" ht="45.75">
      <c r="A380" s="113" t="s">
        <v>73</v>
      </c>
      <c r="B380" s="114" t="s">
        <v>140</v>
      </c>
      <c r="C380" s="113" t="s">
        <v>35</v>
      </c>
      <c r="D380" s="113" t="s">
        <v>218</v>
      </c>
      <c r="E380" s="115" t="s">
        <v>141</v>
      </c>
      <c r="F380" s="113" t="s">
        <v>142</v>
      </c>
      <c r="G380" s="116" t="s">
        <v>1522</v>
      </c>
      <c r="H380" s="79">
        <v>46171</v>
      </c>
      <c r="I380" s="114" t="s">
        <v>79</v>
      </c>
      <c r="J380" s="117" t="s">
        <v>1523</v>
      </c>
      <c r="K380" s="118">
        <v>46164</v>
      </c>
      <c r="L380" s="114" t="s">
        <v>81</v>
      </c>
      <c r="M380" s="119">
        <v>46168</v>
      </c>
      <c r="N380" s="128">
        <v>46170</v>
      </c>
      <c r="O380" s="120">
        <f>NETWORKDAYS.INTL(K380,N380,1,$AM$2:$AM$10)-1</f>
        <v>3</v>
      </c>
      <c r="P380" s="114" t="s">
        <v>81</v>
      </c>
      <c r="Q380" s="114" t="s">
        <v>79</v>
      </c>
      <c r="R380" s="115"/>
      <c r="S380" s="145">
        <v>441</v>
      </c>
      <c r="T380" s="148" t="s">
        <v>1524</v>
      </c>
      <c r="U380" s="147">
        <v>5</v>
      </c>
      <c r="V380" s="121">
        <v>851</v>
      </c>
      <c r="W380" s="121">
        <v>2040</v>
      </c>
      <c r="X380" s="114" t="s">
        <v>84</v>
      </c>
      <c r="Y380" s="115" t="s">
        <v>85</v>
      </c>
      <c r="Z380" s="115" t="s">
        <v>160</v>
      </c>
      <c r="AA380" s="113" t="s">
        <v>87</v>
      </c>
      <c r="AB380" s="122">
        <v>664.37</v>
      </c>
      <c r="AC380" s="122">
        <f>IF(C380="DENALI", AB380*0.495, IF(C380="SCHNEIDER ELECTRIC", AB380*1.136, IF(C380="WWT", AB380*1.2, AC380)))+AB380</f>
        <v>993.23315000000002</v>
      </c>
      <c r="AD380" s="129">
        <f>AC380-AB380</f>
        <v>328.86315000000002</v>
      </c>
      <c r="AE380" s="122">
        <v>91666.97</v>
      </c>
      <c r="AF380" s="130">
        <f>AB380/U380</f>
        <v>132.874</v>
      </c>
      <c r="AG380" s="130">
        <f>AB380/V380</f>
        <v>0.78069330199764986</v>
      </c>
      <c r="AH380" s="123">
        <f>AB380/S380</f>
        <v>1.5065079365079366</v>
      </c>
      <c r="AI380" s="124" t="s">
        <v>155</v>
      </c>
      <c r="AJ380" s="125" t="s">
        <v>349</v>
      </c>
      <c r="AK380"/>
      <c r="AM380" s="80"/>
    </row>
    <row r="381" spans="1:39" ht="28.5" customHeight="1">
      <c r="A381" s="113" t="s">
        <v>73</v>
      </c>
      <c r="B381" s="114" t="s">
        <v>74</v>
      </c>
      <c r="C381" s="113" t="s">
        <v>36</v>
      </c>
      <c r="D381" s="113" t="s">
        <v>90</v>
      </c>
      <c r="E381" s="115" t="s">
        <v>702</v>
      </c>
      <c r="F381" s="113" t="s">
        <v>92</v>
      </c>
      <c r="G381" s="116" t="s">
        <v>1525</v>
      </c>
      <c r="H381" s="79">
        <v>46171</v>
      </c>
      <c r="I381" s="114" t="s">
        <v>79</v>
      </c>
      <c r="J381" s="117" t="s">
        <v>1526</v>
      </c>
      <c r="K381" s="118">
        <v>46164</v>
      </c>
      <c r="L381" s="114" t="s">
        <v>79</v>
      </c>
      <c r="M381" s="119">
        <v>46169</v>
      </c>
      <c r="N381" s="128">
        <v>46171</v>
      </c>
      <c r="O381" s="120">
        <f>NETWORKDAYS.INTL(K381,N381,1,$AM$2:$AM$10)-1</f>
        <v>4</v>
      </c>
      <c r="P381" s="114" t="s">
        <v>81</v>
      </c>
      <c r="Q381" s="114" t="s">
        <v>79</v>
      </c>
      <c r="R381" s="115"/>
      <c r="S381" s="145">
        <v>922</v>
      </c>
      <c r="T381" s="148" t="s">
        <v>1527</v>
      </c>
      <c r="U381" s="147">
        <v>1</v>
      </c>
      <c r="V381" s="121">
        <v>6</v>
      </c>
      <c r="W381" s="121">
        <v>272</v>
      </c>
      <c r="X381" s="114" t="s">
        <v>84</v>
      </c>
      <c r="Y381" s="115" t="s">
        <v>85</v>
      </c>
      <c r="Z381" s="115" t="s">
        <v>86</v>
      </c>
      <c r="AA381" s="113" t="s">
        <v>87</v>
      </c>
      <c r="AB381" s="122">
        <v>344.75</v>
      </c>
      <c r="AC381" s="122">
        <f>IF(C381="DENALI", AB381*0.495, IF(C381="SCHNEIDER ELECTRIC", AB381*1.136, IF(C381="WWT", AB381*1.2, AC381)))+AB381</f>
        <v>736.38599999999997</v>
      </c>
      <c r="AD381" s="129">
        <f>AC381-AB381</f>
        <v>391.63599999999997</v>
      </c>
      <c r="AE381" s="122">
        <v>3100.38</v>
      </c>
      <c r="AF381" s="130">
        <f>AB381/U381</f>
        <v>344.75</v>
      </c>
      <c r="AG381" s="130">
        <f>AB381/V381</f>
        <v>57.458333333333336</v>
      </c>
      <c r="AH381" s="123">
        <f>AB381/S381</f>
        <v>0.37391540130151846</v>
      </c>
      <c r="AI381" s="124" t="s">
        <v>88</v>
      </c>
      <c r="AJ381" s="125" t="s">
        <v>98</v>
      </c>
      <c r="AK381"/>
      <c r="AM381" s="80"/>
    </row>
    <row r="382" spans="1:39" ht="45.75">
      <c r="A382" s="113" t="s">
        <v>73</v>
      </c>
      <c r="B382" s="114" t="s">
        <v>140</v>
      </c>
      <c r="C382" s="113" t="s">
        <v>35</v>
      </c>
      <c r="D382" s="113" t="s">
        <v>218</v>
      </c>
      <c r="E382" s="115" t="s">
        <v>141</v>
      </c>
      <c r="F382" s="113" t="s">
        <v>142</v>
      </c>
      <c r="G382" s="116" t="s">
        <v>1528</v>
      </c>
      <c r="H382" s="79">
        <v>46176</v>
      </c>
      <c r="I382" s="114" t="s">
        <v>79</v>
      </c>
      <c r="J382" s="117" t="s">
        <v>1529</v>
      </c>
      <c r="K382" s="118">
        <v>46169</v>
      </c>
      <c r="L382" s="114" t="s">
        <v>81</v>
      </c>
      <c r="M382" s="119">
        <v>46170</v>
      </c>
      <c r="N382" s="128">
        <v>46174</v>
      </c>
      <c r="O382" s="120">
        <f>NETWORKDAYS.INTL(K382,N382,1,$AM$2:$AM$10)-1</f>
        <v>3</v>
      </c>
      <c r="P382" s="114" t="s">
        <v>81</v>
      </c>
      <c r="Q382" s="114" t="s">
        <v>79</v>
      </c>
      <c r="R382" s="115"/>
      <c r="S382" s="145">
        <v>441</v>
      </c>
      <c r="T382" s="148" t="s">
        <v>1530</v>
      </c>
      <c r="U382" s="147">
        <v>3</v>
      </c>
      <c r="V382" s="121">
        <v>778</v>
      </c>
      <c r="W382" s="121">
        <v>1295</v>
      </c>
      <c r="X382" s="114" t="s">
        <v>84</v>
      </c>
      <c r="Y382" s="115" t="s">
        <v>85</v>
      </c>
      <c r="Z382" s="115" t="s">
        <v>160</v>
      </c>
      <c r="AA382" s="113" t="s">
        <v>87</v>
      </c>
      <c r="AB382" s="122">
        <v>316.16000000000003</v>
      </c>
      <c r="AC382" s="122">
        <f>IF(C382="DENALI", AB382*0.495, IF(C382="SCHNEIDER ELECTRIC", AB382*1.136, IF(C382="WWT", AB382*1.2, AC382)))+AB382</f>
        <v>472.65920000000006</v>
      </c>
      <c r="AD382" s="129">
        <f>AC382-AB382</f>
        <v>156.49920000000003</v>
      </c>
      <c r="AE382" s="122">
        <v>45594.22</v>
      </c>
      <c r="AF382" s="130">
        <f>AB382/U382</f>
        <v>105.38666666666667</v>
      </c>
      <c r="AG382" s="130">
        <f>AB382/V382</f>
        <v>0.40637532133676096</v>
      </c>
      <c r="AH382" s="123">
        <f>AB382/S382</f>
        <v>0.71691609977324267</v>
      </c>
      <c r="AI382" s="124" t="s">
        <v>147</v>
      </c>
      <c r="AJ382" s="125" t="s">
        <v>343</v>
      </c>
      <c r="AK382"/>
      <c r="AM382" s="80"/>
    </row>
    <row r="383" spans="1:39" ht="28.5" customHeight="1">
      <c r="A383" s="113" t="s">
        <v>73</v>
      </c>
      <c r="B383" s="114" t="s">
        <v>140</v>
      </c>
      <c r="C383" s="113" t="s">
        <v>35</v>
      </c>
      <c r="D383" s="113" t="s">
        <v>218</v>
      </c>
      <c r="E383" s="115" t="s">
        <v>992</v>
      </c>
      <c r="F383" s="113" t="s">
        <v>75</v>
      </c>
      <c r="G383" s="116" t="s">
        <v>1531</v>
      </c>
      <c r="H383" s="79">
        <v>46176</v>
      </c>
      <c r="I383" s="114" t="s">
        <v>79</v>
      </c>
      <c r="J383" s="117" t="s">
        <v>1532</v>
      </c>
      <c r="K383" s="118">
        <v>46169</v>
      </c>
      <c r="L383" s="114" t="s">
        <v>81</v>
      </c>
      <c r="M383" s="119">
        <v>46170</v>
      </c>
      <c r="N383" s="128">
        <v>46170</v>
      </c>
      <c r="O383" s="120">
        <f>NETWORKDAYS.INTL(K383,N383,1,$AM$2:$AM$10)-1</f>
        <v>1</v>
      </c>
      <c r="P383" s="114" t="s">
        <v>81</v>
      </c>
      <c r="Q383" s="114" t="s">
        <v>79</v>
      </c>
      <c r="R383" s="115"/>
      <c r="S383" s="145">
        <v>536.1</v>
      </c>
      <c r="T383" s="148" t="s">
        <v>1533</v>
      </c>
      <c r="U383" s="147">
        <v>2</v>
      </c>
      <c r="V383" s="121">
        <v>270</v>
      </c>
      <c r="W383" s="121">
        <v>750</v>
      </c>
      <c r="X383" s="114" t="s">
        <v>84</v>
      </c>
      <c r="Y383" s="115" t="s">
        <v>85</v>
      </c>
      <c r="Z383" s="115" t="s">
        <v>770</v>
      </c>
      <c r="AA383" s="113" t="s">
        <v>87</v>
      </c>
      <c r="AB383" s="122">
        <v>465.79</v>
      </c>
      <c r="AC383" s="122">
        <f>IF(C383="DENALI", AB383*0.495, IF(C383="SCHNEIDER ELECTRIC", AB383*1.136, IF(C383="WWT", AB383*1.2, AC383)))+AB383</f>
        <v>696.3560500000001</v>
      </c>
      <c r="AD383" s="129">
        <f>AC383-AB383</f>
        <v>230.56605000000008</v>
      </c>
      <c r="AE383" s="122">
        <v>16027.05</v>
      </c>
      <c r="AF383" s="130">
        <f>AB383/U383</f>
        <v>232.89500000000001</v>
      </c>
      <c r="AG383" s="130">
        <f>AB383/V383</f>
        <v>1.7251481481481483</v>
      </c>
      <c r="AH383" s="123">
        <f>AB383/S383</f>
        <v>0.86884909531803767</v>
      </c>
      <c r="AI383" s="124" t="s">
        <v>147</v>
      </c>
      <c r="AJ383" s="125" t="s">
        <v>343</v>
      </c>
      <c r="AK383"/>
      <c r="AM383" s="80"/>
    </row>
    <row r="384" spans="1:39" ht="28.5" customHeight="1">
      <c r="A384" s="113" t="s">
        <v>73</v>
      </c>
      <c r="B384" s="114" t="s">
        <v>74</v>
      </c>
      <c r="C384" s="113" t="s">
        <v>35</v>
      </c>
      <c r="D384" s="113" t="s">
        <v>218</v>
      </c>
      <c r="E384" s="115" t="s">
        <v>883</v>
      </c>
      <c r="F384" s="113" t="s">
        <v>254</v>
      </c>
      <c r="G384" s="116" t="s">
        <v>1534</v>
      </c>
      <c r="H384" s="79">
        <v>46177</v>
      </c>
      <c r="I384" s="114" t="s">
        <v>79</v>
      </c>
      <c r="J384" s="117" t="s">
        <v>1535</v>
      </c>
      <c r="K384" s="118">
        <v>46169</v>
      </c>
      <c r="L384" s="114" t="s">
        <v>81</v>
      </c>
      <c r="M384" s="119">
        <v>46170</v>
      </c>
      <c r="N384" s="128">
        <v>46171</v>
      </c>
      <c r="O384" s="120">
        <f>NETWORKDAYS.INTL(K384,N384,1,$AM$2:$AM$10)-1</f>
        <v>2</v>
      </c>
      <c r="P384" s="114" t="s">
        <v>81</v>
      </c>
      <c r="Q384" s="114" t="s">
        <v>79</v>
      </c>
      <c r="R384" s="115"/>
      <c r="S384" s="145">
        <v>629</v>
      </c>
      <c r="T384" s="148" t="s">
        <v>1536</v>
      </c>
      <c r="U384" s="147">
        <v>1</v>
      </c>
      <c r="V384" s="121">
        <v>120</v>
      </c>
      <c r="W384" s="121">
        <v>375</v>
      </c>
      <c r="X384" s="114" t="s">
        <v>84</v>
      </c>
      <c r="Y384" s="115" t="s">
        <v>85</v>
      </c>
      <c r="Z384" s="115" t="s">
        <v>86</v>
      </c>
      <c r="AA384" s="113" t="s">
        <v>87</v>
      </c>
      <c r="AB384" s="122">
        <v>325.5</v>
      </c>
      <c r="AC384" s="122">
        <f>IF(C384="DENALI", AB384*0.495, IF(C384="SCHNEIDER ELECTRIC", AB384*1.136, IF(C384="WWT", AB384*1.2, AC384)))+AB384</f>
        <v>486.6225</v>
      </c>
      <c r="AD384" s="129">
        <f>AC384-AB384</f>
        <v>161.1225</v>
      </c>
      <c r="AE384" s="122">
        <v>13555.47</v>
      </c>
      <c r="AF384" s="130">
        <f>AB384/U384</f>
        <v>325.5</v>
      </c>
      <c r="AG384" s="130">
        <f>AB384/V384</f>
        <v>2.7124999999999999</v>
      </c>
      <c r="AH384" s="123">
        <f>AB384/S384</f>
        <v>0.51748807631160576</v>
      </c>
      <c r="AI384" s="124" t="s">
        <v>97</v>
      </c>
      <c r="AJ384" s="125" t="s">
        <v>349</v>
      </c>
      <c r="AK384"/>
      <c r="AM384" s="80"/>
    </row>
    <row r="385" spans="1:39" ht="28.5" customHeight="1">
      <c r="A385" s="113" t="s">
        <v>73</v>
      </c>
      <c r="B385" s="114" t="s">
        <v>74</v>
      </c>
      <c r="C385" s="113" t="s">
        <v>35</v>
      </c>
      <c r="D385" s="113" t="s">
        <v>218</v>
      </c>
      <c r="E385" s="115" t="s">
        <v>1086</v>
      </c>
      <c r="F385" s="113" t="s">
        <v>218</v>
      </c>
      <c r="G385" s="116" t="s">
        <v>1537</v>
      </c>
      <c r="H385" s="79">
        <v>46177</v>
      </c>
      <c r="I385" s="114" t="s">
        <v>79</v>
      </c>
      <c r="J385" s="117" t="s">
        <v>1538</v>
      </c>
      <c r="K385" s="118">
        <v>46169</v>
      </c>
      <c r="L385" s="114" t="s">
        <v>79</v>
      </c>
      <c r="M385" s="119">
        <v>46170</v>
      </c>
      <c r="N385" s="128">
        <v>46189</v>
      </c>
      <c r="O385" s="120">
        <f>NETWORKDAYS.INTL(K385,N385,1,$AM$2:$AM$10)-1</f>
        <v>14</v>
      </c>
      <c r="P385" s="114" t="s">
        <v>81</v>
      </c>
      <c r="Q385" s="114" t="s">
        <v>79</v>
      </c>
      <c r="R385" s="115"/>
      <c r="S385" s="145">
        <v>124</v>
      </c>
      <c r="T385" s="148" t="s">
        <v>1539</v>
      </c>
      <c r="U385" s="147">
        <v>1</v>
      </c>
      <c r="V385" s="121">
        <v>115</v>
      </c>
      <c r="W385" s="121">
        <v>375</v>
      </c>
      <c r="X385" s="114" t="s">
        <v>84</v>
      </c>
      <c r="Y385" s="115" t="s">
        <v>85</v>
      </c>
      <c r="Z385" s="115" t="s">
        <v>1540</v>
      </c>
      <c r="AA385" s="113" t="s">
        <v>87</v>
      </c>
      <c r="AB385" s="122">
        <v>260.95</v>
      </c>
      <c r="AC385" s="122">
        <f>IF(C385="DENALI", AB385*0.495, IF(C385="SCHNEIDER ELECTRIC", AB385*1.136, IF(C385="WWT", AB385*1.2, AC385)))+AB385</f>
        <v>390.12024999999994</v>
      </c>
      <c r="AD385" s="129">
        <f>AC385-AB385</f>
        <v>129.17024999999995</v>
      </c>
      <c r="AE385" s="122">
        <v>27110.94</v>
      </c>
      <c r="AF385" s="130">
        <f>AB385/U385</f>
        <v>260.95</v>
      </c>
      <c r="AG385" s="130">
        <f>AB385/V385</f>
        <v>2.2691304347826087</v>
      </c>
      <c r="AH385" s="123">
        <f>AB385/S385</f>
        <v>2.1044354838709678</v>
      </c>
      <c r="AI385" s="124" t="s">
        <v>97</v>
      </c>
      <c r="AJ385" s="125" t="s">
        <v>349</v>
      </c>
      <c r="AK385"/>
      <c r="AM385" s="80"/>
    </row>
    <row r="386" spans="1:39" ht="28.5" customHeight="1">
      <c r="A386" s="113" t="s">
        <v>73</v>
      </c>
      <c r="B386" s="114" t="s">
        <v>74</v>
      </c>
      <c r="C386" s="113" t="s">
        <v>35</v>
      </c>
      <c r="D386" s="113" t="s">
        <v>218</v>
      </c>
      <c r="E386" s="115" t="s">
        <v>1541</v>
      </c>
      <c r="F386" s="113" t="s">
        <v>92</v>
      </c>
      <c r="G386" s="116" t="s">
        <v>1542</v>
      </c>
      <c r="H386" s="79">
        <v>46177</v>
      </c>
      <c r="I386" s="114" t="s">
        <v>79</v>
      </c>
      <c r="J386" s="117" t="s">
        <v>1543</v>
      </c>
      <c r="K386" s="118">
        <v>46169</v>
      </c>
      <c r="L386" s="114" t="s">
        <v>81</v>
      </c>
      <c r="M386" s="119">
        <v>46170</v>
      </c>
      <c r="N386" s="128">
        <v>46174</v>
      </c>
      <c r="O386" s="120">
        <f>NETWORKDAYS.INTL(K386,N386,1,$AM$2:$AM$10)-1</f>
        <v>3</v>
      </c>
      <c r="P386" s="114" t="s">
        <v>81</v>
      </c>
      <c r="Q386" s="114" t="s">
        <v>79</v>
      </c>
      <c r="R386" s="115"/>
      <c r="S386" s="145">
        <v>1146.7</v>
      </c>
      <c r="T386" s="148" t="s">
        <v>1544</v>
      </c>
      <c r="U386" s="147">
        <v>1</v>
      </c>
      <c r="V386" s="121">
        <v>150</v>
      </c>
      <c r="W386" s="121">
        <v>375</v>
      </c>
      <c r="X386" s="114" t="s">
        <v>84</v>
      </c>
      <c r="Y386" s="115" t="s">
        <v>85</v>
      </c>
      <c r="Z386" s="115" t="s">
        <v>86</v>
      </c>
      <c r="AA386" s="113" t="s">
        <v>87</v>
      </c>
      <c r="AB386" s="122">
        <v>497.47</v>
      </c>
      <c r="AC386" s="122">
        <f>IF(C386="DENALI", AB386*0.495, IF(C386="SCHNEIDER ELECTRIC", AB386*1.136, IF(C386="WWT", AB386*1.2, AC386)))+AB386</f>
        <v>743.71765000000005</v>
      </c>
      <c r="AD386" s="129">
        <f>AC386-AB386</f>
        <v>246.24765000000002</v>
      </c>
      <c r="AE386" s="122">
        <v>13558.43</v>
      </c>
      <c r="AF386" s="130">
        <f>AB386/U386</f>
        <v>497.47</v>
      </c>
      <c r="AG386" s="130">
        <f>AB386/V386</f>
        <v>3.3164666666666669</v>
      </c>
      <c r="AH386" s="123">
        <f>AB386/S386</f>
        <v>0.4338275050143891</v>
      </c>
      <c r="AI386" s="124" t="s">
        <v>1044</v>
      </c>
      <c r="AJ386" s="125" t="s">
        <v>349</v>
      </c>
      <c r="AK386"/>
      <c r="AM386" s="80"/>
    </row>
    <row r="387" spans="1:39" ht="28.5" customHeight="1">
      <c r="A387" s="113" t="s">
        <v>73</v>
      </c>
      <c r="B387" s="114" t="s">
        <v>74</v>
      </c>
      <c r="C387" s="113" t="s">
        <v>35</v>
      </c>
      <c r="D387" s="113" t="s">
        <v>218</v>
      </c>
      <c r="E387" s="115" t="s">
        <v>951</v>
      </c>
      <c r="F387" s="113" t="s">
        <v>109</v>
      </c>
      <c r="G387" s="116" t="s">
        <v>1545</v>
      </c>
      <c r="H387" s="79">
        <v>46177</v>
      </c>
      <c r="I387" s="114" t="s">
        <v>79</v>
      </c>
      <c r="J387" s="117" t="s">
        <v>1546</v>
      </c>
      <c r="K387" s="118">
        <v>46169</v>
      </c>
      <c r="L387" s="114" t="s">
        <v>81</v>
      </c>
      <c r="M387" s="119">
        <v>46174</v>
      </c>
      <c r="N387" s="128">
        <v>46174</v>
      </c>
      <c r="O387" s="120">
        <f>NETWORKDAYS.INTL(K387,N387,1,$AM$2:$AM$10)-1</f>
        <v>3</v>
      </c>
      <c r="P387" s="114" t="s">
        <v>81</v>
      </c>
      <c r="Q387" s="114" t="s">
        <v>79</v>
      </c>
      <c r="R387" s="115"/>
      <c r="S387" s="145">
        <v>1035</v>
      </c>
      <c r="T387" s="148" t="s">
        <v>1547</v>
      </c>
      <c r="U387" s="147">
        <v>1</v>
      </c>
      <c r="V387" s="121">
        <v>150</v>
      </c>
      <c r="W387" s="121">
        <v>375</v>
      </c>
      <c r="X387" s="114" t="s">
        <v>84</v>
      </c>
      <c r="Y387" s="115" t="s">
        <v>85</v>
      </c>
      <c r="Z387" s="115" t="s">
        <v>86</v>
      </c>
      <c r="AA387" s="113" t="s">
        <v>87</v>
      </c>
      <c r="AB387" s="122">
        <v>511.4</v>
      </c>
      <c r="AC387" s="122">
        <f>IF(C387="DENALI", AB387*0.495, IF(C387="SCHNEIDER ELECTRIC", AB387*1.136, IF(C387="WWT", AB387*1.2, AC387)))+AB387</f>
        <v>764.54299999999989</v>
      </c>
      <c r="AD387" s="129">
        <f>AC387-AB387</f>
        <v>253.14299999999992</v>
      </c>
      <c r="AE387" s="122">
        <v>13555.47</v>
      </c>
      <c r="AF387" s="130">
        <f>AB387/U387</f>
        <v>511.4</v>
      </c>
      <c r="AG387" s="130">
        <f>AB387/V387</f>
        <v>3.4093333333333331</v>
      </c>
      <c r="AH387" s="123">
        <f>AB387/S387</f>
        <v>0.49410628019323671</v>
      </c>
      <c r="AI387" s="124" t="s">
        <v>97</v>
      </c>
      <c r="AJ387" s="125" t="s">
        <v>349</v>
      </c>
      <c r="AK387"/>
      <c r="AM387" s="80"/>
    </row>
    <row r="388" spans="1:39" ht="28.5" customHeight="1">
      <c r="A388" s="113" t="s">
        <v>73</v>
      </c>
      <c r="B388" s="114" t="s">
        <v>74</v>
      </c>
      <c r="C388" s="113" t="s">
        <v>35</v>
      </c>
      <c r="D388" s="113" t="s">
        <v>218</v>
      </c>
      <c r="E388" s="115" t="s">
        <v>1548</v>
      </c>
      <c r="F388" s="113" t="s">
        <v>99</v>
      </c>
      <c r="G388" s="116" t="s">
        <v>1549</v>
      </c>
      <c r="H388" s="79">
        <v>46177</v>
      </c>
      <c r="I388" s="114" t="s">
        <v>79</v>
      </c>
      <c r="J388" s="117" t="s">
        <v>1550</v>
      </c>
      <c r="K388" s="118">
        <v>46169</v>
      </c>
      <c r="L388" s="114" t="s">
        <v>81</v>
      </c>
      <c r="M388" s="119">
        <v>46174</v>
      </c>
      <c r="N388" s="128">
        <v>46174</v>
      </c>
      <c r="O388" s="120">
        <f>NETWORKDAYS.INTL(K388,N388,1,$AM$2:$AM$10)-1</f>
        <v>3</v>
      </c>
      <c r="P388" s="114" t="s">
        <v>81</v>
      </c>
      <c r="Q388" s="114" t="s">
        <v>79</v>
      </c>
      <c r="R388" s="115"/>
      <c r="S388" s="145">
        <v>2087</v>
      </c>
      <c r="T388" s="148" t="s">
        <v>1551</v>
      </c>
      <c r="U388" s="147">
        <v>1</v>
      </c>
      <c r="V388" s="121">
        <v>150</v>
      </c>
      <c r="W388" s="121">
        <v>375</v>
      </c>
      <c r="X388" s="114" t="s">
        <v>84</v>
      </c>
      <c r="Y388" s="115" t="s">
        <v>85</v>
      </c>
      <c r="Z388" s="115" t="s">
        <v>86</v>
      </c>
      <c r="AA388" s="113" t="s">
        <v>87</v>
      </c>
      <c r="AB388" s="122">
        <v>565.39</v>
      </c>
      <c r="AC388" s="122">
        <f>IF(C388="DENALI", AB388*0.495, IF(C388="SCHNEIDER ELECTRIC", AB388*1.136, IF(C388="WWT", AB388*1.2, AC388)))+AB388</f>
        <v>845.25804999999991</v>
      </c>
      <c r="AD388" s="129">
        <f>AC388-AB388</f>
        <v>279.86804999999993</v>
      </c>
      <c r="AE388" s="122">
        <v>15979.31</v>
      </c>
      <c r="AF388" s="130">
        <f>AB388/U388</f>
        <v>565.39</v>
      </c>
      <c r="AG388" s="130">
        <f>AB388/V388</f>
        <v>3.7692666666666668</v>
      </c>
      <c r="AH388" s="123">
        <f>AB388/S388</f>
        <v>0.27091039770004793</v>
      </c>
      <c r="AI388" s="124" t="s">
        <v>1044</v>
      </c>
      <c r="AJ388" s="125" t="s">
        <v>349</v>
      </c>
      <c r="AK388"/>
      <c r="AM388" s="80"/>
    </row>
    <row r="389" spans="1:39" ht="28.5" customHeight="1">
      <c r="A389" s="113" t="s">
        <v>73</v>
      </c>
      <c r="B389" s="114" t="s">
        <v>74</v>
      </c>
      <c r="C389" s="113" t="s">
        <v>35</v>
      </c>
      <c r="D389" s="113" t="s">
        <v>218</v>
      </c>
      <c r="E389" s="115" t="s">
        <v>1552</v>
      </c>
      <c r="F389" s="113" t="s">
        <v>845</v>
      </c>
      <c r="G389" s="116" t="s">
        <v>1553</v>
      </c>
      <c r="H389" s="79">
        <v>46177</v>
      </c>
      <c r="I389" s="114" t="s">
        <v>79</v>
      </c>
      <c r="J389" s="117" t="s">
        <v>1554</v>
      </c>
      <c r="K389" s="118">
        <v>46170</v>
      </c>
      <c r="L389" s="114" t="s">
        <v>79</v>
      </c>
      <c r="M389" s="119">
        <v>46171</v>
      </c>
      <c r="N389" s="128">
        <v>46175</v>
      </c>
      <c r="O389" s="120">
        <f>NETWORKDAYS.INTL(K389,N389,1,$AM$2:$AM$10)-1</f>
        <v>3</v>
      </c>
      <c r="P389" s="114" t="s">
        <v>81</v>
      </c>
      <c r="Q389" s="114" t="s">
        <v>79</v>
      </c>
      <c r="R389" s="115"/>
      <c r="S389" s="145">
        <v>636</v>
      </c>
      <c r="T389" s="148" t="s">
        <v>1555</v>
      </c>
      <c r="U389" s="147">
        <v>1</v>
      </c>
      <c r="V389" s="121">
        <v>150</v>
      </c>
      <c r="W389" s="121">
        <v>375</v>
      </c>
      <c r="X389" s="114" t="s">
        <v>84</v>
      </c>
      <c r="Y389" s="115" t="s">
        <v>85</v>
      </c>
      <c r="Z389" s="115" t="s">
        <v>1208</v>
      </c>
      <c r="AA389" s="113" t="s">
        <v>87</v>
      </c>
      <c r="AB389" s="122">
        <v>383.12</v>
      </c>
      <c r="AC389" s="122">
        <f>IF(C389="DENALI", AB389*0.495, IF(C389="SCHNEIDER ELECTRIC", AB389*1.136, IF(C389="WWT", AB389*1.2, AC389)))+AB389</f>
        <v>572.76440000000002</v>
      </c>
      <c r="AD389" s="129">
        <f>AC389-AB389</f>
        <v>189.64440000000002</v>
      </c>
      <c r="AE389" s="122">
        <v>15979.17</v>
      </c>
      <c r="AF389" s="130">
        <f>AB389/U389</f>
        <v>383.12</v>
      </c>
      <c r="AG389" s="130">
        <f>AB389/V389</f>
        <v>2.5541333333333331</v>
      </c>
      <c r="AH389" s="123">
        <f>AB389/S389</f>
        <v>0.60238993710691824</v>
      </c>
      <c r="AI389" s="124" t="s">
        <v>1044</v>
      </c>
      <c r="AJ389" s="125" t="s">
        <v>349</v>
      </c>
      <c r="AK389"/>
      <c r="AM389" s="80"/>
    </row>
    <row r="390" spans="1:39" ht="137.25">
      <c r="A390" s="113" t="s">
        <v>73</v>
      </c>
      <c r="B390" s="114" t="s">
        <v>74</v>
      </c>
      <c r="C390" s="113" t="s">
        <v>35</v>
      </c>
      <c r="D390" s="113" t="s">
        <v>218</v>
      </c>
      <c r="E390" s="115" t="s">
        <v>141</v>
      </c>
      <c r="F390" s="113" t="s">
        <v>142</v>
      </c>
      <c r="G390" s="116">
        <v>23143913</v>
      </c>
      <c r="H390" s="79">
        <v>46177</v>
      </c>
      <c r="I390" s="114" t="s">
        <v>79</v>
      </c>
      <c r="J390" s="117" t="s">
        <v>1556</v>
      </c>
      <c r="K390" s="118">
        <v>46169</v>
      </c>
      <c r="L390" s="114" t="s">
        <v>81</v>
      </c>
      <c r="M390" s="119">
        <v>46171</v>
      </c>
      <c r="N390" s="128">
        <v>46171</v>
      </c>
      <c r="O390" s="120">
        <f>NETWORKDAYS.INTL(K390,N390,1,$AM$2:$AM$10)-1</f>
        <v>2</v>
      </c>
      <c r="P390" s="114" t="s">
        <v>81</v>
      </c>
      <c r="Q390" s="114" t="s">
        <v>79</v>
      </c>
      <c r="R390" s="115"/>
      <c r="S390" s="145">
        <v>452</v>
      </c>
      <c r="T390" s="148" t="s">
        <v>1557</v>
      </c>
      <c r="U390" s="147">
        <v>18</v>
      </c>
      <c r="V390" s="121">
        <v>17</v>
      </c>
      <c r="W390" s="121">
        <v>6750</v>
      </c>
      <c r="X390" s="114" t="s">
        <v>113</v>
      </c>
      <c r="Y390" s="115" t="s">
        <v>85</v>
      </c>
      <c r="Z390" s="115" t="s">
        <v>1558</v>
      </c>
      <c r="AA390" s="113" t="s">
        <v>87</v>
      </c>
      <c r="AB390" s="122">
        <v>2429.63</v>
      </c>
      <c r="AC390" s="122">
        <f>IF(C390="DENALI", AB390*0.495, IF(C390="SCHNEIDER ELECTRIC", AB390*1.136, IF(C390="WWT", AB390*1.2, AC390)))+AB390</f>
        <v>3632.2968500000002</v>
      </c>
      <c r="AD390" s="129">
        <f>AC390-AB390</f>
        <v>1202.6668500000001</v>
      </c>
      <c r="AE390" s="122">
        <v>108677.66</v>
      </c>
      <c r="AF390" s="130">
        <f>AB390/U390</f>
        <v>134.97944444444445</v>
      </c>
      <c r="AG390" s="130">
        <f>AB390/V390</f>
        <v>142.9194117647059</v>
      </c>
      <c r="AH390" s="123">
        <f>AB390/S390</f>
        <v>5.3752876106194689</v>
      </c>
      <c r="AI390" s="124" t="s">
        <v>155</v>
      </c>
      <c r="AJ390" s="125" t="s">
        <v>89</v>
      </c>
      <c r="AK390"/>
      <c r="AM390" s="80"/>
    </row>
    <row r="391" spans="1:39" ht="28.5" customHeight="1">
      <c r="A391" s="113" t="s">
        <v>73</v>
      </c>
      <c r="B391" s="114" t="s">
        <v>74</v>
      </c>
      <c r="C391" s="113" t="s">
        <v>36</v>
      </c>
      <c r="D391" s="113" t="s">
        <v>75</v>
      </c>
      <c r="E391" s="115" t="s">
        <v>1559</v>
      </c>
      <c r="F391" s="113" t="s">
        <v>365</v>
      </c>
      <c r="G391" s="116" t="s">
        <v>1560</v>
      </c>
      <c r="H391" s="79">
        <v>46178</v>
      </c>
      <c r="I391" s="114" t="s">
        <v>79</v>
      </c>
      <c r="J391" s="117" t="s">
        <v>1561</v>
      </c>
      <c r="K391" s="118">
        <v>46170</v>
      </c>
      <c r="L391" s="114" t="s">
        <v>81</v>
      </c>
      <c r="M391" s="119">
        <v>46171</v>
      </c>
      <c r="N391" s="128">
        <v>46171</v>
      </c>
      <c r="O391" s="120">
        <f>NETWORKDAYS.INTL(K391,N391,1,$AM$2:$AM$10)-1</f>
        <v>1</v>
      </c>
      <c r="P391" s="114" t="s">
        <v>81</v>
      </c>
      <c r="Q391" s="114" t="s">
        <v>79</v>
      </c>
      <c r="R391" s="115"/>
      <c r="S391" s="145">
        <v>261</v>
      </c>
      <c r="T391" s="148" t="s">
        <v>1562</v>
      </c>
      <c r="U391" s="147">
        <v>1</v>
      </c>
      <c r="V391" s="121">
        <v>10</v>
      </c>
      <c r="W391" s="121">
        <v>810</v>
      </c>
      <c r="X391" s="114" t="s">
        <v>84</v>
      </c>
      <c r="Y391" s="115" t="s">
        <v>85</v>
      </c>
      <c r="Z391" s="115" t="s">
        <v>86</v>
      </c>
      <c r="AA391" s="113" t="s">
        <v>87</v>
      </c>
      <c r="AB391" s="122">
        <v>193.4</v>
      </c>
      <c r="AC391" s="122">
        <f>IF(C391="DENALI", AB391*0.495, IF(C391="SCHNEIDER ELECTRIC", AB391*1.136, IF(C391="WWT", AB391*1.2, AC391)))+AB391</f>
        <v>413.10239999999999</v>
      </c>
      <c r="AD391" s="129">
        <f>AC391-AB391</f>
        <v>219.70239999999998</v>
      </c>
      <c r="AE391" s="122">
        <v>4966</v>
      </c>
      <c r="AF391" s="130">
        <f>AB391/U391</f>
        <v>193.4</v>
      </c>
      <c r="AG391" s="130">
        <f>AB391/V391</f>
        <v>19.34</v>
      </c>
      <c r="AH391" s="123">
        <f>AB391/S391</f>
        <v>0.74099616858237549</v>
      </c>
      <c r="AI391" s="124" t="s">
        <v>97</v>
      </c>
      <c r="AJ391" s="125" t="s">
        <v>98</v>
      </c>
      <c r="AK391"/>
      <c r="AM391" s="80"/>
    </row>
    <row r="392" spans="1:39" ht="45.75">
      <c r="A392" s="113" t="s">
        <v>73</v>
      </c>
      <c r="B392" s="114" t="s">
        <v>74</v>
      </c>
      <c r="C392" s="113" t="s">
        <v>35</v>
      </c>
      <c r="D392" s="113" t="s">
        <v>218</v>
      </c>
      <c r="E392" s="115" t="s">
        <v>141</v>
      </c>
      <c r="F392" s="113" t="s">
        <v>142</v>
      </c>
      <c r="G392" s="116" t="s">
        <v>1563</v>
      </c>
      <c r="H392" s="79">
        <v>46178</v>
      </c>
      <c r="I392" s="114" t="s">
        <v>79</v>
      </c>
      <c r="J392" s="117" t="s">
        <v>1564</v>
      </c>
      <c r="K392" s="118">
        <v>46170</v>
      </c>
      <c r="L392" s="114" t="s">
        <v>81</v>
      </c>
      <c r="M392" s="119">
        <v>46171</v>
      </c>
      <c r="N392" s="128">
        <v>46174</v>
      </c>
      <c r="O392" s="120">
        <f>NETWORKDAYS.INTL(K392,N392,1,$AM$2:$AM$10)-1</f>
        <v>2</v>
      </c>
      <c r="P392" s="114" t="s">
        <v>81</v>
      </c>
      <c r="Q392" s="114" t="s">
        <v>79</v>
      </c>
      <c r="R392" s="115"/>
      <c r="S392" s="145">
        <v>441</v>
      </c>
      <c r="T392" s="148" t="s">
        <v>1565</v>
      </c>
      <c r="U392" s="147">
        <v>3</v>
      </c>
      <c r="V392" s="121">
        <v>3</v>
      </c>
      <c r="W392" s="121">
        <v>1125</v>
      </c>
      <c r="X392" s="114" t="s">
        <v>84</v>
      </c>
      <c r="Y392" s="115" t="s">
        <v>85</v>
      </c>
      <c r="Z392" s="115" t="s">
        <v>160</v>
      </c>
      <c r="AA392" s="113" t="s">
        <v>87</v>
      </c>
      <c r="AB392" s="122">
        <v>461.16</v>
      </c>
      <c r="AC392" s="122">
        <f>IF(C392="DENALI", AB392*0.495, IF(C392="SCHNEIDER ELECTRIC", AB392*1.136, IF(C392="WWT", AB392*1.2, AC392)))+AB392</f>
        <v>689.43420000000003</v>
      </c>
      <c r="AD392" s="129">
        <f>AC392-AB392</f>
        <v>228.27420000000001</v>
      </c>
      <c r="AE392" s="122">
        <v>20490.21</v>
      </c>
      <c r="AF392" s="130">
        <f>AB392/U392</f>
        <v>153.72</v>
      </c>
      <c r="AG392" s="130">
        <f>AB392/V392</f>
        <v>153.72</v>
      </c>
      <c r="AH392" s="123">
        <f>AB392/S392</f>
        <v>1.0457142857142858</v>
      </c>
      <c r="AI392" s="124" t="s">
        <v>183</v>
      </c>
      <c r="AJ392" s="125" t="s">
        <v>89</v>
      </c>
      <c r="AK392"/>
      <c r="AM392" s="80"/>
    </row>
    <row r="393" spans="1:39" ht="28.5" customHeight="1">
      <c r="A393" s="113" t="s">
        <v>73</v>
      </c>
      <c r="B393" s="114" t="s">
        <v>74</v>
      </c>
      <c r="C393" s="113" t="s">
        <v>35</v>
      </c>
      <c r="D393" s="113" t="s">
        <v>218</v>
      </c>
      <c r="E393" s="115" t="s">
        <v>1548</v>
      </c>
      <c r="F393" s="113" t="s">
        <v>99</v>
      </c>
      <c r="G393" s="116" t="s">
        <v>1566</v>
      </c>
      <c r="H393" s="79">
        <v>46178</v>
      </c>
      <c r="I393" s="114" t="s">
        <v>79</v>
      </c>
      <c r="J393" s="117" t="s">
        <v>1567</v>
      </c>
      <c r="K393" s="118">
        <v>46170</v>
      </c>
      <c r="L393" s="114" t="s">
        <v>81</v>
      </c>
      <c r="M393" s="119">
        <v>46171</v>
      </c>
      <c r="N393" s="128">
        <v>46176</v>
      </c>
      <c r="O393" s="120">
        <f>NETWORKDAYS.INTL(K393,N393,1,$AM$2:$AM$10)-1</f>
        <v>4</v>
      </c>
      <c r="P393" s="114" t="s">
        <v>81</v>
      </c>
      <c r="Q393" s="114" t="s">
        <v>79</v>
      </c>
      <c r="R393" s="115"/>
      <c r="S393" s="145">
        <v>2087</v>
      </c>
      <c r="T393" s="148" t="s">
        <v>1568</v>
      </c>
      <c r="U393" s="147">
        <v>3</v>
      </c>
      <c r="V393" s="121">
        <v>905</v>
      </c>
      <c r="W393" s="121">
        <v>2035</v>
      </c>
      <c r="X393" s="114" t="s">
        <v>84</v>
      </c>
      <c r="Y393" s="115" t="s">
        <v>85</v>
      </c>
      <c r="Z393" s="115" t="s">
        <v>160</v>
      </c>
      <c r="AA393" s="113" t="s">
        <v>87</v>
      </c>
      <c r="AB393" s="122">
        <v>736.13</v>
      </c>
      <c r="AC393" s="122">
        <f>IF(C393="DENALI", AB393*0.495, IF(C393="SCHNEIDER ELECTRIC", AB393*1.136, IF(C393="WWT", AB393*1.2, AC393)))+AB393</f>
        <v>1100.5143499999999</v>
      </c>
      <c r="AD393" s="129">
        <f>AC393-AB393</f>
        <v>364.38434999999993</v>
      </c>
      <c r="AE393" s="122">
        <v>270361.40000000002</v>
      </c>
      <c r="AF393" s="130">
        <f>AB393/U393</f>
        <v>245.37666666666667</v>
      </c>
      <c r="AG393" s="130">
        <f>AB393/V393</f>
        <v>0.81340331491712703</v>
      </c>
      <c r="AH393" s="123">
        <f>AB393/S393</f>
        <v>0.35272160996645902</v>
      </c>
      <c r="AI393" s="124" t="s">
        <v>1044</v>
      </c>
      <c r="AJ393" s="125" t="s">
        <v>349</v>
      </c>
      <c r="AK393"/>
      <c r="AM393" s="80"/>
    </row>
    <row r="394" spans="1:39" ht="28.5" customHeight="1">
      <c r="A394" s="113" t="s">
        <v>73</v>
      </c>
      <c r="B394" s="114" t="s">
        <v>74</v>
      </c>
      <c r="C394" s="113" t="s">
        <v>35</v>
      </c>
      <c r="D394" s="113" t="s">
        <v>218</v>
      </c>
      <c r="E394" s="115" t="s">
        <v>779</v>
      </c>
      <c r="F394" s="113" t="s">
        <v>254</v>
      </c>
      <c r="G394" s="116" t="s">
        <v>1569</v>
      </c>
      <c r="H394" s="79">
        <v>46178</v>
      </c>
      <c r="I394" s="114" t="s">
        <v>79</v>
      </c>
      <c r="J394" s="117" t="s">
        <v>1570</v>
      </c>
      <c r="K394" s="118">
        <v>46170</v>
      </c>
      <c r="L394" s="114" t="s">
        <v>81</v>
      </c>
      <c r="M394" s="119">
        <v>46174</v>
      </c>
      <c r="N394" s="128">
        <v>46175</v>
      </c>
      <c r="O394" s="120">
        <f>NETWORKDAYS.INTL(K394,N394,1,$AM$2:$AM$10)-1</f>
        <v>3</v>
      </c>
      <c r="P394" s="114" t="s">
        <v>81</v>
      </c>
      <c r="Q394" s="114" t="s">
        <v>79</v>
      </c>
      <c r="R394" s="115"/>
      <c r="S394" s="145">
        <v>634</v>
      </c>
      <c r="T394" s="148" t="s">
        <v>1571</v>
      </c>
      <c r="U394" s="147">
        <v>1</v>
      </c>
      <c r="V394" s="121">
        <v>120</v>
      </c>
      <c r="W394" s="121">
        <v>375</v>
      </c>
      <c r="X394" s="114" t="s">
        <v>84</v>
      </c>
      <c r="Y394" s="115" t="s">
        <v>85</v>
      </c>
      <c r="Z394" s="115" t="s">
        <v>86</v>
      </c>
      <c r="AA394" s="113" t="s">
        <v>87</v>
      </c>
      <c r="AB394" s="122">
        <v>440.61</v>
      </c>
      <c r="AC394" s="122">
        <f>IF(C394="DENALI", AB394*0.495, IF(C394="SCHNEIDER ELECTRIC", AB394*1.136, IF(C394="WWT", AB394*1.2, AC394)))+AB394</f>
        <v>658.71195</v>
      </c>
      <c r="AD394" s="129">
        <f>AC394-AB394</f>
        <v>218.10194999999999</v>
      </c>
      <c r="AE394" s="122">
        <v>13555.47</v>
      </c>
      <c r="AF394" s="130">
        <f>AB394/U394</f>
        <v>440.61</v>
      </c>
      <c r="AG394" s="130">
        <f>AB394/V394</f>
        <v>3.6717500000000003</v>
      </c>
      <c r="AH394" s="123">
        <f>AB394/S394</f>
        <v>0.69496845425867515</v>
      </c>
      <c r="AI394" s="124" t="s">
        <v>147</v>
      </c>
      <c r="AJ394" s="125" t="s">
        <v>343</v>
      </c>
      <c r="AK394"/>
      <c r="AM394" s="80"/>
    </row>
    <row r="395" spans="1:39" ht="28.5" customHeight="1">
      <c r="A395" s="113" t="s">
        <v>73</v>
      </c>
      <c r="B395" s="114" t="s">
        <v>140</v>
      </c>
      <c r="C395" s="113" t="s">
        <v>36</v>
      </c>
      <c r="D395" s="113" t="s">
        <v>75</v>
      </c>
      <c r="E395" s="115" t="s">
        <v>141</v>
      </c>
      <c r="F395" s="113" t="s">
        <v>142</v>
      </c>
      <c r="G395" s="116" t="s">
        <v>1572</v>
      </c>
      <c r="H395" s="79">
        <v>46178</v>
      </c>
      <c r="I395" s="114" t="s">
        <v>79</v>
      </c>
      <c r="J395" s="117" t="s">
        <v>1573</v>
      </c>
      <c r="K395" s="118">
        <v>46170</v>
      </c>
      <c r="L395" s="114" t="s">
        <v>81</v>
      </c>
      <c r="M395" s="119">
        <v>46174</v>
      </c>
      <c r="N395" s="128">
        <v>46177</v>
      </c>
      <c r="O395" s="120">
        <f>NETWORKDAYS.INTL(K395,N395,1,$AM$2:$AM$10)-1</f>
        <v>5</v>
      </c>
      <c r="P395" s="114" t="s">
        <v>81</v>
      </c>
      <c r="Q395" s="114" t="s">
        <v>79</v>
      </c>
      <c r="R395" s="115"/>
      <c r="S395" s="145">
        <v>721</v>
      </c>
      <c r="T395" s="148" t="s">
        <v>1574</v>
      </c>
      <c r="U395" s="147">
        <v>1</v>
      </c>
      <c r="V395" s="121">
        <v>8</v>
      </c>
      <c r="W395" s="121">
        <v>897</v>
      </c>
      <c r="X395" s="114" t="s">
        <v>84</v>
      </c>
      <c r="Y395" s="115" t="s">
        <v>85</v>
      </c>
      <c r="Z395" s="115" t="s">
        <v>86</v>
      </c>
      <c r="AA395" s="113" t="s">
        <v>87</v>
      </c>
      <c r="AB395" s="122">
        <v>261.86</v>
      </c>
      <c r="AC395" s="122">
        <f>IF(C395="DENALI", AB395*0.495, IF(C395="SCHNEIDER ELECTRIC", AB395*1.136, IF(C395="WWT", AB395*1.2, AC395)))+AB395</f>
        <v>559.33295999999996</v>
      </c>
      <c r="AD395" s="129">
        <f>AC395-AB395</f>
        <v>297.47295999999994</v>
      </c>
      <c r="AE395" s="122">
        <v>20064.54</v>
      </c>
      <c r="AF395" s="130">
        <f>AB395/U395</f>
        <v>261.86</v>
      </c>
      <c r="AG395" s="130">
        <f>AB395/V395</f>
        <v>32.732500000000002</v>
      </c>
      <c r="AH395" s="123">
        <f>AB395/S395</f>
        <v>0.36319001386962552</v>
      </c>
      <c r="AI395" s="124" t="s">
        <v>106</v>
      </c>
      <c r="AJ395" s="125" t="s">
        <v>98</v>
      </c>
      <c r="AK395"/>
      <c r="AM395" s="80"/>
    </row>
    <row r="396" spans="1:39" ht="28.5" customHeight="1">
      <c r="A396" s="113" t="s">
        <v>73</v>
      </c>
      <c r="B396" s="114" t="s">
        <v>140</v>
      </c>
      <c r="C396" s="113" t="s">
        <v>36</v>
      </c>
      <c r="D396" s="113" t="s">
        <v>75</v>
      </c>
      <c r="E396" s="115" t="s">
        <v>141</v>
      </c>
      <c r="F396" s="113" t="s">
        <v>142</v>
      </c>
      <c r="G396" s="116" t="s">
        <v>1575</v>
      </c>
      <c r="H396" s="79">
        <v>46178</v>
      </c>
      <c r="I396" s="114" t="s">
        <v>79</v>
      </c>
      <c r="J396" s="117" t="s">
        <v>1576</v>
      </c>
      <c r="K396" s="118">
        <v>46170</v>
      </c>
      <c r="L396" s="114" t="s">
        <v>81</v>
      </c>
      <c r="M396" s="119">
        <v>46174</v>
      </c>
      <c r="N396" s="128">
        <v>46177</v>
      </c>
      <c r="O396" s="120">
        <f>NETWORKDAYS.INTL(K396,N396,1,$AM$2:$AM$10)-1</f>
        <v>5</v>
      </c>
      <c r="P396" s="114" t="s">
        <v>81</v>
      </c>
      <c r="Q396" s="114" t="s">
        <v>79</v>
      </c>
      <c r="R396" s="115"/>
      <c r="S396" s="145">
        <v>721</v>
      </c>
      <c r="T396" s="148" t="s">
        <v>1577</v>
      </c>
      <c r="U396" s="147">
        <v>2</v>
      </c>
      <c r="V396" s="121">
        <v>15</v>
      </c>
      <c r="W396" s="121">
        <v>1010</v>
      </c>
      <c r="X396" s="114" t="s">
        <v>84</v>
      </c>
      <c r="Y396" s="115" t="s">
        <v>85</v>
      </c>
      <c r="Z396" s="115" t="s">
        <v>86</v>
      </c>
      <c r="AA396" s="113" t="s">
        <v>87</v>
      </c>
      <c r="AB396" s="122">
        <v>320.45</v>
      </c>
      <c r="AC396" s="122">
        <f>IF(C396="DENALI", AB396*0.495, IF(C396="SCHNEIDER ELECTRIC", AB396*1.136, IF(C396="WWT", AB396*1.2, AC396)))+AB396</f>
        <v>684.48119999999994</v>
      </c>
      <c r="AD396" s="129">
        <f>AC396-AB396</f>
        <v>364.03119999999996</v>
      </c>
      <c r="AE396" s="122">
        <v>10623.67</v>
      </c>
      <c r="AF396" s="130">
        <f>AB396/U396</f>
        <v>160.22499999999999</v>
      </c>
      <c r="AG396" s="130">
        <f>AB396/V396</f>
        <v>21.363333333333333</v>
      </c>
      <c r="AH396" s="123">
        <f>AB396/S396</f>
        <v>0.44445214979195558</v>
      </c>
      <c r="AI396" s="124" t="s">
        <v>97</v>
      </c>
      <c r="AJ396" s="125" t="s">
        <v>98</v>
      </c>
      <c r="AK396"/>
      <c r="AM396" s="80"/>
    </row>
    <row r="397" spans="1:39" ht="28.5" customHeight="1">
      <c r="A397" s="113" t="s">
        <v>73</v>
      </c>
      <c r="B397" s="114" t="s">
        <v>74</v>
      </c>
      <c r="C397" s="113" t="s">
        <v>35</v>
      </c>
      <c r="D397" s="113" t="s">
        <v>99</v>
      </c>
      <c r="E397" s="115" t="s">
        <v>1578</v>
      </c>
      <c r="F397" s="113" t="s">
        <v>90</v>
      </c>
      <c r="G397" s="116" t="s">
        <v>1579</v>
      </c>
      <c r="H397" s="79">
        <v>46178</v>
      </c>
      <c r="I397" s="114" t="s">
        <v>79</v>
      </c>
      <c r="J397" s="117" t="s">
        <v>1580</v>
      </c>
      <c r="K397" s="118">
        <v>46170</v>
      </c>
      <c r="L397" s="114" t="s">
        <v>81</v>
      </c>
      <c r="M397" s="119">
        <v>46174</v>
      </c>
      <c r="N397" s="128">
        <v>46183</v>
      </c>
      <c r="O397" s="120">
        <f>NETWORKDAYS.INTL(K397,N397,1,$AM$2:$AM$10)-1</f>
        <v>9</v>
      </c>
      <c r="P397" s="114" t="s">
        <v>81</v>
      </c>
      <c r="Q397" s="114" t="s">
        <v>79</v>
      </c>
      <c r="R397" s="115" t="s">
        <v>1581</v>
      </c>
      <c r="S397" s="145">
        <v>819</v>
      </c>
      <c r="T397" s="148" t="s">
        <v>1582</v>
      </c>
      <c r="U397" s="147">
        <v>1</v>
      </c>
      <c r="V397" s="121">
        <v>2</v>
      </c>
      <c r="W397" s="121">
        <v>320</v>
      </c>
      <c r="X397" s="114" t="s">
        <v>84</v>
      </c>
      <c r="Y397" s="115" t="s">
        <v>85</v>
      </c>
      <c r="Z397" s="115" t="s">
        <v>86</v>
      </c>
      <c r="AA397" s="113" t="s">
        <v>87</v>
      </c>
      <c r="AB397" s="122">
        <v>254.1</v>
      </c>
      <c r="AC397" s="122">
        <f>IF(C397="DENALI", AB397*0.495, IF(C397="SCHNEIDER ELECTRIC", AB397*1.136, IF(C397="WWT", AB397*1.2, AC397)))+AB397</f>
        <v>379.87950000000001</v>
      </c>
      <c r="AD397" s="129">
        <f>AC397-AB397</f>
        <v>125.77950000000001</v>
      </c>
      <c r="AE397" s="122">
        <v>8422.7199999999993</v>
      </c>
      <c r="AF397" s="130">
        <f>AB397/U397</f>
        <v>254.1</v>
      </c>
      <c r="AG397" s="130">
        <f>AB397/V397</f>
        <v>127.05</v>
      </c>
      <c r="AH397" s="123">
        <f>AB397/S397</f>
        <v>0.31025641025641026</v>
      </c>
      <c r="AI397" s="124" t="s">
        <v>1153</v>
      </c>
      <c r="AJ397" s="125" t="s">
        <v>349</v>
      </c>
      <c r="AK397"/>
      <c r="AM397" s="80"/>
    </row>
    <row r="398" spans="1:39" ht="28.5" customHeight="1">
      <c r="A398" s="113" t="s">
        <v>73</v>
      </c>
      <c r="B398" s="114" t="s">
        <v>74</v>
      </c>
      <c r="C398" s="113" t="s">
        <v>36</v>
      </c>
      <c r="D398" s="113" t="s">
        <v>90</v>
      </c>
      <c r="E398" s="115" t="s">
        <v>1015</v>
      </c>
      <c r="F398" s="113" t="s">
        <v>150</v>
      </c>
      <c r="G398" s="116" t="s">
        <v>1583</v>
      </c>
      <c r="H398" s="79">
        <v>46178</v>
      </c>
      <c r="I398" s="114" t="s">
        <v>79</v>
      </c>
      <c r="J398" s="117" t="s">
        <v>1584</v>
      </c>
      <c r="K398" s="118">
        <v>46170</v>
      </c>
      <c r="L398" s="114" t="s">
        <v>79</v>
      </c>
      <c r="M398" s="119">
        <v>46174</v>
      </c>
      <c r="N398" s="128">
        <v>46178</v>
      </c>
      <c r="O398" s="120">
        <f>NETWORKDAYS.INTL(K398,N398,1,$AM$2:$AM$10)-1</f>
        <v>6</v>
      </c>
      <c r="P398" s="114" t="s">
        <v>81</v>
      </c>
      <c r="Q398" s="114" t="s">
        <v>79</v>
      </c>
      <c r="R398" s="115"/>
      <c r="S398" s="145">
        <v>1009</v>
      </c>
      <c r="T398" s="148" t="s">
        <v>1585</v>
      </c>
      <c r="U398" s="147">
        <v>1</v>
      </c>
      <c r="V398" s="121">
        <v>4</v>
      </c>
      <c r="W398" s="121">
        <v>195</v>
      </c>
      <c r="X398" s="114" t="s">
        <v>84</v>
      </c>
      <c r="Y398" s="115" t="s">
        <v>85</v>
      </c>
      <c r="Z398" s="115" t="s">
        <v>86</v>
      </c>
      <c r="AA398" s="113" t="s">
        <v>87</v>
      </c>
      <c r="AB398" s="122">
        <v>385.56</v>
      </c>
      <c r="AC398" s="122">
        <f>IF(C398="DENALI", AB398*0.495, IF(C398="SCHNEIDER ELECTRIC", AB398*1.136, IF(C398="WWT", AB398*1.2, AC398)))+AB398</f>
        <v>823.55615999999998</v>
      </c>
      <c r="AD398" s="129">
        <f>AC398-AB398</f>
        <v>437.99615999999997</v>
      </c>
      <c r="AE398" s="122">
        <v>2066.92</v>
      </c>
      <c r="AF398" s="130">
        <f>AB398/U398</f>
        <v>385.56</v>
      </c>
      <c r="AG398" s="130">
        <f>AB398/V398</f>
        <v>96.39</v>
      </c>
      <c r="AH398" s="123">
        <f>AB398/S398</f>
        <v>0.38212091179385532</v>
      </c>
      <c r="AI398" s="124" t="s">
        <v>97</v>
      </c>
      <c r="AJ398" s="125" t="s">
        <v>98</v>
      </c>
      <c r="AK398"/>
      <c r="AM398" s="80"/>
    </row>
    <row r="399" spans="1:39" ht="28.5" customHeight="1">
      <c r="A399" s="113" t="s">
        <v>73</v>
      </c>
      <c r="B399" s="114" t="s">
        <v>74</v>
      </c>
      <c r="C399" s="113" t="s">
        <v>36</v>
      </c>
      <c r="D399" s="113" t="s">
        <v>90</v>
      </c>
      <c r="E399" s="115" t="s">
        <v>248</v>
      </c>
      <c r="F399" s="113" t="s">
        <v>189</v>
      </c>
      <c r="G399" s="116" t="s">
        <v>1586</v>
      </c>
      <c r="H399" s="79">
        <v>46178</v>
      </c>
      <c r="I399" s="114" t="s">
        <v>79</v>
      </c>
      <c r="J399" s="117" t="s">
        <v>1587</v>
      </c>
      <c r="K399" s="118">
        <v>46170</v>
      </c>
      <c r="L399" s="114" t="s">
        <v>79</v>
      </c>
      <c r="M399" s="119">
        <v>46174</v>
      </c>
      <c r="N399" s="128">
        <v>46181</v>
      </c>
      <c r="O399" s="120">
        <f>NETWORKDAYS.INTL(K399,N399,1,$AM$2:$AM$10)-1</f>
        <v>7</v>
      </c>
      <c r="P399" s="114" t="s">
        <v>81</v>
      </c>
      <c r="Q399" s="114" t="s">
        <v>79</v>
      </c>
      <c r="R399" s="115"/>
      <c r="S399" s="145">
        <v>749.4</v>
      </c>
      <c r="T399" s="148" t="s">
        <v>1588</v>
      </c>
      <c r="U399" s="147">
        <v>1</v>
      </c>
      <c r="V399" s="121">
        <v>4</v>
      </c>
      <c r="W399" s="121">
        <v>195</v>
      </c>
      <c r="X399" s="114" t="s">
        <v>84</v>
      </c>
      <c r="Y399" s="115" t="s">
        <v>85</v>
      </c>
      <c r="Z399" s="115" t="s">
        <v>1589</v>
      </c>
      <c r="AA399" s="113" t="s">
        <v>87</v>
      </c>
      <c r="AB399" s="122">
        <v>309.76</v>
      </c>
      <c r="AC399" s="122">
        <f>IF(C399="DENALI", AB399*0.495, IF(C399="SCHNEIDER ELECTRIC", AB399*1.136, IF(C399="WWT", AB399*1.2, AC399)))+AB399</f>
        <v>661.64735999999994</v>
      </c>
      <c r="AD399" s="129">
        <f>AC399-AB399</f>
        <v>351.88735999999994</v>
      </c>
      <c r="AE399" s="122">
        <v>12415</v>
      </c>
      <c r="AF399" s="130">
        <f>AB399/U399</f>
        <v>309.76</v>
      </c>
      <c r="AG399" s="130">
        <f>AB399/V399</f>
        <v>77.44</v>
      </c>
      <c r="AH399" s="123">
        <f>AB399/S399</f>
        <v>0.41334400854016545</v>
      </c>
      <c r="AI399" s="124" t="s">
        <v>147</v>
      </c>
      <c r="AJ399" s="125" t="s">
        <v>98</v>
      </c>
      <c r="AK399"/>
      <c r="AM399" s="80"/>
    </row>
    <row r="400" spans="1:39" ht="28.5" customHeight="1">
      <c r="A400" s="113" t="s">
        <v>73</v>
      </c>
      <c r="B400" s="114" t="s">
        <v>74</v>
      </c>
      <c r="C400" s="113" t="s">
        <v>35</v>
      </c>
      <c r="D400" s="113" t="s">
        <v>218</v>
      </c>
      <c r="E400" s="115" t="s">
        <v>1590</v>
      </c>
      <c r="F400" s="113" t="s">
        <v>396</v>
      </c>
      <c r="G400" s="116" t="s">
        <v>1591</v>
      </c>
      <c r="H400" s="79">
        <v>46182</v>
      </c>
      <c r="I400" s="114" t="s">
        <v>79</v>
      </c>
      <c r="J400" s="117" t="s">
        <v>1592</v>
      </c>
      <c r="K400" s="118">
        <v>46171</v>
      </c>
      <c r="L400" s="114" t="s">
        <v>79</v>
      </c>
      <c r="M400" s="119">
        <v>46174</v>
      </c>
      <c r="N400" s="128">
        <v>46178</v>
      </c>
      <c r="O400" s="120">
        <f>NETWORKDAYS.INTL(K400,N400,1,$AM$2:$AM$10)-1</f>
        <v>5</v>
      </c>
      <c r="P400" s="114" t="s">
        <v>81</v>
      </c>
      <c r="Q400" s="114" t="s">
        <v>79</v>
      </c>
      <c r="R400" s="115"/>
      <c r="S400" s="145">
        <v>628.70000000000005</v>
      </c>
      <c r="T400" s="148" t="s">
        <v>1593</v>
      </c>
      <c r="U400" s="147">
        <v>1</v>
      </c>
      <c r="V400" s="121">
        <v>284</v>
      </c>
      <c r="W400" s="121">
        <v>676</v>
      </c>
      <c r="X400" s="114" t="s">
        <v>84</v>
      </c>
      <c r="Y400" s="115" t="s">
        <v>85</v>
      </c>
      <c r="Z400" s="115" t="s">
        <v>1540</v>
      </c>
      <c r="AA400" s="113" t="s">
        <v>87</v>
      </c>
      <c r="AB400" s="122">
        <v>213.05</v>
      </c>
      <c r="AC400" s="122">
        <f>IF(C400="DENALI", AB400*0.495, IF(C400="SCHNEIDER ELECTRIC", AB400*1.136, IF(C400="WWT", AB400*1.2, AC400)))+AB400</f>
        <v>318.50975</v>
      </c>
      <c r="AD400" s="129">
        <f>AC400-AB400</f>
        <v>105.45974999999999</v>
      </c>
      <c r="AE400" s="122">
        <v>77676.259999999995</v>
      </c>
      <c r="AF400" s="130">
        <f>AB400/U400</f>
        <v>213.05</v>
      </c>
      <c r="AG400" s="130">
        <f>AB400/V400</f>
        <v>0.7501760563380282</v>
      </c>
      <c r="AH400" s="123">
        <f>AB400/S400</f>
        <v>0.33887386670908221</v>
      </c>
      <c r="AI400" s="124" t="s">
        <v>1044</v>
      </c>
      <c r="AJ400" s="125" t="s">
        <v>349</v>
      </c>
      <c r="AK400"/>
      <c r="AM400" s="80"/>
    </row>
    <row r="401" spans="1:39" ht="28.5" customHeight="1">
      <c r="A401" s="113" t="s">
        <v>73</v>
      </c>
      <c r="B401" s="114" t="s">
        <v>74</v>
      </c>
      <c r="C401" s="113" t="s">
        <v>35</v>
      </c>
      <c r="D401" s="113" t="s">
        <v>218</v>
      </c>
      <c r="E401" s="115" t="s">
        <v>141</v>
      </c>
      <c r="F401" s="113" t="s">
        <v>142</v>
      </c>
      <c r="G401" s="116" t="s">
        <v>1594</v>
      </c>
      <c r="H401" s="79">
        <v>46182</v>
      </c>
      <c r="I401" s="114" t="s">
        <v>79</v>
      </c>
      <c r="J401" s="117" t="s">
        <v>1595</v>
      </c>
      <c r="K401" s="118">
        <v>46171</v>
      </c>
      <c r="L401" s="114" t="s">
        <v>81</v>
      </c>
      <c r="M401" s="119">
        <v>46174</v>
      </c>
      <c r="N401" s="128">
        <v>46175</v>
      </c>
      <c r="O401" s="120">
        <f>NETWORKDAYS.INTL(K401,N401,1,$AM$2:$AM$10)-1</f>
        <v>2</v>
      </c>
      <c r="P401" s="114" t="s">
        <v>81</v>
      </c>
      <c r="Q401" s="114" t="s">
        <v>79</v>
      </c>
      <c r="R401" s="115"/>
      <c r="S401" s="145">
        <v>441</v>
      </c>
      <c r="T401" s="148" t="s">
        <v>1596</v>
      </c>
      <c r="U401" s="147">
        <v>1</v>
      </c>
      <c r="V401" s="121">
        <v>48</v>
      </c>
      <c r="W401" s="121">
        <v>715</v>
      </c>
      <c r="X401" s="114" t="s">
        <v>84</v>
      </c>
      <c r="Y401" s="115" t="s">
        <v>85</v>
      </c>
      <c r="Z401" s="115" t="s">
        <v>1208</v>
      </c>
      <c r="AA401" s="113" t="s">
        <v>87</v>
      </c>
      <c r="AB401" s="122">
        <v>259.32</v>
      </c>
      <c r="AC401" s="122">
        <f>IF(C401="DENALI", AB401*0.495, IF(C401="SCHNEIDER ELECTRIC", AB401*1.136, IF(C401="WWT", AB401*1.2, AC401)))+AB401</f>
        <v>387.68340000000001</v>
      </c>
      <c r="AD401" s="129">
        <f>AC401-AB401</f>
        <v>128.36340000000001</v>
      </c>
      <c r="AE401" s="122">
        <v>53173.68</v>
      </c>
      <c r="AF401" s="130">
        <f>AB401/U401</f>
        <v>259.32</v>
      </c>
      <c r="AG401" s="130">
        <f>AB401/V401</f>
        <v>5.4024999999999999</v>
      </c>
      <c r="AH401" s="123">
        <f>AB401/S401</f>
        <v>0.58802721088435372</v>
      </c>
      <c r="AI401" s="124" t="s">
        <v>97</v>
      </c>
      <c r="AJ401" s="125" t="s">
        <v>349</v>
      </c>
      <c r="AK401"/>
      <c r="AM401" s="80"/>
    </row>
    <row r="402" spans="1:39" ht="28.5" customHeight="1">
      <c r="A402" s="113" t="s">
        <v>73</v>
      </c>
      <c r="B402" s="114" t="s">
        <v>74</v>
      </c>
      <c r="C402" s="113" t="s">
        <v>35</v>
      </c>
      <c r="D402" s="113" t="s">
        <v>218</v>
      </c>
      <c r="E402" s="115" t="s">
        <v>1368</v>
      </c>
      <c r="F402" s="113" t="s">
        <v>90</v>
      </c>
      <c r="G402" s="116" t="s">
        <v>1597</v>
      </c>
      <c r="H402" s="79">
        <v>46182</v>
      </c>
      <c r="I402" s="114" t="s">
        <v>79</v>
      </c>
      <c r="J402" s="117" t="s">
        <v>1598</v>
      </c>
      <c r="K402" s="118">
        <v>46171</v>
      </c>
      <c r="L402" s="114" t="s">
        <v>81</v>
      </c>
      <c r="M402" s="119">
        <v>46177</v>
      </c>
      <c r="N402" s="128">
        <v>46178</v>
      </c>
      <c r="O402" s="120">
        <f>NETWORKDAYS.INTL(K402,N402,1,$AM$2:$AM$10)-1</f>
        <v>5</v>
      </c>
      <c r="P402" s="114" t="s">
        <v>81</v>
      </c>
      <c r="Q402" s="114" t="s">
        <v>79</v>
      </c>
      <c r="R402" s="115"/>
      <c r="S402" s="145">
        <v>2245</v>
      </c>
      <c r="T402" s="148" t="s">
        <v>1371</v>
      </c>
      <c r="U402" s="147">
        <v>2</v>
      </c>
      <c r="V402" s="121">
        <v>99</v>
      </c>
      <c r="W402" s="121">
        <v>985</v>
      </c>
      <c r="X402" s="114" t="s">
        <v>84</v>
      </c>
      <c r="Y402" s="115" t="s">
        <v>85</v>
      </c>
      <c r="Z402" s="115" t="s">
        <v>86</v>
      </c>
      <c r="AA402" s="113" t="s">
        <v>87</v>
      </c>
      <c r="AB402" s="122">
        <v>456.59</v>
      </c>
      <c r="AC402" s="122">
        <f>IF(C402="DENALI", AB402*0.495, IF(C402="SCHNEIDER ELECTRIC", AB402*1.136, IF(C402="WWT", AB402*1.2, AC402)))+AB402</f>
        <v>682.60204999999996</v>
      </c>
      <c r="AD402" s="129">
        <f>AC402-AB402</f>
        <v>226.01204999999999</v>
      </c>
      <c r="AE402" s="122">
        <v>114441.03</v>
      </c>
      <c r="AF402" s="130">
        <f>AB402/U402</f>
        <v>228.29499999999999</v>
      </c>
      <c r="AG402" s="130">
        <f>AB402/V402</f>
        <v>4.6120202020202017</v>
      </c>
      <c r="AH402" s="123">
        <f>AB402/S402</f>
        <v>0.20338084632516704</v>
      </c>
      <c r="AI402" s="124" t="s">
        <v>1044</v>
      </c>
      <c r="AJ402" s="125" t="s">
        <v>349</v>
      </c>
      <c r="AK402"/>
      <c r="AM402" s="80"/>
    </row>
    <row r="403" spans="1:39" ht="28.5" customHeight="1">
      <c r="A403" s="113" t="s">
        <v>73</v>
      </c>
      <c r="B403" s="114" t="s">
        <v>74</v>
      </c>
      <c r="C403" s="113" t="s">
        <v>35</v>
      </c>
      <c r="D403" s="113" t="s">
        <v>218</v>
      </c>
      <c r="E403" s="115" t="s">
        <v>1599</v>
      </c>
      <c r="F403" s="113" t="s">
        <v>90</v>
      </c>
      <c r="G403" s="116">
        <v>23173520</v>
      </c>
      <c r="H403" s="79">
        <v>46182</v>
      </c>
      <c r="I403" s="114" t="s">
        <v>79</v>
      </c>
      <c r="J403" s="117" t="s">
        <v>1600</v>
      </c>
      <c r="K403" s="118">
        <v>46174</v>
      </c>
      <c r="L403" s="114" t="s">
        <v>81</v>
      </c>
      <c r="M403" s="119">
        <v>46180</v>
      </c>
      <c r="N403" s="128">
        <v>46178</v>
      </c>
      <c r="O403" s="120">
        <f>NETWORKDAYS.INTL(K403,N403,1,$AM$2:$AM$10)-1</f>
        <v>4</v>
      </c>
      <c r="P403" s="114" t="s">
        <v>81</v>
      </c>
      <c r="Q403" s="114" t="s">
        <v>79</v>
      </c>
      <c r="R403" s="115"/>
      <c r="S403" s="145">
        <v>2362</v>
      </c>
      <c r="T403" s="148" t="s">
        <v>900</v>
      </c>
      <c r="U403" s="147">
        <v>8</v>
      </c>
      <c r="V403" s="121">
        <v>1844</v>
      </c>
      <c r="W403" s="121">
        <v>5085</v>
      </c>
      <c r="X403" s="114" t="s">
        <v>113</v>
      </c>
      <c r="Y403" s="115" t="s">
        <v>85</v>
      </c>
      <c r="Z403" s="115" t="s">
        <v>1601</v>
      </c>
      <c r="AA403" s="113" t="s">
        <v>87</v>
      </c>
      <c r="AB403" s="122">
        <v>5716.68</v>
      </c>
      <c r="AC403" s="122">
        <f>IF(C403="DENALI", AB403*0.495, IF(C403="SCHNEIDER ELECTRIC", AB403*1.136, IF(C403="WWT", AB403*1.2, AC403)))+AB403</f>
        <v>8546.4366000000009</v>
      </c>
      <c r="AD403" s="129">
        <f>AC403-AB403</f>
        <v>2829.7566000000006</v>
      </c>
      <c r="AE403" s="122">
        <v>442109.08</v>
      </c>
      <c r="AF403" s="130">
        <f>AB403/U403</f>
        <v>714.58500000000004</v>
      </c>
      <c r="AG403" s="130">
        <f>AB403/V403</f>
        <v>3.1001518438177875</v>
      </c>
      <c r="AH403" s="123">
        <f>AB403/S403</f>
        <v>2.4202709568162577</v>
      </c>
      <c r="AI403" s="124" t="s">
        <v>97</v>
      </c>
      <c r="AJ403" s="125" t="s">
        <v>349</v>
      </c>
      <c r="AK403"/>
      <c r="AM403" s="80"/>
    </row>
    <row r="404" spans="1:39" ht="28.5" customHeight="1">
      <c r="A404" s="113" t="s">
        <v>73</v>
      </c>
      <c r="B404" s="114" t="s">
        <v>74</v>
      </c>
      <c r="C404" s="113" t="s">
        <v>36</v>
      </c>
      <c r="D404" s="113" t="s">
        <v>90</v>
      </c>
      <c r="E404" s="115" t="s">
        <v>1602</v>
      </c>
      <c r="F404" s="113" t="s">
        <v>189</v>
      </c>
      <c r="G404" s="116" t="s">
        <v>1603</v>
      </c>
      <c r="H404" s="79">
        <v>46182</v>
      </c>
      <c r="I404" s="114" t="s">
        <v>79</v>
      </c>
      <c r="J404" s="117" t="s">
        <v>1604</v>
      </c>
      <c r="K404" s="118">
        <v>46174</v>
      </c>
      <c r="L404" s="114" t="s">
        <v>81</v>
      </c>
      <c r="M404" s="119">
        <v>46180</v>
      </c>
      <c r="N404" s="128">
        <v>46175</v>
      </c>
      <c r="O404" s="120">
        <f>NETWORKDAYS.INTL(K404,N404,1,$AM$2:$AM$10)-1</f>
        <v>1</v>
      </c>
      <c r="P404" s="114" t="s">
        <v>81</v>
      </c>
      <c r="Q404" s="114" t="s">
        <v>79</v>
      </c>
      <c r="R404" s="115"/>
      <c r="S404" s="145">
        <v>630.4</v>
      </c>
      <c r="T404" s="148" t="s">
        <v>1588</v>
      </c>
      <c r="U404" s="147">
        <v>1</v>
      </c>
      <c r="V404" s="121">
        <v>10</v>
      </c>
      <c r="W404" s="121">
        <v>810</v>
      </c>
      <c r="X404" s="114" t="s">
        <v>84</v>
      </c>
      <c r="Y404" s="115" t="s">
        <v>85</v>
      </c>
      <c r="Z404" s="115" t="s">
        <v>86</v>
      </c>
      <c r="AA404" s="113" t="s">
        <v>87</v>
      </c>
      <c r="AB404" s="122">
        <v>547.45000000000005</v>
      </c>
      <c r="AC404" s="122">
        <f>IF(C404="DENALI", AB404*0.495, IF(C404="SCHNEIDER ELECTRIC", AB404*1.136, IF(C404="WWT", AB404*1.2, AC404)))+AB404</f>
        <v>1169.3532</v>
      </c>
      <c r="AD404" s="129">
        <f>AC404-AB404</f>
        <v>621.90319999999997</v>
      </c>
      <c r="AE404" s="122">
        <v>24830</v>
      </c>
      <c r="AF404" s="130">
        <f>AB404/U404</f>
        <v>547.45000000000005</v>
      </c>
      <c r="AG404" s="130">
        <f>AB404/V404</f>
        <v>54.745000000000005</v>
      </c>
      <c r="AH404" s="123">
        <f>AB404/S404</f>
        <v>0.86841687817258895</v>
      </c>
      <c r="AI404" s="124" t="s">
        <v>147</v>
      </c>
      <c r="AJ404" s="125" t="s">
        <v>343</v>
      </c>
      <c r="AK404"/>
      <c r="AM404" s="80"/>
    </row>
    <row r="405" spans="1:39" ht="28.5" customHeight="1">
      <c r="A405" s="113" t="s">
        <v>73</v>
      </c>
      <c r="B405" s="114" t="s">
        <v>140</v>
      </c>
      <c r="C405" s="113" t="s">
        <v>35</v>
      </c>
      <c r="D405" s="113" t="s">
        <v>218</v>
      </c>
      <c r="E405" s="115" t="s">
        <v>141</v>
      </c>
      <c r="F405" s="113" t="s">
        <v>142</v>
      </c>
      <c r="G405" s="116" t="s">
        <v>1605</v>
      </c>
      <c r="H405" s="79">
        <v>46182</v>
      </c>
      <c r="I405" s="114" t="s">
        <v>79</v>
      </c>
      <c r="J405" s="117" t="s">
        <v>1606</v>
      </c>
      <c r="K405" s="118">
        <v>46174</v>
      </c>
      <c r="L405" s="114" t="s">
        <v>81</v>
      </c>
      <c r="M405" s="119">
        <v>46176</v>
      </c>
      <c r="N405" s="128">
        <v>46177</v>
      </c>
      <c r="O405" s="120">
        <f>NETWORKDAYS.INTL(K405,N405,1,$AM$2:$AM$10)-1</f>
        <v>3</v>
      </c>
      <c r="P405" s="114" t="s">
        <v>81</v>
      </c>
      <c r="Q405" s="114" t="s">
        <v>79</v>
      </c>
      <c r="R405" s="115"/>
      <c r="S405" s="145">
        <v>441</v>
      </c>
      <c r="T405" s="148" t="s">
        <v>722</v>
      </c>
      <c r="U405" s="147">
        <v>1</v>
      </c>
      <c r="V405" s="121">
        <v>100000</v>
      </c>
      <c r="W405" s="121">
        <v>1350</v>
      </c>
      <c r="X405" s="114" t="s">
        <v>84</v>
      </c>
      <c r="Y405" s="115" t="s">
        <v>85</v>
      </c>
      <c r="Z405" s="115" t="s">
        <v>86</v>
      </c>
      <c r="AA405" s="113" t="s">
        <v>87</v>
      </c>
      <c r="AB405" s="122">
        <v>257.38</v>
      </c>
      <c r="AC405" s="122">
        <f>IF(C405="DENALI", AB405*0.495, IF(C405="SCHNEIDER ELECTRIC", AB405*1.136, IF(C405="WWT", AB405*1.2, AC405)))+AB405</f>
        <v>384.78309999999999</v>
      </c>
      <c r="AD405" s="129">
        <f>AC405-AB405</f>
        <v>127.40309999999999</v>
      </c>
      <c r="AE405" s="122">
        <v>205279</v>
      </c>
      <c r="AF405" s="130">
        <f>AB405/U405</f>
        <v>257.38</v>
      </c>
      <c r="AG405" s="130">
        <f>AB405/V405</f>
        <v>2.5737999999999998E-3</v>
      </c>
      <c r="AH405" s="123">
        <f>AB405/S405</f>
        <v>0.58362811791383218</v>
      </c>
      <c r="AI405" s="124" t="s">
        <v>97</v>
      </c>
      <c r="AJ405" s="125" t="s">
        <v>349</v>
      </c>
      <c r="AK405"/>
      <c r="AM405" s="80"/>
    </row>
    <row r="406" spans="1:39" ht="28.5" customHeight="1">
      <c r="A406" s="113" t="s">
        <v>73</v>
      </c>
      <c r="B406" s="114" t="s">
        <v>74</v>
      </c>
      <c r="C406" s="113" t="s">
        <v>35</v>
      </c>
      <c r="D406" s="113" t="s">
        <v>218</v>
      </c>
      <c r="E406" s="115" t="s">
        <v>832</v>
      </c>
      <c r="F406" s="113" t="s">
        <v>833</v>
      </c>
      <c r="G406" s="116" t="s">
        <v>1607</v>
      </c>
      <c r="H406" s="79">
        <v>46182</v>
      </c>
      <c r="I406" s="114" t="s">
        <v>79</v>
      </c>
      <c r="J406" s="117" t="s">
        <v>1608</v>
      </c>
      <c r="K406" s="118">
        <v>46174</v>
      </c>
      <c r="L406" s="114" t="s">
        <v>81</v>
      </c>
      <c r="M406" s="119">
        <v>46176</v>
      </c>
      <c r="N406" s="128">
        <v>46176</v>
      </c>
      <c r="O406" s="120">
        <f>NETWORKDAYS.INTL(K406,N406,1,$AM$2:$AM$10)-1</f>
        <v>2</v>
      </c>
      <c r="P406" s="114" t="s">
        <v>81</v>
      </c>
      <c r="Q406" s="114" t="s">
        <v>79</v>
      </c>
      <c r="R406" s="115"/>
      <c r="S406" s="145">
        <v>733</v>
      </c>
      <c r="T406" s="148" t="s">
        <v>1609</v>
      </c>
      <c r="U406" s="147">
        <v>1</v>
      </c>
      <c r="V406" s="121">
        <v>120</v>
      </c>
      <c r="W406" s="121">
        <v>375</v>
      </c>
      <c r="X406" s="114" t="s">
        <v>84</v>
      </c>
      <c r="Y406" s="115" t="s">
        <v>85</v>
      </c>
      <c r="Z406" s="115" t="s">
        <v>160</v>
      </c>
      <c r="AA406" s="113" t="s">
        <v>87</v>
      </c>
      <c r="AB406" s="122">
        <v>524.88</v>
      </c>
      <c r="AC406" s="122">
        <f>IF(C406="DENALI", AB406*0.495, IF(C406="SCHNEIDER ELECTRIC", AB406*1.136, IF(C406="WWT", AB406*1.2, AC406)))+AB406</f>
        <v>784.69560000000001</v>
      </c>
      <c r="AD406" s="129">
        <f>AC406-AB406</f>
        <v>259.81560000000002</v>
      </c>
      <c r="AE406" s="122">
        <v>13891.31</v>
      </c>
      <c r="AF406" s="130">
        <f>AB406/U406</f>
        <v>524.88</v>
      </c>
      <c r="AG406" s="130">
        <f>AB406/V406</f>
        <v>4.3739999999999997</v>
      </c>
      <c r="AH406" s="123">
        <f>AB406/S406</f>
        <v>0.71607094133697136</v>
      </c>
      <c r="AI406" s="124" t="s">
        <v>97</v>
      </c>
      <c r="AJ406" s="125" t="s">
        <v>349</v>
      </c>
      <c r="AK406"/>
      <c r="AM406" s="80"/>
    </row>
    <row r="407" spans="1:39" ht="28.5" customHeight="1">
      <c r="A407" s="113" t="s">
        <v>73</v>
      </c>
      <c r="B407" s="114" t="s">
        <v>74</v>
      </c>
      <c r="C407" s="113" t="s">
        <v>35</v>
      </c>
      <c r="D407" s="113" t="s">
        <v>218</v>
      </c>
      <c r="E407" s="115" t="s">
        <v>1610</v>
      </c>
      <c r="F407" s="113" t="s">
        <v>457</v>
      </c>
      <c r="G407" s="116" t="s">
        <v>1611</v>
      </c>
      <c r="H407" s="79">
        <v>46182</v>
      </c>
      <c r="I407" s="114" t="s">
        <v>79</v>
      </c>
      <c r="J407" s="117" t="s">
        <v>1612</v>
      </c>
      <c r="K407" s="118">
        <v>46174</v>
      </c>
      <c r="L407" s="114" t="s">
        <v>81</v>
      </c>
      <c r="M407" s="119">
        <v>46177</v>
      </c>
      <c r="N407" s="128">
        <v>46178</v>
      </c>
      <c r="O407" s="120">
        <f>NETWORKDAYS.INTL(K407,N407,1,$AM$2:$AM$10)-1</f>
        <v>4</v>
      </c>
      <c r="P407" s="114" t="s">
        <v>81</v>
      </c>
      <c r="Q407" s="114" t="s">
        <v>79</v>
      </c>
      <c r="R407" s="115" t="s">
        <v>1613</v>
      </c>
      <c r="S407" s="145">
        <v>368</v>
      </c>
      <c r="T407" s="148" t="s">
        <v>1614</v>
      </c>
      <c r="U407" s="147">
        <v>1</v>
      </c>
      <c r="V407" s="121">
        <v>10</v>
      </c>
      <c r="W407" s="121">
        <v>570</v>
      </c>
      <c r="X407" s="114" t="s">
        <v>84</v>
      </c>
      <c r="Y407" s="115" t="s">
        <v>85</v>
      </c>
      <c r="Z407" s="115" t="s">
        <v>1615</v>
      </c>
      <c r="AA407" s="113" t="s">
        <v>87</v>
      </c>
      <c r="AB407" s="122">
        <v>237.45</v>
      </c>
      <c r="AC407" s="122">
        <f>IF(C407="DENALI", AB407*0.495, IF(C407="SCHNEIDER ELECTRIC", AB407*1.136, IF(C407="WWT", AB407*1.2, AC407)))+AB407</f>
        <v>354.98775000000001</v>
      </c>
      <c r="AD407" s="129">
        <f>AC407-AB407</f>
        <v>117.53775000000002</v>
      </c>
      <c r="AE407" s="122">
        <v>19071.7</v>
      </c>
      <c r="AF407" s="130">
        <f>AB407/U407</f>
        <v>237.45</v>
      </c>
      <c r="AG407" s="130">
        <f>AB407/V407</f>
        <v>23.744999999999997</v>
      </c>
      <c r="AH407" s="123">
        <f>AB407/S407</f>
        <v>0.64524456521739126</v>
      </c>
      <c r="AI407" s="124" t="s">
        <v>97</v>
      </c>
      <c r="AJ407" s="125" t="s">
        <v>349</v>
      </c>
      <c r="AK407"/>
      <c r="AM407" s="80"/>
    </row>
    <row r="408" spans="1:39" ht="28.5" customHeight="1">
      <c r="A408" s="113" t="s">
        <v>73</v>
      </c>
      <c r="B408" s="114" t="s">
        <v>74</v>
      </c>
      <c r="C408" s="113" t="s">
        <v>35</v>
      </c>
      <c r="D408" s="113" t="s">
        <v>99</v>
      </c>
      <c r="E408" s="115" t="s">
        <v>1616</v>
      </c>
      <c r="F408" s="113" t="s">
        <v>228</v>
      </c>
      <c r="G408" s="116">
        <v>23194019</v>
      </c>
      <c r="H408" s="79">
        <v>46183</v>
      </c>
      <c r="I408" s="114" t="s">
        <v>79</v>
      </c>
      <c r="J408" s="117" t="s">
        <v>1617</v>
      </c>
      <c r="K408" s="118">
        <v>46175</v>
      </c>
      <c r="L408" s="114" t="s">
        <v>81</v>
      </c>
      <c r="M408" s="119">
        <v>46178</v>
      </c>
      <c r="N408" s="128">
        <v>46177</v>
      </c>
      <c r="O408" s="120">
        <f>NETWORKDAYS.INTL(K408,N408,1,$AM$2:$AM$10)-1</f>
        <v>2</v>
      </c>
      <c r="P408" s="114" t="s">
        <v>81</v>
      </c>
      <c r="Q408" s="114" t="s">
        <v>79</v>
      </c>
      <c r="R408" s="115"/>
      <c r="S408" s="145">
        <v>2063</v>
      </c>
      <c r="T408" s="148" t="s">
        <v>1618</v>
      </c>
      <c r="U408" s="147">
        <v>16</v>
      </c>
      <c r="V408" s="121">
        <v>360</v>
      </c>
      <c r="W408" s="121">
        <v>13460</v>
      </c>
      <c r="X408" s="114" t="s">
        <v>113</v>
      </c>
      <c r="Y408" s="115" t="s">
        <v>85</v>
      </c>
      <c r="Z408" s="115" t="s">
        <v>1619</v>
      </c>
      <c r="AA408" s="113" t="s">
        <v>87</v>
      </c>
      <c r="AB408" s="122">
        <v>4112.04</v>
      </c>
      <c r="AC408" s="122">
        <f>IF(C408="DENALI", AB408*0.495, IF(C408="SCHNEIDER ELECTRIC", AB408*1.136, IF(C408="WWT", AB408*1.2, AC408)))+AB408</f>
        <v>6147.4997999999996</v>
      </c>
      <c r="AD408" s="129">
        <f>AC408-AB408</f>
        <v>2035.4597999999996</v>
      </c>
      <c r="AE408" s="122">
        <v>363776.14</v>
      </c>
      <c r="AF408" s="130">
        <f>AB408/U408</f>
        <v>257.0025</v>
      </c>
      <c r="AG408" s="130">
        <f>AB408/V408</f>
        <v>11.422333333333333</v>
      </c>
      <c r="AH408" s="123">
        <f>AB408/S408</f>
        <v>1.9932331555986427</v>
      </c>
      <c r="AI408" s="124" t="s">
        <v>147</v>
      </c>
      <c r="AJ408" s="125" t="s">
        <v>343</v>
      </c>
      <c r="AK408"/>
      <c r="AM408" s="80"/>
    </row>
    <row r="409" spans="1:39" ht="28.5" customHeight="1">
      <c r="A409" s="113" t="s">
        <v>73</v>
      </c>
      <c r="B409" s="114" t="s">
        <v>74</v>
      </c>
      <c r="C409" s="113" t="s">
        <v>35</v>
      </c>
      <c r="D409" s="113" t="s">
        <v>99</v>
      </c>
      <c r="E409" s="115" t="s">
        <v>584</v>
      </c>
      <c r="F409" s="113" t="s">
        <v>585</v>
      </c>
      <c r="G409" s="116" t="s">
        <v>1620</v>
      </c>
      <c r="H409" s="79">
        <v>46183</v>
      </c>
      <c r="I409" s="114" t="s">
        <v>79</v>
      </c>
      <c r="J409" s="117" t="s">
        <v>1621</v>
      </c>
      <c r="K409" s="118">
        <v>46175</v>
      </c>
      <c r="L409" s="114" t="s">
        <v>81</v>
      </c>
      <c r="M409" s="119">
        <v>46178</v>
      </c>
      <c r="N409" s="128">
        <v>46181</v>
      </c>
      <c r="O409" s="120">
        <f>NETWORKDAYS.INTL(K409,N409,1,$AM$2:$AM$10)-1</f>
        <v>4</v>
      </c>
      <c r="P409" s="114" t="s">
        <v>81</v>
      </c>
      <c r="Q409" s="114" t="s">
        <v>79</v>
      </c>
      <c r="R409" s="115"/>
      <c r="S409" s="145">
        <v>1503</v>
      </c>
      <c r="T409" s="148" t="s">
        <v>1622</v>
      </c>
      <c r="U409" s="147">
        <v>1</v>
      </c>
      <c r="V409" s="121">
        <v>38</v>
      </c>
      <c r="W409" s="121">
        <v>560</v>
      </c>
      <c r="X409" s="114" t="s">
        <v>84</v>
      </c>
      <c r="Y409" s="115" t="s">
        <v>85</v>
      </c>
      <c r="Z409" s="115" t="s">
        <v>86</v>
      </c>
      <c r="AA409" s="113" t="s">
        <v>87</v>
      </c>
      <c r="AB409" s="122">
        <v>268.64</v>
      </c>
      <c r="AC409" s="122">
        <f>IF(C409="DENALI", AB409*0.495, IF(C409="SCHNEIDER ELECTRIC", AB409*1.136, IF(C409="WWT", AB409*1.2, AC409)))+AB409</f>
        <v>401.61680000000001</v>
      </c>
      <c r="AD409" s="129">
        <f>AC409-AB409</f>
        <v>132.97680000000003</v>
      </c>
      <c r="AE409" s="122">
        <v>70133.31</v>
      </c>
      <c r="AF409" s="130">
        <f>AB409/U409</f>
        <v>268.64</v>
      </c>
      <c r="AG409" s="130">
        <f>AB409/V409</f>
        <v>7.0694736842105259</v>
      </c>
      <c r="AH409" s="123">
        <f>AB409/S409</f>
        <v>0.17873586161011309</v>
      </c>
      <c r="AI409" s="124" t="s">
        <v>115</v>
      </c>
      <c r="AJ409" s="125" t="s">
        <v>107</v>
      </c>
      <c r="AK409"/>
      <c r="AM409" s="80"/>
    </row>
    <row r="410" spans="1:39" ht="28.5" customHeight="1">
      <c r="A410" s="113" t="s">
        <v>73</v>
      </c>
      <c r="B410" s="114" t="s">
        <v>74</v>
      </c>
      <c r="C410" s="113" t="s">
        <v>35</v>
      </c>
      <c r="D410" s="113" t="s">
        <v>99</v>
      </c>
      <c r="E410" s="115" t="s">
        <v>141</v>
      </c>
      <c r="F410" s="113" t="s">
        <v>142</v>
      </c>
      <c r="G410" s="116" t="s">
        <v>1623</v>
      </c>
      <c r="H410" s="79">
        <v>46184</v>
      </c>
      <c r="I410" s="114" t="s">
        <v>79</v>
      </c>
      <c r="J410" s="117" t="s">
        <v>1624</v>
      </c>
      <c r="K410" s="118">
        <v>46176</v>
      </c>
      <c r="L410" s="114" t="s">
        <v>81</v>
      </c>
      <c r="M410" s="119">
        <v>46183</v>
      </c>
      <c r="N410" s="128">
        <v>46184</v>
      </c>
      <c r="O410" s="120">
        <f>NETWORKDAYS.INTL(K410,N410,1,$AM$2:$AM$10)-1</f>
        <v>6</v>
      </c>
      <c r="P410" s="114" t="s">
        <v>81</v>
      </c>
      <c r="Q410" s="114" t="s">
        <v>79</v>
      </c>
      <c r="R410" s="115"/>
      <c r="S410" s="145">
        <v>2435</v>
      </c>
      <c r="T410" s="148" t="s">
        <v>1625</v>
      </c>
      <c r="U410" s="147">
        <v>1</v>
      </c>
      <c r="V410" s="121">
        <v>26</v>
      </c>
      <c r="W410" s="121">
        <v>410</v>
      </c>
      <c r="X410" s="114" t="s">
        <v>84</v>
      </c>
      <c r="Y410" s="115" t="s">
        <v>85</v>
      </c>
      <c r="Z410" s="115" t="s">
        <v>86</v>
      </c>
      <c r="AA410" s="113" t="s">
        <v>87</v>
      </c>
      <c r="AB410" s="122">
        <v>328.44</v>
      </c>
      <c r="AC410" s="122">
        <f>IF(C410="DENALI", AB410*0.495, IF(C410="SCHNEIDER ELECTRIC", AB410*1.136, IF(C410="WWT", AB410*1.2, AC410)))+AB410</f>
        <v>491.01779999999997</v>
      </c>
      <c r="AD410" s="129">
        <f>AC410-AB410</f>
        <v>162.57779999999997</v>
      </c>
      <c r="AE410" s="122">
        <v>456523.04</v>
      </c>
      <c r="AF410" s="130">
        <f>AB410/U410</f>
        <v>328.44</v>
      </c>
      <c r="AG410" s="130">
        <f>AB410/V410</f>
        <v>12.632307692307693</v>
      </c>
      <c r="AH410" s="123">
        <f>AB410/S410</f>
        <v>0.1348829568788501</v>
      </c>
      <c r="AI410" s="124" t="s">
        <v>97</v>
      </c>
      <c r="AJ410" s="125" t="s">
        <v>349</v>
      </c>
      <c r="AK410"/>
      <c r="AM410" s="80"/>
    </row>
    <row r="411" spans="1:39" ht="28.5" customHeight="1">
      <c r="A411" s="113" t="s">
        <v>73</v>
      </c>
      <c r="B411" s="114" t="s">
        <v>74</v>
      </c>
      <c r="C411" s="113" t="s">
        <v>35</v>
      </c>
      <c r="D411" s="113" t="s">
        <v>218</v>
      </c>
      <c r="E411" s="115" t="s">
        <v>1552</v>
      </c>
      <c r="F411" s="113" t="s">
        <v>845</v>
      </c>
      <c r="G411" s="116" t="s">
        <v>1626</v>
      </c>
      <c r="H411" s="79">
        <v>46184</v>
      </c>
      <c r="I411" s="114" t="s">
        <v>79</v>
      </c>
      <c r="J411" s="117" t="s">
        <v>1627</v>
      </c>
      <c r="K411" s="118">
        <v>46176</v>
      </c>
      <c r="L411" s="114" t="s">
        <v>81</v>
      </c>
      <c r="M411" s="119">
        <v>46183</v>
      </c>
      <c r="N411" s="128">
        <v>46178</v>
      </c>
      <c r="O411" s="120">
        <f>NETWORKDAYS.INTL(K411,N411,1,$AM$2:$AM$10)-1</f>
        <v>2</v>
      </c>
      <c r="P411" s="114" t="s">
        <v>81</v>
      </c>
      <c r="Q411" s="114" t="s">
        <v>79</v>
      </c>
      <c r="R411" s="115"/>
      <c r="S411" s="145">
        <v>636</v>
      </c>
      <c r="T411" s="148" t="s">
        <v>1555</v>
      </c>
      <c r="U411" s="147">
        <v>1</v>
      </c>
      <c r="V411" s="121">
        <v>92</v>
      </c>
      <c r="W411" s="121">
        <v>585</v>
      </c>
      <c r="X411" s="114" t="s">
        <v>84</v>
      </c>
      <c r="Y411" s="115" t="s">
        <v>85</v>
      </c>
      <c r="Z411" s="115" t="s">
        <v>1208</v>
      </c>
      <c r="AA411" s="113" t="s">
        <v>87</v>
      </c>
      <c r="AB411" s="122">
        <v>239.28</v>
      </c>
      <c r="AC411" s="122">
        <f>IF(C411="DENALI", AB411*0.495, IF(C411="SCHNEIDER ELECTRIC", AB411*1.136, IF(C411="WWT", AB411*1.2, AC411)))+AB411</f>
        <v>357.72360000000003</v>
      </c>
      <c r="AD411" s="129">
        <f>AC411-AB411</f>
        <v>118.44360000000003</v>
      </c>
      <c r="AE411" s="122">
        <v>10414.86</v>
      </c>
      <c r="AF411" s="130">
        <f>AB411/U411</f>
        <v>239.28</v>
      </c>
      <c r="AG411" s="130">
        <f>AB411/V411</f>
        <v>2.6008695652173914</v>
      </c>
      <c r="AH411" s="123">
        <f>AB411/S411</f>
        <v>0.37622641509433963</v>
      </c>
      <c r="AI411" s="124" t="s">
        <v>1044</v>
      </c>
      <c r="AJ411" s="125" t="s">
        <v>349</v>
      </c>
      <c r="AK411"/>
      <c r="AM411" s="80"/>
    </row>
    <row r="412" spans="1:39" ht="45.75">
      <c r="A412" s="113" t="s">
        <v>73</v>
      </c>
      <c r="B412" s="114" t="s">
        <v>140</v>
      </c>
      <c r="C412" s="113" t="s">
        <v>35</v>
      </c>
      <c r="D412" s="113" t="s">
        <v>218</v>
      </c>
      <c r="E412" s="115" t="s">
        <v>141</v>
      </c>
      <c r="F412" s="113" t="s">
        <v>142</v>
      </c>
      <c r="G412" s="116">
        <v>23213158</v>
      </c>
      <c r="H412" s="79">
        <v>46184</v>
      </c>
      <c r="I412" s="114" t="s">
        <v>79</v>
      </c>
      <c r="J412" s="117" t="s">
        <v>1628</v>
      </c>
      <c r="K412" s="118">
        <v>46177</v>
      </c>
      <c r="L412" s="114" t="s">
        <v>81</v>
      </c>
      <c r="M412" s="119">
        <v>46183</v>
      </c>
      <c r="N412" s="128">
        <v>46178</v>
      </c>
      <c r="O412" s="120">
        <f>NETWORKDAYS.INTL(K412,N412,1,$AM$2:$AM$10)-1</f>
        <v>1</v>
      </c>
      <c r="P412" s="114" t="s">
        <v>81</v>
      </c>
      <c r="Q412" s="114" t="s">
        <v>79</v>
      </c>
      <c r="R412" s="115"/>
      <c r="S412" s="145">
        <v>226</v>
      </c>
      <c r="T412" s="148" t="s">
        <v>1629</v>
      </c>
      <c r="U412" s="147">
        <v>9</v>
      </c>
      <c r="V412" s="121">
        <v>9</v>
      </c>
      <c r="W412" s="121">
        <v>3375</v>
      </c>
      <c r="X412" s="114" t="s">
        <v>113</v>
      </c>
      <c r="Y412" s="115" t="s">
        <v>85</v>
      </c>
      <c r="Z412" s="115" t="s">
        <v>1630</v>
      </c>
      <c r="AA412" s="113" t="s">
        <v>87</v>
      </c>
      <c r="AB412" s="122">
        <v>2260.6799999999998</v>
      </c>
      <c r="AC412" s="122">
        <f>IF(C412="DENALI", AB412*0.495, IF(C412="SCHNEIDER ELECTRIC", AB412*1.136, IF(C412="WWT", AB412*1.2, AC412)))+AB412</f>
        <v>3379.7165999999997</v>
      </c>
      <c r="AD412" s="129">
        <f>AC412-AB412</f>
        <v>1119.0365999999999</v>
      </c>
      <c r="AE412" s="122">
        <v>62306.19</v>
      </c>
      <c r="AF412" s="130">
        <f>AB412/U412</f>
        <v>251.18666666666664</v>
      </c>
      <c r="AG412" s="130">
        <f>AB412/V412</f>
        <v>251.18666666666664</v>
      </c>
      <c r="AH412" s="123">
        <f>AB412/S412</f>
        <v>10.003008849557521</v>
      </c>
      <c r="AI412" s="124" t="s">
        <v>183</v>
      </c>
      <c r="AJ412" s="125" t="s">
        <v>379</v>
      </c>
      <c r="AK412"/>
      <c r="AM412" s="80"/>
    </row>
    <row r="413" spans="1:39" ht="45.75">
      <c r="A413" s="113" t="s">
        <v>73</v>
      </c>
      <c r="B413" s="114" t="s">
        <v>74</v>
      </c>
      <c r="C413" s="113" t="s">
        <v>35</v>
      </c>
      <c r="D413" s="113" t="s">
        <v>218</v>
      </c>
      <c r="E413" s="115" t="s">
        <v>141</v>
      </c>
      <c r="F413" s="113" t="s">
        <v>142</v>
      </c>
      <c r="G413" s="116" t="s">
        <v>1631</v>
      </c>
      <c r="H413" s="79">
        <v>46184</v>
      </c>
      <c r="I413" s="114" t="s">
        <v>79</v>
      </c>
      <c r="J413" s="117" t="s">
        <v>1632</v>
      </c>
      <c r="K413" s="118">
        <v>46176</v>
      </c>
      <c r="L413" s="114" t="s">
        <v>81</v>
      </c>
      <c r="M413" s="119">
        <v>46177</v>
      </c>
      <c r="N413" s="128">
        <v>46178</v>
      </c>
      <c r="O413" s="120">
        <f>NETWORKDAYS.INTL(K413,N413,1,$AM$2:$AM$10)-1</f>
        <v>2</v>
      </c>
      <c r="P413" s="114" t="s">
        <v>81</v>
      </c>
      <c r="Q413" s="114" t="s">
        <v>79</v>
      </c>
      <c r="R413" s="115"/>
      <c r="S413" s="145">
        <v>441</v>
      </c>
      <c r="T413" s="148" t="s">
        <v>1633</v>
      </c>
      <c r="U413" s="147">
        <v>3</v>
      </c>
      <c r="V413" s="121">
        <v>1550</v>
      </c>
      <c r="W413" s="121">
        <v>1475</v>
      </c>
      <c r="X413" s="114" t="s">
        <v>84</v>
      </c>
      <c r="Y413" s="115" t="s">
        <v>85</v>
      </c>
      <c r="Z413" s="115" t="s">
        <v>160</v>
      </c>
      <c r="AA413" s="113" t="s">
        <v>87</v>
      </c>
      <c r="AB413" s="122">
        <v>545.99</v>
      </c>
      <c r="AC413" s="122">
        <f>IF(C413="DENALI", AB413*0.495, IF(C413="SCHNEIDER ELECTRIC", AB413*1.136, IF(C413="WWT", AB413*1.2, AC413)))+AB413</f>
        <v>816.25504999999998</v>
      </c>
      <c r="AD413" s="129">
        <f>AC413-AB413</f>
        <v>270.26504999999997</v>
      </c>
      <c r="AE413" s="122">
        <v>17546.57</v>
      </c>
      <c r="AF413" s="130">
        <f>AB413/U413</f>
        <v>181.99666666666667</v>
      </c>
      <c r="AG413" s="130">
        <f>AB413/V413</f>
        <v>0.35225161290322582</v>
      </c>
      <c r="AH413" s="123">
        <f>AB413/S413</f>
        <v>1.2380725623582767</v>
      </c>
      <c r="AI413" s="124" t="s">
        <v>88</v>
      </c>
      <c r="AJ413" s="125" t="s">
        <v>89</v>
      </c>
      <c r="AK413"/>
      <c r="AM413" s="80"/>
    </row>
    <row r="414" spans="1:39" ht="28.5" customHeight="1">
      <c r="A414" s="113" t="s">
        <v>73</v>
      </c>
      <c r="B414" s="114" t="s">
        <v>74</v>
      </c>
      <c r="C414" s="113" t="s">
        <v>35</v>
      </c>
      <c r="D414" s="113" t="s">
        <v>99</v>
      </c>
      <c r="E414" s="115" t="s">
        <v>287</v>
      </c>
      <c r="F414" s="113" t="s">
        <v>90</v>
      </c>
      <c r="G414" s="116" t="s">
        <v>1634</v>
      </c>
      <c r="H414" s="79">
        <v>46184</v>
      </c>
      <c r="I414" s="114" t="s">
        <v>79</v>
      </c>
      <c r="J414" s="117" t="s">
        <v>1635</v>
      </c>
      <c r="K414" s="118">
        <v>46176</v>
      </c>
      <c r="L414" s="114" t="s">
        <v>81</v>
      </c>
      <c r="M414" s="119">
        <v>46178</v>
      </c>
      <c r="N414" s="128">
        <v>46183</v>
      </c>
      <c r="O414" s="120">
        <f>NETWORKDAYS.INTL(K414,N414,1,$AM$2:$AM$10)-1</f>
        <v>5</v>
      </c>
      <c r="P414" s="114" t="s">
        <v>81</v>
      </c>
      <c r="Q414" s="114" t="s">
        <v>79</v>
      </c>
      <c r="R414" s="115"/>
      <c r="S414" s="145">
        <v>1179</v>
      </c>
      <c r="T414" s="148" t="s">
        <v>1636</v>
      </c>
      <c r="U414" s="147">
        <v>1</v>
      </c>
      <c r="V414" s="121">
        <v>38</v>
      </c>
      <c r="W414" s="121">
        <v>560</v>
      </c>
      <c r="X414" s="114" t="s">
        <v>84</v>
      </c>
      <c r="Y414" s="115" t="s">
        <v>85</v>
      </c>
      <c r="Z414" s="115" t="s">
        <v>86</v>
      </c>
      <c r="AA414" s="113" t="s">
        <v>87</v>
      </c>
      <c r="AB414" s="122">
        <v>276.76</v>
      </c>
      <c r="AC414" s="122">
        <f>IF(C414="DENALI", AB414*0.495, IF(C414="SCHNEIDER ELECTRIC", AB414*1.136, IF(C414="WWT", AB414*1.2, AC414)))+AB414</f>
        <v>413.75619999999998</v>
      </c>
      <c r="AD414" s="129">
        <f>AC414-AB414</f>
        <v>136.99619999999999</v>
      </c>
      <c r="AE414" s="122">
        <v>69389.19</v>
      </c>
      <c r="AF414" s="130">
        <f>AB414/U414</f>
        <v>276.76</v>
      </c>
      <c r="AG414" s="130">
        <f>AB414/V414</f>
        <v>7.2831578947368421</v>
      </c>
      <c r="AH414" s="123">
        <f>AB414/S414</f>
        <v>0.23474130619168787</v>
      </c>
      <c r="AI414" s="124" t="s">
        <v>115</v>
      </c>
      <c r="AJ414" s="125" t="s">
        <v>107</v>
      </c>
      <c r="AK414"/>
      <c r="AM414" s="80"/>
    </row>
    <row r="415" spans="1:39" ht="28.5" customHeight="1">
      <c r="A415" s="113" t="s">
        <v>73</v>
      </c>
      <c r="B415" s="114" t="s">
        <v>140</v>
      </c>
      <c r="C415" s="113" t="s">
        <v>36</v>
      </c>
      <c r="D415" s="113" t="s">
        <v>75</v>
      </c>
      <c r="E415" s="115" t="s">
        <v>1637</v>
      </c>
      <c r="F415" s="113" t="s">
        <v>345</v>
      </c>
      <c r="G415" s="116" t="s">
        <v>1638</v>
      </c>
      <c r="H415" s="79">
        <v>46184</v>
      </c>
      <c r="I415" s="114" t="s">
        <v>79</v>
      </c>
      <c r="J415" s="117" t="s">
        <v>1639</v>
      </c>
      <c r="K415" s="118">
        <v>46176</v>
      </c>
      <c r="L415" s="114" t="s">
        <v>81</v>
      </c>
      <c r="M415" s="119">
        <v>46177</v>
      </c>
      <c r="N415" s="128">
        <v>46182</v>
      </c>
      <c r="O415" s="120">
        <f>NETWORKDAYS.INTL(K415,N415,1,$AM$2:$AM$10)-1</f>
        <v>4</v>
      </c>
      <c r="P415" s="114" t="s">
        <v>81</v>
      </c>
      <c r="Q415" s="114" t="s">
        <v>81</v>
      </c>
      <c r="R415" s="115"/>
      <c r="S415" s="145">
        <v>84</v>
      </c>
      <c r="T415" s="148" t="s">
        <v>1640</v>
      </c>
      <c r="U415" s="147">
        <v>1</v>
      </c>
      <c r="V415" s="121">
        <v>4</v>
      </c>
      <c r="W415" s="121">
        <v>499</v>
      </c>
      <c r="X415" s="114" t="s">
        <v>84</v>
      </c>
      <c r="Y415" s="115" t="s">
        <v>85</v>
      </c>
      <c r="Z415" s="115" t="s">
        <v>86</v>
      </c>
      <c r="AA415" s="113" t="s">
        <v>87</v>
      </c>
      <c r="AB415" s="122">
        <v>178.12</v>
      </c>
      <c r="AC415" s="122">
        <f>IF(C415="DENALI", AB415*0.495, IF(C415="SCHNEIDER ELECTRIC", AB415*1.136, IF(C415="WWT", AB415*1.2, AC415)))+AB415</f>
        <v>380.46431999999999</v>
      </c>
      <c r="AD415" s="129">
        <f>AC415-AB415</f>
        <v>202.34431999999998</v>
      </c>
      <c r="AE415" s="122">
        <v>12678.64</v>
      </c>
      <c r="AF415" s="130">
        <f>AB415/U415</f>
        <v>178.12</v>
      </c>
      <c r="AG415" s="130">
        <f>AB415/V415</f>
        <v>44.53</v>
      </c>
      <c r="AH415" s="123">
        <f>AB415/S415</f>
        <v>2.1204761904761904</v>
      </c>
      <c r="AI415" s="124" t="s">
        <v>115</v>
      </c>
      <c r="AJ415" s="125" t="s">
        <v>107</v>
      </c>
      <c r="AK415"/>
      <c r="AM415" s="80"/>
    </row>
    <row r="416" spans="1:39" ht="28.5" customHeight="1">
      <c r="A416" s="113" t="s">
        <v>73</v>
      </c>
      <c r="B416" s="114" t="s">
        <v>74</v>
      </c>
      <c r="C416" s="113" t="s">
        <v>35</v>
      </c>
      <c r="D416" s="113" t="s">
        <v>218</v>
      </c>
      <c r="E416" s="115" t="s">
        <v>1320</v>
      </c>
      <c r="F416" s="113" t="s">
        <v>1321</v>
      </c>
      <c r="G416" s="116" t="s">
        <v>1641</v>
      </c>
      <c r="H416" s="79">
        <v>46185</v>
      </c>
      <c r="I416" s="114" t="s">
        <v>79</v>
      </c>
      <c r="J416" s="117" t="s">
        <v>1642</v>
      </c>
      <c r="K416" s="118">
        <v>46177</v>
      </c>
      <c r="L416" s="114" t="s">
        <v>81</v>
      </c>
      <c r="M416" s="119">
        <v>46182</v>
      </c>
      <c r="N416" s="128">
        <v>46191</v>
      </c>
      <c r="O416" s="120">
        <f>NETWORKDAYS.INTL(K416,N416,1,$AM$2:$AM$10)-1</f>
        <v>10</v>
      </c>
      <c r="P416" s="114" t="s">
        <v>81</v>
      </c>
      <c r="Q416" s="114" t="s">
        <v>79</v>
      </c>
      <c r="R416" s="115"/>
      <c r="S416" s="145">
        <v>1762</v>
      </c>
      <c r="T416" s="148" t="s">
        <v>1324</v>
      </c>
      <c r="U416" s="147">
        <v>1</v>
      </c>
      <c r="V416" s="121">
        <v>10</v>
      </c>
      <c r="W416" s="121">
        <v>520</v>
      </c>
      <c r="X416" s="114" t="s">
        <v>84</v>
      </c>
      <c r="Y416" s="115" t="s">
        <v>85</v>
      </c>
      <c r="Z416" s="115" t="s">
        <v>935</v>
      </c>
      <c r="AA416" s="113" t="s">
        <v>87</v>
      </c>
      <c r="AB416" s="122">
        <v>461.36</v>
      </c>
      <c r="AC416" s="122">
        <f>IF(C416="DENALI", AB416*0.495, IF(C416="SCHNEIDER ELECTRIC", AB416*1.136, IF(C416="WWT", AB416*1.2, AC416)))+AB416</f>
        <v>689.73320000000001</v>
      </c>
      <c r="AD416" s="129">
        <f>AC416-AB416</f>
        <v>228.3732</v>
      </c>
      <c r="AE416" s="122">
        <v>14148.77</v>
      </c>
      <c r="AF416" s="130">
        <f>AB416/U416</f>
        <v>461.36</v>
      </c>
      <c r="AG416" s="130">
        <f>AB416/V416</f>
        <v>46.136000000000003</v>
      </c>
      <c r="AH416" s="123">
        <f>AB416/S416</f>
        <v>0.26183881952326904</v>
      </c>
      <c r="AI416" s="124" t="s">
        <v>97</v>
      </c>
      <c r="AJ416" s="125" t="s">
        <v>349</v>
      </c>
      <c r="AK416"/>
      <c r="AM416" s="80"/>
    </row>
    <row r="417" spans="1:39" ht="28.5" customHeight="1">
      <c r="A417" s="113" t="s">
        <v>73</v>
      </c>
      <c r="B417" s="114" t="s">
        <v>74</v>
      </c>
      <c r="C417" s="113" t="s">
        <v>35</v>
      </c>
      <c r="D417" s="113" t="s">
        <v>218</v>
      </c>
      <c r="E417" s="115" t="s">
        <v>1643</v>
      </c>
      <c r="F417" s="113" t="s">
        <v>213</v>
      </c>
      <c r="G417" s="116" t="s">
        <v>1644</v>
      </c>
      <c r="H417" s="79">
        <v>46184</v>
      </c>
      <c r="I417" s="114" t="s">
        <v>79</v>
      </c>
      <c r="J417" s="117" t="s">
        <v>1645</v>
      </c>
      <c r="K417" s="118">
        <v>46177</v>
      </c>
      <c r="L417" s="114" t="s">
        <v>81</v>
      </c>
      <c r="M417" s="119">
        <v>46178</v>
      </c>
      <c r="N417" s="128">
        <v>46177</v>
      </c>
      <c r="O417" s="120">
        <f>NETWORKDAYS.INTL(K417,N417,1,$AM$2:$AM$10)-1</f>
        <v>0</v>
      </c>
      <c r="P417" s="114" t="s">
        <v>81</v>
      </c>
      <c r="Q417" s="114" t="s">
        <v>79</v>
      </c>
      <c r="R417" s="115"/>
      <c r="S417" s="145">
        <v>625</v>
      </c>
      <c r="T417" s="148" t="s">
        <v>1646</v>
      </c>
      <c r="U417" s="147">
        <v>1</v>
      </c>
      <c r="V417" s="121">
        <v>1</v>
      </c>
      <c r="W417" s="121">
        <v>175</v>
      </c>
      <c r="X417" s="114" t="s">
        <v>84</v>
      </c>
      <c r="Y417" s="115" t="s">
        <v>85</v>
      </c>
      <c r="Z417" s="115" t="s">
        <v>160</v>
      </c>
      <c r="AA417" s="113" t="s">
        <v>87</v>
      </c>
      <c r="AB417" s="122">
        <v>206.59</v>
      </c>
      <c r="AC417" s="122">
        <f>IF(C417="DENALI", AB417*0.495, IF(C417="SCHNEIDER ELECTRIC", AB417*1.136, IF(C417="WWT", AB417*1.2, AC417)))+AB417</f>
        <v>308.85205000000002</v>
      </c>
      <c r="AD417" s="129">
        <f>AC417-AB417</f>
        <v>102.26205000000002</v>
      </c>
      <c r="AE417" s="122">
        <v>7514.5</v>
      </c>
      <c r="AF417" s="130">
        <f>AB417/U417</f>
        <v>206.59</v>
      </c>
      <c r="AG417" s="130">
        <f>AB417/V417</f>
        <v>206.59</v>
      </c>
      <c r="AH417" s="123">
        <f>AB417/S417</f>
        <v>0.330544</v>
      </c>
      <c r="AI417" s="124" t="s">
        <v>97</v>
      </c>
      <c r="AJ417" s="125" t="s">
        <v>349</v>
      </c>
      <c r="AK417"/>
      <c r="AM417" s="80"/>
    </row>
    <row r="418" spans="1:39" ht="28.5" customHeight="1">
      <c r="A418" s="113" t="s">
        <v>73</v>
      </c>
      <c r="B418" s="114" t="s">
        <v>74</v>
      </c>
      <c r="C418" s="113" t="s">
        <v>36</v>
      </c>
      <c r="D418" s="113" t="s">
        <v>90</v>
      </c>
      <c r="E418" s="115" t="s">
        <v>1647</v>
      </c>
      <c r="F418" s="113" t="s">
        <v>150</v>
      </c>
      <c r="G418" s="116" t="s">
        <v>1648</v>
      </c>
      <c r="H418" s="79">
        <v>46185</v>
      </c>
      <c r="I418" s="114" t="s">
        <v>79</v>
      </c>
      <c r="J418" s="117" t="s">
        <v>1649</v>
      </c>
      <c r="K418" s="118">
        <v>46177</v>
      </c>
      <c r="L418" s="114" t="s">
        <v>79</v>
      </c>
      <c r="M418" s="119">
        <v>46178</v>
      </c>
      <c r="N418" s="128">
        <v>46181</v>
      </c>
      <c r="O418" s="120">
        <f>NETWORKDAYS.INTL(K418,N418,1,$AM$2:$AM$10)-1</f>
        <v>2</v>
      </c>
      <c r="P418" s="114" t="s">
        <v>81</v>
      </c>
      <c r="Q418" s="114" t="s">
        <v>79</v>
      </c>
      <c r="R418" s="115"/>
      <c r="S418" s="145">
        <v>928.9</v>
      </c>
      <c r="T418" s="148" t="s">
        <v>1650</v>
      </c>
      <c r="U418" s="147">
        <v>1</v>
      </c>
      <c r="V418" s="121">
        <v>2</v>
      </c>
      <c r="W418" s="121">
        <v>216</v>
      </c>
      <c r="X418" s="114" t="s">
        <v>84</v>
      </c>
      <c r="Y418" s="115" t="s">
        <v>85</v>
      </c>
      <c r="Z418" s="115" t="s">
        <v>86</v>
      </c>
      <c r="AA418" s="113" t="s">
        <v>87</v>
      </c>
      <c r="AB418" s="122">
        <v>335.56</v>
      </c>
      <c r="AC418" s="122">
        <f>IF(C418="DENALI", AB418*0.495, IF(C418="SCHNEIDER ELECTRIC", AB418*1.136, IF(C418="WWT", AB418*1.2, AC418)))+AB418</f>
        <v>716.75615999999991</v>
      </c>
      <c r="AD418" s="129">
        <f>AC418-AB418</f>
        <v>381.19615999999991</v>
      </c>
      <c r="AE418" s="122">
        <v>5795.44</v>
      </c>
      <c r="AF418" s="130">
        <f>AB418/U418</f>
        <v>335.56</v>
      </c>
      <c r="AG418" s="130">
        <f>AB418/V418</f>
        <v>167.78</v>
      </c>
      <c r="AH418" s="123">
        <f>AB418/S418</f>
        <v>0.36124448272149856</v>
      </c>
      <c r="AI418" s="124" t="s">
        <v>240</v>
      </c>
      <c r="AJ418" s="125" t="s">
        <v>89</v>
      </c>
      <c r="AK418"/>
      <c r="AM418" s="80"/>
    </row>
    <row r="419" spans="1:39" ht="28.5" customHeight="1">
      <c r="A419" s="113" t="s">
        <v>73</v>
      </c>
      <c r="B419" s="114" t="s">
        <v>74</v>
      </c>
      <c r="C419" s="113" t="s">
        <v>36</v>
      </c>
      <c r="D419" s="113" t="s">
        <v>90</v>
      </c>
      <c r="E419" s="115" t="s">
        <v>1651</v>
      </c>
      <c r="F419" s="113" t="s">
        <v>90</v>
      </c>
      <c r="G419" s="116" t="s">
        <v>1652</v>
      </c>
      <c r="H419" s="79">
        <v>46188</v>
      </c>
      <c r="I419" s="114" t="s">
        <v>79</v>
      </c>
      <c r="J419" s="117" t="s">
        <v>1653</v>
      </c>
      <c r="K419" s="118">
        <v>46178</v>
      </c>
      <c r="L419" s="114" t="s">
        <v>79</v>
      </c>
      <c r="M419" s="119">
        <v>46181</v>
      </c>
      <c r="N419" s="128">
        <v>46184</v>
      </c>
      <c r="O419" s="120">
        <f>NETWORKDAYS.INTL(K419,N419,1,$AM$2:$AM$10)-1</f>
        <v>4</v>
      </c>
      <c r="P419" s="114" t="s">
        <v>81</v>
      </c>
      <c r="Q419" s="114" t="s">
        <v>79</v>
      </c>
      <c r="R419" s="115"/>
      <c r="S419" s="145">
        <v>30</v>
      </c>
      <c r="T419" s="148" t="s">
        <v>1654</v>
      </c>
      <c r="U419" s="147">
        <v>1</v>
      </c>
      <c r="V419" s="121">
        <v>3</v>
      </c>
      <c r="W419" s="121">
        <v>271</v>
      </c>
      <c r="X419" s="114" t="s">
        <v>84</v>
      </c>
      <c r="Y419" s="115" t="s">
        <v>85</v>
      </c>
      <c r="Z419" s="115" t="s">
        <v>86</v>
      </c>
      <c r="AA419" s="113" t="s">
        <v>87</v>
      </c>
      <c r="AB419" s="122">
        <v>209.15</v>
      </c>
      <c r="AC419" s="122">
        <f>IF(C419="DENALI", AB419*0.495, IF(C419="SCHNEIDER ELECTRIC", AB419*1.136, IF(C419="WWT", AB419*1.2, AC419)))+AB419</f>
        <v>446.74439999999998</v>
      </c>
      <c r="AD419" s="129">
        <f>AC419-AB419</f>
        <v>237.59439999999998</v>
      </c>
      <c r="AE419" s="122">
        <v>1489.8</v>
      </c>
      <c r="AF419" s="130">
        <f>AB419/U419</f>
        <v>209.15</v>
      </c>
      <c r="AG419" s="130">
        <f>AB419/V419</f>
        <v>69.716666666666669</v>
      </c>
      <c r="AH419" s="123">
        <f>AB419/S419</f>
        <v>6.9716666666666667</v>
      </c>
      <c r="AI419" s="124" t="s">
        <v>97</v>
      </c>
      <c r="AJ419" s="125" t="s">
        <v>98</v>
      </c>
      <c r="AK419"/>
      <c r="AM419" s="80"/>
    </row>
    <row r="420" spans="1:39" ht="28.5" customHeight="1">
      <c r="A420" s="113" t="s">
        <v>73</v>
      </c>
      <c r="B420" s="114" t="s">
        <v>74</v>
      </c>
      <c r="C420" s="113" t="s">
        <v>35</v>
      </c>
      <c r="D420" s="113" t="s">
        <v>99</v>
      </c>
      <c r="E420" s="115" t="s">
        <v>1616</v>
      </c>
      <c r="F420" s="113" t="s">
        <v>228</v>
      </c>
      <c r="G420" s="116" t="s">
        <v>1655</v>
      </c>
      <c r="H420" s="79">
        <v>46188</v>
      </c>
      <c r="I420" s="114" t="s">
        <v>79</v>
      </c>
      <c r="J420" s="117" t="s">
        <v>1656</v>
      </c>
      <c r="K420" s="118">
        <v>46181</v>
      </c>
      <c r="L420" s="114" t="s">
        <v>81</v>
      </c>
      <c r="M420" s="119">
        <v>46188</v>
      </c>
      <c r="N420" s="128">
        <v>46188</v>
      </c>
      <c r="O420" s="120">
        <f>NETWORKDAYS.INTL(K420,N420,1,$AM$2:$AM$10)-1</f>
        <v>5</v>
      </c>
      <c r="P420" s="114" t="s">
        <v>81</v>
      </c>
      <c r="Q420" s="114" t="s">
        <v>79</v>
      </c>
      <c r="R420" s="115"/>
      <c r="S420" s="145">
        <v>2063</v>
      </c>
      <c r="T420" s="148" t="s">
        <v>1657</v>
      </c>
      <c r="U420" s="147">
        <v>2</v>
      </c>
      <c r="V420" s="121">
        <v>43</v>
      </c>
      <c r="W420" s="121">
        <v>1260</v>
      </c>
      <c r="X420" s="114" t="s">
        <v>84</v>
      </c>
      <c r="Y420" s="115" t="s">
        <v>85</v>
      </c>
      <c r="Z420" s="115" t="s">
        <v>160</v>
      </c>
      <c r="AA420" s="113" t="s">
        <v>87</v>
      </c>
      <c r="AB420" s="122">
        <v>395.7</v>
      </c>
      <c r="AC420" s="122">
        <f>IF(C420="DENALI", AB420*0.495, IF(C420="SCHNEIDER ELECTRIC", AB420*1.136, IF(C420="WWT", AB420*1.2, AC420)))+AB420</f>
        <v>591.57150000000001</v>
      </c>
      <c r="AD420" s="129">
        <f>AC420-AB420</f>
        <v>195.87150000000003</v>
      </c>
      <c r="AE420" s="122">
        <v>104116.55</v>
      </c>
      <c r="AF420" s="130">
        <f>AB420/U420</f>
        <v>197.85</v>
      </c>
      <c r="AG420" s="130">
        <f>AB420/V420</f>
        <v>9.202325581395348</v>
      </c>
      <c r="AH420" s="123">
        <f>AB420/S420</f>
        <v>0.19180804653417352</v>
      </c>
      <c r="AI420" s="124" t="s">
        <v>147</v>
      </c>
      <c r="AJ420" s="125" t="s">
        <v>343</v>
      </c>
      <c r="AK420"/>
      <c r="AM420" s="80"/>
    </row>
    <row r="421" spans="1:39" ht="28.5" customHeight="1">
      <c r="A421" s="113" t="s">
        <v>73</v>
      </c>
      <c r="B421" s="114" t="s">
        <v>140</v>
      </c>
      <c r="C421" s="113" t="s">
        <v>35</v>
      </c>
      <c r="D421" s="113" t="s">
        <v>218</v>
      </c>
      <c r="E421" s="115" t="s">
        <v>416</v>
      </c>
      <c r="F421" s="113" t="s">
        <v>90</v>
      </c>
      <c r="G421" s="116" t="s">
        <v>1658</v>
      </c>
      <c r="H421" s="79">
        <v>46188</v>
      </c>
      <c r="I421" s="114" t="s">
        <v>79</v>
      </c>
      <c r="J421" s="117" t="s">
        <v>1659</v>
      </c>
      <c r="K421" s="118">
        <v>46181</v>
      </c>
      <c r="L421" s="114" t="s">
        <v>81</v>
      </c>
      <c r="M421" s="119">
        <v>46184</v>
      </c>
      <c r="N421" s="128">
        <v>46184</v>
      </c>
      <c r="O421" s="120">
        <f>NETWORKDAYS.INTL(K421,N421,1,$AM$2:$AM$10)-1</f>
        <v>3</v>
      </c>
      <c r="P421" s="114" t="s">
        <v>81</v>
      </c>
      <c r="Q421" s="114" t="s">
        <v>79</v>
      </c>
      <c r="R421" s="115"/>
      <c r="S421" s="145">
        <v>2255</v>
      </c>
      <c r="T421" s="148" t="s">
        <v>1459</v>
      </c>
      <c r="U421" s="147">
        <v>2</v>
      </c>
      <c r="V421" s="121">
        <v>44</v>
      </c>
      <c r="W421" s="121">
        <v>900</v>
      </c>
      <c r="X421" s="114" t="s">
        <v>84</v>
      </c>
      <c r="Y421" s="115" t="s">
        <v>85</v>
      </c>
      <c r="Z421" s="115" t="s">
        <v>86</v>
      </c>
      <c r="AA421" s="113" t="s">
        <v>87</v>
      </c>
      <c r="AB421" s="122">
        <v>1114.6300000000001</v>
      </c>
      <c r="AC421" s="122">
        <f>IF(C421="DENALI", AB421*0.495, IF(C421="SCHNEIDER ELECTRIC", AB421*1.136, IF(C421="WWT", AB421*1.2, AC421)))+AB421</f>
        <v>1666.37185</v>
      </c>
      <c r="AD421" s="129">
        <f>AC421-AB421</f>
        <v>551.74184999999989</v>
      </c>
      <c r="AE421" s="122">
        <v>91250.5</v>
      </c>
      <c r="AF421" s="130">
        <f>AB421/U421</f>
        <v>557.31500000000005</v>
      </c>
      <c r="AG421" s="130">
        <f>AB421/V421</f>
        <v>25.332500000000003</v>
      </c>
      <c r="AH421" s="123">
        <f>AB421/S421</f>
        <v>0.49429268292682932</v>
      </c>
      <c r="AI421" s="124" t="s">
        <v>147</v>
      </c>
      <c r="AJ421" s="125" t="s">
        <v>343</v>
      </c>
      <c r="AK421"/>
      <c r="AM421" s="80"/>
    </row>
    <row r="422" spans="1:39" ht="28.5" customHeight="1">
      <c r="A422" s="113" t="s">
        <v>73</v>
      </c>
      <c r="B422" s="114" t="s">
        <v>74</v>
      </c>
      <c r="C422" s="113" t="s">
        <v>35</v>
      </c>
      <c r="D422" s="113" t="s">
        <v>218</v>
      </c>
      <c r="E422" s="115" t="s">
        <v>1660</v>
      </c>
      <c r="F422" s="113" t="s">
        <v>90</v>
      </c>
      <c r="G422" s="116" t="s">
        <v>1661</v>
      </c>
      <c r="H422" s="79">
        <v>46189</v>
      </c>
      <c r="I422" s="114" t="s">
        <v>79</v>
      </c>
      <c r="J422" s="117" t="s">
        <v>1662</v>
      </c>
      <c r="K422" s="118">
        <v>46181</v>
      </c>
      <c r="L422" s="114" t="s">
        <v>81</v>
      </c>
      <c r="M422" s="119">
        <v>46185</v>
      </c>
      <c r="N422" s="128">
        <v>46184</v>
      </c>
      <c r="O422" s="120">
        <f>NETWORKDAYS.INTL(K422,N422,1,$AM$2:$AM$10)-1</f>
        <v>3</v>
      </c>
      <c r="P422" s="114" t="s">
        <v>81</v>
      </c>
      <c r="Q422" s="114" t="s">
        <v>79</v>
      </c>
      <c r="R422" s="115"/>
      <c r="S422" s="145">
        <v>2237</v>
      </c>
      <c r="T422" s="148" t="s">
        <v>1663</v>
      </c>
      <c r="U422" s="147">
        <v>2</v>
      </c>
      <c r="V422" s="121">
        <v>6</v>
      </c>
      <c r="W422" s="121">
        <v>755</v>
      </c>
      <c r="X422" s="114" t="s">
        <v>84</v>
      </c>
      <c r="Y422" s="115" t="s">
        <v>85</v>
      </c>
      <c r="Z422" s="115" t="s">
        <v>86</v>
      </c>
      <c r="AA422" s="113" t="s">
        <v>87</v>
      </c>
      <c r="AB422" s="122">
        <v>800.11</v>
      </c>
      <c r="AC422" s="122">
        <f>IF(C422="DENALI", AB422*0.495, IF(C422="SCHNEIDER ELECTRIC", AB422*1.136, IF(C422="WWT", AB422*1.2, AC422)))+AB422</f>
        <v>1196.16445</v>
      </c>
      <c r="AD422" s="129">
        <f>AC422-AB422</f>
        <v>396.05444999999997</v>
      </c>
      <c r="AE422" s="122">
        <v>4222.8599999999997</v>
      </c>
      <c r="AF422" s="130">
        <f>AB422/U422</f>
        <v>400.05500000000001</v>
      </c>
      <c r="AG422" s="130">
        <f>AB422/V422</f>
        <v>133.35166666666666</v>
      </c>
      <c r="AH422" s="123">
        <f>AB422/S422</f>
        <v>0.35767098793026375</v>
      </c>
      <c r="AI422" s="124" t="s">
        <v>1664</v>
      </c>
      <c r="AJ422" s="125" t="s">
        <v>1665</v>
      </c>
      <c r="AK422"/>
      <c r="AM422" s="80"/>
    </row>
    <row r="423" spans="1:39" ht="28.5" customHeight="1">
      <c r="A423" s="113" t="s">
        <v>73</v>
      </c>
      <c r="B423" s="114" t="s">
        <v>74</v>
      </c>
      <c r="C423" s="113" t="s">
        <v>35</v>
      </c>
      <c r="D423" s="113" t="s">
        <v>218</v>
      </c>
      <c r="E423" s="115" t="s">
        <v>125</v>
      </c>
      <c r="F423" s="113" t="s">
        <v>90</v>
      </c>
      <c r="G423" s="116" t="s">
        <v>1666</v>
      </c>
      <c r="H423" s="79">
        <v>46189</v>
      </c>
      <c r="I423" s="114" t="s">
        <v>79</v>
      </c>
      <c r="J423" s="117" t="s">
        <v>1667</v>
      </c>
      <c r="K423" s="118">
        <v>46181</v>
      </c>
      <c r="L423" s="114" t="s">
        <v>81</v>
      </c>
      <c r="M423" s="119">
        <v>46185</v>
      </c>
      <c r="N423" s="128">
        <v>46185</v>
      </c>
      <c r="O423" s="120">
        <f>NETWORKDAYS.INTL(K423,N423,1,$AM$2:$AM$10)-1</f>
        <v>4</v>
      </c>
      <c r="P423" s="114" t="s">
        <v>81</v>
      </c>
      <c r="Q423" s="114" t="s">
        <v>79</v>
      </c>
      <c r="R423" s="115"/>
      <c r="S423" s="145">
        <v>2361</v>
      </c>
      <c r="T423" s="148" t="s">
        <v>900</v>
      </c>
      <c r="U423" s="147">
        <v>1</v>
      </c>
      <c r="V423" s="121">
        <v>475</v>
      </c>
      <c r="W423" s="121">
        <v>355</v>
      </c>
      <c r="X423" s="114" t="s">
        <v>84</v>
      </c>
      <c r="Y423" s="115" t="s">
        <v>85</v>
      </c>
      <c r="Z423" s="115" t="s">
        <v>86</v>
      </c>
      <c r="AA423" s="113" t="s">
        <v>87</v>
      </c>
      <c r="AB423" s="122">
        <v>339.34</v>
      </c>
      <c r="AC423" s="122">
        <f>IF(C423="DENALI", AB423*0.495, IF(C423="SCHNEIDER ELECTRIC", AB423*1.136, IF(C423="WWT", AB423*1.2, AC423)))+AB423</f>
        <v>507.31329999999997</v>
      </c>
      <c r="AD423" s="129">
        <f>AC423-AB423</f>
        <v>167.97329999999999</v>
      </c>
      <c r="AE423" s="122">
        <v>7973.47</v>
      </c>
      <c r="AF423" s="130">
        <f>AB423/U423</f>
        <v>339.34</v>
      </c>
      <c r="AG423" s="130">
        <f>AB423/V423</f>
        <v>0.71439999999999992</v>
      </c>
      <c r="AH423" s="123">
        <f>AB423/S423</f>
        <v>0.14372723422278694</v>
      </c>
      <c r="AI423" s="124" t="s">
        <v>97</v>
      </c>
      <c r="AJ423" s="125" t="s">
        <v>349</v>
      </c>
      <c r="AK423"/>
      <c r="AM423" s="80"/>
    </row>
    <row r="424" spans="1:39" ht="28.5" customHeight="1">
      <c r="A424" s="113" t="s">
        <v>73</v>
      </c>
      <c r="B424" s="114" t="s">
        <v>74</v>
      </c>
      <c r="C424" s="113" t="s">
        <v>35</v>
      </c>
      <c r="D424" s="113" t="s">
        <v>218</v>
      </c>
      <c r="E424" s="115" t="s">
        <v>1368</v>
      </c>
      <c r="F424" s="113" t="s">
        <v>90</v>
      </c>
      <c r="G424" s="116" t="s">
        <v>1668</v>
      </c>
      <c r="H424" s="79">
        <v>46189</v>
      </c>
      <c r="I424" s="114" t="s">
        <v>79</v>
      </c>
      <c r="J424" s="117" t="s">
        <v>1669</v>
      </c>
      <c r="K424" s="118">
        <v>46181</v>
      </c>
      <c r="L424" s="114" t="s">
        <v>81</v>
      </c>
      <c r="M424" s="119">
        <v>46185</v>
      </c>
      <c r="N424" s="128">
        <v>46185</v>
      </c>
      <c r="O424" s="120">
        <f>NETWORKDAYS.INTL(K424,N424,1,$AM$2:$AM$10)-1</f>
        <v>4</v>
      </c>
      <c r="P424" s="114" t="s">
        <v>81</v>
      </c>
      <c r="Q424" s="114" t="s">
        <v>79</v>
      </c>
      <c r="R424" s="115"/>
      <c r="S424" s="145">
        <v>2245</v>
      </c>
      <c r="T424" s="148" t="s">
        <v>1371</v>
      </c>
      <c r="U424" s="147">
        <v>2</v>
      </c>
      <c r="V424" s="121">
        <v>300</v>
      </c>
      <c r="W424" s="121">
        <v>1045</v>
      </c>
      <c r="X424" s="114" t="s">
        <v>84</v>
      </c>
      <c r="Y424" s="115" t="s">
        <v>85</v>
      </c>
      <c r="Z424" s="115" t="s">
        <v>160</v>
      </c>
      <c r="AA424" s="113" t="s">
        <v>87</v>
      </c>
      <c r="AB424" s="122">
        <v>688.73</v>
      </c>
      <c r="AC424" s="122">
        <f>IF(C424="DENALI", AB424*0.495, IF(C424="SCHNEIDER ELECTRIC", AB424*1.136, IF(C424="WWT", AB424*1.2, AC424)))+AB424</f>
        <v>1029.6513500000001</v>
      </c>
      <c r="AD424" s="129">
        <f>AC424-AB424</f>
        <v>340.92135000000007</v>
      </c>
      <c r="AE424" s="122">
        <v>38199</v>
      </c>
      <c r="AF424" s="130">
        <f>AB424/U424</f>
        <v>344.36500000000001</v>
      </c>
      <c r="AG424" s="130">
        <f>AB424/V424</f>
        <v>2.2957666666666667</v>
      </c>
      <c r="AH424" s="123">
        <f>AB424/S424</f>
        <v>0.30678396436525612</v>
      </c>
      <c r="AI424" s="124" t="s">
        <v>1044</v>
      </c>
      <c r="AJ424" s="125" t="s">
        <v>349</v>
      </c>
      <c r="AK424"/>
      <c r="AM424" s="80"/>
    </row>
    <row r="425" spans="1:39" ht="28.5" customHeight="1">
      <c r="A425" s="113" t="s">
        <v>73</v>
      </c>
      <c r="B425" s="114" t="s">
        <v>74</v>
      </c>
      <c r="C425" s="113" t="s">
        <v>35</v>
      </c>
      <c r="D425" s="113" t="s">
        <v>218</v>
      </c>
      <c r="E425" s="115" t="s">
        <v>1670</v>
      </c>
      <c r="F425" s="113" t="s">
        <v>142</v>
      </c>
      <c r="G425" s="116" t="s">
        <v>1671</v>
      </c>
      <c r="H425" s="79">
        <v>46189</v>
      </c>
      <c r="I425" s="114" t="s">
        <v>79</v>
      </c>
      <c r="J425" s="117" t="s">
        <v>1672</v>
      </c>
      <c r="K425" s="118">
        <v>46181</v>
      </c>
      <c r="L425" s="114" t="s">
        <v>81</v>
      </c>
      <c r="M425" s="119">
        <v>46182</v>
      </c>
      <c r="N425" s="128">
        <v>46182</v>
      </c>
      <c r="O425" s="120">
        <f>NETWORKDAYS.INTL(K425,N425,1,$AM$2:$AM$10)-1</f>
        <v>1</v>
      </c>
      <c r="P425" s="114" t="s">
        <v>81</v>
      </c>
      <c r="Q425" s="114" t="s">
        <v>79</v>
      </c>
      <c r="R425" s="115"/>
      <c r="S425" s="145">
        <v>429</v>
      </c>
      <c r="T425" s="148" t="s">
        <v>1673</v>
      </c>
      <c r="U425" s="147">
        <v>1</v>
      </c>
      <c r="V425" s="121">
        <v>1</v>
      </c>
      <c r="W425" s="121">
        <v>180</v>
      </c>
      <c r="X425" s="114" t="s">
        <v>84</v>
      </c>
      <c r="Y425" s="115" t="s">
        <v>85</v>
      </c>
      <c r="Z425" s="115" t="s">
        <v>1208</v>
      </c>
      <c r="AA425" s="113" t="s">
        <v>87</v>
      </c>
      <c r="AB425" s="122">
        <v>185</v>
      </c>
      <c r="AC425" s="122">
        <f>IF(C425="DENALI", AB425*0.495, IF(C425="SCHNEIDER ELECTRIC", AB425*1.136, IF(C425="WWT", AB425*1.2, AC425)))+AB425</f>
        <v>276.57499999999999</v>
      </c>
      <c r="AD425" s="129">
        <f>AC425-AB425</f>
        <v>91.574999999999989</v>
      </c>
      <c r="AE425" s="122">
        <v>2574.21</v>
      </c>
      <c r="AF425" s="130">
        <f>AB425/U425</f>
        <v>185</v>
      </c>
      <c r="AG425" s="130">
        <f>AB425/V425</f>
        <v>185</v>
      </c>
      <c r="AH425" s="123">
        <f>AB425/S425</f>
        <v>0.43123543123543123</v>
      </c>
      <c r="AI425" s="124" t="s">
        <v>97</v>
      </c>
      <c r="AJ425" s="125" t="s">
        <v>349</v>
      </c>
      <c r="AK425"/>
      <c r="AM425" s="80"/>
    </row>
    <row r="426" spans="1:39" ht="28.5" customHeight="1">
      <c r="A426" s="113" t="s">
        <v>73</v>
      </c>
      <c r="B426" s="114" t="s">
        <v>74</v>
      </c>
      <c r="C426" s="113" t="s">
        <v>35</v>
      </c>
      <c r="D426" s="113" t="s">
        <v>218</v>
      </c>
      <c r="E426" s="115" t="s">
        <v>1674</v>
      </c>
      <c r="F426" s="113" t="s">
        <v>228</v>
      </c>
      <c r="G426" s="116" t="s">
        <v>1675</v>
      </c>
      <c r="H426" s="79">
        <v>46189</v>
      </c>
      <c r="I426" s="114" t="s">
        <v>79</v>
      </c>
      <c r="J426" s="117" t="s">
        <v>1676</v>
      </c>
      <c r="K426" s="118">
        <v>46181</v>
      </c>
      <c r="L426" s="114" t="s">
        <v>81</v>
      </c>
      <c r="M426" s="119">
        <v>46182</v>
      </c>
      <c r="N426" s="128">
        <v>46182</v>
      </c>
      <c r="O426" s="120">
        <f>NETWORKDAYS.INTL(K426,N426,1,$AM$2:$AM$10)-1</f>
        <v>1</v>
      </c>
      <c r="P426" s="114" t="s">
        <v>81</v>
      </c>
      <c r="Q426" s="114" t="s">
        <v>79</v>
      </c>
      <c r="R426" s="115"/>
      <c r="S426" s="145">
        <v>179</v>
      </c>
      <c r="T426" s="148" t="s">
        <v>1677</v>
      </c>
      <c r="U426" s="147">
        <v>1</v>
      </c>
      <c r="V426" s="121">
        <v>20</v>
      </c>
      <c r="W426" s="121">
        <v>365</v>
      </c>
      <c r="X426" s="114" t="s">
        <v>84</v>
      </c>
      <c r="Y426" s="115" t="s">
        <v>85</v>
      </c>
      <c r="Z426" s="115" t="s">
        <v>1208</v>
      </c>
      <c r="AA426" s="113" t="s">
        <v>87</v>
      </c>
      <c r="AB426" s="122">
        <v>160.01</v>
      </c>
      <c r="AC426" s="122">
        <f>IF(C426="DENALI", AB426*0.495, IF(C426="SCHNEIDER ELECTRIC", AB426*1.136, IF(C426="WWT", AB426*1.2, AC426)))+AB426</f>
        <v>239.21494999999999</v>
      </c>
      <c r="AD426" s="129">
        <f>AC426-AB426</f>
        <v>79.204949999999997</v>
      </c>
      <c r="AE426" s="122">
        <v>8210.4</v>
      </c>
      <c r="AF426" s="130">
        <f>AB426/U426</f>
        <v>160.01</v>
      </c>
      <c r="AG426" s="130">
        <f>AB426/V426</f>
        <v>8.0004999999999988</v>
      </c>
      <c r="AH426" s="123">
        <f>AB426/S426</f>
        <v>0.89391061452513965</v>
      </c>
      <c r="AI426" s="124" t="s">
        <v>97</v>
      </c>
      <c r="AJ426" s="125" t="s">
        <v>349</v>
      </c>
      <c r="AK426"/>
      <c r="AM426" s="80"/>
    </row>
    <row r="427" spans="1:39" ht="28.5" customHeight="1">
      <c r="A427" s="113" t="s">
        <v>73</v>
      </c>
      <c r="B427" s="114" t="s">
        <v>74</v>
      </c>
      <c r="C427" s="113" t="s">
        <v>36</v>
      </c>
      <c r="D427" s="113" t="s">
        <v>75</v>
      </c>
      <c r="E427" s="115" t="s">
        <v>1678</v>
      </c>
      <c r="F427" s="113" t="s">
        <v>1679</v>
      </c>
      <c r="G427" s="116" t="s">
        <v>1680</v>
      </c>
      <c r="H427" s="79">
        <v>46190</v>
      </c>
      <c r="I427" s="114" t="s">
        <v>79</v>
      </c>
      <c r="J427" s="117" t="s">
        <v>1681</v>
      </c>
      <c r="K427" s="118">
        <v>46182</v>
      </c>
      <c r="L427" s="114" t="s">
        <v>81</v>
      </c>
      <c r="M427" s="119">
        <v>46183</v>
      </c>
      <c r="N427" s="128">
        <v>46182</v>
      </c>
      <c r="O427" s="120">
        <f>NETWORKDAYS.INTL(K427,N427,1,$AM$2:$AM$10)-1</f>
        <v>0</v>
      </c>
      <c r="P427" s="114" t="s">
        <v>81</v>
      </c>
      <c r="Q427" s="114" t="s">
        <v>79</v>
      </c>
      <c r="R427" s="115"/>
      <c r="S427" s="145">
        <v>1162</v>
      </c>
      <c r="T427" s="148" t="s">
        <v>1682</v>
      </c>
      <c r="U427" s="147">
        <v>1</v>
      </c>
      <c r="V427" s="121">
        <v>5</v>
      </c>
      <c r="W427" s="121">
        <v>562</v>
      </c>
      <c r="X427" s="114" t="s">
        <v>84</v>
      </c>
      <c r="Y427" s="115" t="s">
        <v>85</v>
      </c>
      <c r="Z427" s="115" t="s">
        <v>86</v>
      </c>
      <c r="AA427" s="113" t="s">
        <v>87</v>
      </c>
      <c r="AB427" s="122">
        <v>319.27999999999997</v>
      </c>
      <c r="AC427" s="122">
        <f>IF(C427="DENALI", AB427*0.495, IF(C427="SCHNEIDER ELECTRIC", AB427*1.136, IF(C427="WWT", AB427*1.2, AC427)))+AB427</f>
        <v>681.98207999999988</v>
      </c>
      <c r="AD427" s="129">
        <f>AC427-AB427</f>
        <v>362.70207999999991</v>
      </c>
      <c r="AE427" s="122">
        <v>7886.96</v>
      </c>
      <c r="AF427" s="130">
        <f>AB427/U427</f>
        <v>319.27999999999997</v>
      </c>
      <c r="AG427" s="130">
        <f>AB427/V427</f>
        <v>63.855999999999995</v>
      </c>
      <c r="AH427" s="123">
        <f>AB427/S427</f>
        <v>0.27476764199655762</v>
      </c>
      <c r="AI427" s="124" t="s">
        <v>240</v>
      </c>
      <c r="AJ427" s="125" t="s">
        <v>343</v>
      </c>
      <c r="AK427"/>
      <c r="AM427" s="80"/>
    </row>
    <row r="428" spans="1:39" ht="28.5" customHeight="1">
      <c r="A428" s="113" t="s">
        <v>73</v>
      </c>
      <c r="B428" s="114" t="s">
        <v>140</v>
      </c>
      <c r="C428" s="113" t="s">
        <v>36</v>
      </c>
      <c r="D428" s="113" t="s">
        <v>75</v>
      </c>
      <c r="E428" s="115" t="s">
        <v>1453</v>
      </c>
      <c r="F428" s="113" t="s">
        <v>142</v>
      </c>
      <c r="G428" s="116" t="s">
        <v>1683</v>
      </c>
      <c r="H428" s="79">
        <v>46190</v>
      </c>
      <c r="I428" s="114" t="s">
        <v>79</v>
      </c>
      <c r="J428" s="117" t="s">
        <v>1684</v>
      </c>
      <c r="K428" s="118">
        <v>46182</v>
      </c>
      <c r="L428" s="114" t="s">
        <v>81</v>
      </c>
      <c r="M428" s="119">
        <v>46184</v>
      </c>
      <c r="N428" s="128">
        <v>46185</v>
      </c>
      <c r="O428" s="120">
        <f>NETWORKDAYS.INTL(K428,N428,1,$AM$2:$AM$10)-1</f>
        <v>3</v>
      </c>
      <c r="P428" s="114" t="s">
        <v>81</v>
      </c>
      <c r="Q428" s="114" t="s">
        <v>79</v>
      </c>
      <c r="R428" s="115"/>
      <c r="S428" s="145">
        <v>721</v>
      </c>
      <c r="T428" s="148" t="s">
        <v>1685</v>
      </c>
      <c r="U428" s="147">
        <v>1</v>
      </c>
      <c r="V428" s="121">
        <v>5</v>
      </c>
      <c r="W428" s="121">
        <v>562</v>
      </c>
      <c r="X428" s="114" t="s">
        <v>84</v>
      </c>
      <c r="Y428" s="115" t="s">
        <v>85</v>
      </c>
      <c r="Z428" s="115" t="s">
        <v>86</v>
      </c>
      <c r="AA428" s="113" t="s">
        <v>87</v>
      </c>
      <c r="AB428" s="122">
        <v>260.33999999999997</v>
      </c>
      <c r="AC428" s="122">
        <f>IF(C428="DENALI", AB428*0.495, IF(C428="SCHNEIDER ELECTRIC", AB428*1.136, IF(C428="WWT", AB428*1.2, AC428)))+AB428</f>
        <v>556.08623999999986</v>
      </c>
      <c r="AD428" s="129">
        <f>AC428-AB428</f>
        <v>295.74623999999989</v>
      </c>
      <c r="AE428" s="122">
        <v>12003.01</v>
      </c>
      <c r="AF428" s="130">
        <f>AB428/U428</f>
        <v>260.33999999999997</v>
      </c>
      <c r="AG428" s="130">
        <f>AB428/V428</f>
        <v>52.067999999999998</v>
      </c>
      <c r="AH428" s="123">
        <f>AB428/S428</f>
        <v>0.3610818307905686</v>
      </c>
      <c r="AI428" s="124" t="s">
        <v>106</v>
      </c>
      <c r="AJ428" s="125" t="s">
        <v>349</v>
      </c>
      <c r="AK428"/>
      <c r="AM428" s="80"/>
    </row>
    <row r="429" spans="1:39" ht="28.5" customHeight="1">
      <c r="A429" s="113" t="s">
        <v>73</v>
      </c>
      <c r="B429" s="114" t="s">
        <v>140</v>
      </c>
      <c r="C429" s="113" t="s">
        <v>35</v>
      </c>
      <c r="D429" s="113" t="s">
        <v>99</v>
      </c>
      <c r="E429" s="115" t="s">
        <v>141</v>
      </c>
      <c r="F429" s="113" t="s">
        <v>142</v>
      </c>
      <c r="G429" s="116" t="s">
        <v>1686</v>
      </c>
      <c r="H429" s="79">
        <v>46190</v>
      </c>
      <c r="I429" s="114" t="s">
        <v>79</v>
      </c>
      <c r="J429" s="117" t="s">
        <v>1687</v>
      </c>
      <c r="K429" s="118">
        <v>46182</v>
      </c>
      <c r="L429" s="114" t="s">
        <v>81</v>
      </c>
      <c r="M429" s="119">
        <v>46184</v>
      </c>
      <c r="N429" s="128">
        <v>46189</v>
      </c>
      <c r="O429" s="120">
        <f>NETWORKDAYS.INTL(K429,N429,1,$AM$2:$AM$10)-1</f>
        <v>5</v>
      </c>
      <c r="P429" s="114" t="s">
        <v>81</v>
      </c>
      <c r="Q429" s="114" t="s">
        <v>79</v>
      </c>
      <c r="R429" s="115"/>
      <c r="S429" s="145">
        <v>2435</v>
      </c>
      <c r="T429" s="148" t="s">
        <v>1625</v>
      </c>
      <c r="U429" s="147">
        <v>2</v>
      </c>
      <c r="V429" s="121">
        <v>67</v>
      </c>
      <c r="W429" s="121">
        <v>590</v>
      </c>
      <c r="X429" s="114" t="s">
        <v>84</v>
      </c>
      <c r="Y429" s="115" t="s">
        <v>85</v>
      </c>
      <c r="Z429" s="115" t="s">
        <v>86</v>
      </c>
      <c r="AA429" s="113" t="s">
        <v>87</v>
      </c>
      <c r="AB429" s="122">
        <v>798.49</v>
      </c>
      <c r="AC429" s="122">
        <f>IF(C429="DENALI", AB429*0.495, IF(C429="SCHNEIDER ELECTRIC", AB429*1.136, IF(C429="WWT", AB429*1.2, AC429)))+AB429</f>
        <v>1193.7425499999999</v>
      </c>
      <c r="AD429" s="129">
        <f>AC429-AB429</f>
        <v>395.25254999999993</v>
      </c>
      <c r="AE429" s="122">
        <v>44432</v>
      </c>
      <c r="AF429" s="130">
        <f>AB429/U429</f>
        <v>399.245</v>
      </c>
      <c r="AG429" s="130">
        <f>AB429/V429</f>
        <v>11.91776119402985</v>
      </c>
      <c r="AH429" s="123">
        <f>AB429/S429</f>
        <v>0.32792197125256672</v>
      </c>
      <c r="AI429" s="124" t="s">
        <v>97</v>
      </c>
      <c r="AJ429" s="125" t="s">
        <v>349</v>
      </c>
      <c r="AK429"/>
      <c r="AM429" s="80"/>
    </row>
    <row r="430" spans="1:39" ht="28.5" customHeight="1">
      <c r="A430" s="113" t="s">
        <v>73</v>
      </c>
      <c r="B430" s="114" t="s">
        <v>140</v>
      </c>
      <c r="C430" s="113" t="s">
        <v>36</v>
      </c>
      <c r="D430" s="113" t="s">
        <v>75</v>
      </c>
      <c r="E430" s="115" t="s">
        <v>141</v>
      </c>
      <c r="F430" s="113" t="s">
        <v>142</v>
      </c>
      <c r="G430" s="116" t="s">
        <v>1688</v>
      </c>
      <c r="H430" s="79">
        <v>46190</v>
      </c>
      <c r="I430" s="114" t="s">
        <v>79</v>
      </c>
      <c r="J430" s="117" t="s">
        <v>1689</v>
      </c>
      <c r="K430" s="118">
        <v>46182</v>
      </c>
      <c r="L430" s="114" t="s">
        <v>81</v>
      </c>
      <c r="M430" s="119">
        <v>46184</v>
      </c>
      <c r="N430" s="128">
        <v>46185</v>
      </c>
      <c r="O430" s="120">
        <f>NETWORKDAYS.INTL(K430,N430,1,$AM$2:$AM$10)-1</f>
        <v>3</v>
      </c>
      <c r="P430" s="114" t="s">
        <v>81</v>
      </c>
      <c r="Q430" s="114" t="s">
        <v>79</v>
      </c>
      <c r="R430" s="115"/>
      <c r="S430" s="145">
        <v>721</v>
      </c>
      <c r="T430" s="148" t="s">
        <v>1690</v>
      </c>
      <c r="U430" s="147">
        <v>1</v>
      </c>
      <c r="V430" s="121">
        <v>5</v>
      </c>
      <c r="W430" s="121">
        <v>562</v>
      </c>
      <c r="X430" s="114" t="s">
        <v>84</v>
      </c>
      <c r="Y430" s="115" t="s">
        <v>85</v>
      </c>
      <c r="Z430" s="115" t="s">
        <v>86</v>
      </c>
      <c r="AA430" s="113" t="s">
        <v>87</v>
      </c>
      <c r="AB430" s="122">
        <v>260.33999999999997</v>
      </c>
      <c r="AC430" s="122">
        <f>IF(C430="DENALI", AB430*0.495, IF(C430="SCHNEIDER ELECTRIC", AB430*1.136, IF(C430="WWT", AB430*1.2, AC430)))+AB430</f>
        <v>556.08623999999986</v>
      </c>
      <c r="AD430" s="129">
        <f>AC430-AB430</f>
        <v>295.74623999999989</v>
      </c>
      <c r="AE430" s="122">
        <v>12004.01</v>
      </c>
      <c r="AF430" s="130">
        <f>AB430/U430</f>
        <v>260.33999999999997</v>
      </c>
      <c r="AG430" s="130">
        <f>AB430/V430</f>
        <v>52.067999999999998</v>
      </c>
      <c r="AH430" s="123">
        <f>AB430/S430</f>
        <v>0.3610818307905686</v>
      </c>
      <c r="AI430" s="124" t="s">
        <v>106</v>
      </c>
      <c r="AJ430" s="125" t="s">
        <v>349</v>
      </c>
      <c r="AK430"/>
      <c r="AM430" s="80"/>
    </row>
    <row r="431" spans="1:39" ht="28.5" customHeight="1">
      <c r="A431" s="113" t="s">
        <v>73</v>
      </c>
      <c r="B431" s="114" t="s">
        <v>74</v>
      </c>
      <c r="C431" s="113" t="s">
        <v>35</v>
      </c>
      <c r="D431" s="113" t="s">
        <v>99</v>
      </c>
      <c r="E431" s="115" t="s">
        <v>1691</v>
      </c>
      <c r="F431" s="113" t="s">
        <v>92</v>
      </c>
      <c r="G431" s="116">
        <v>23268074</v>
      </c>
      <c r="H431" s="79">
        <v>46191</v>
      </c>
      <c r="I431" s="114" t="s">
        <v>79</v>
      </c>
      <c r="J431" s="117" t="s">
        <v>1692</v>
      </c>
      <c r="K431" s="118">
        <v>46183</v>
      </c>
      <c r="L431" s="114" t="s">
        <v>81</v>
      </c>
      <c r="M431" s="119">
        <v>46188</v>
      </c>
      <c r="N431" s="128">
        <v>46188</v>
      </c>
      <c r="O431" s="120">
        <f>NETWORKDAYS.INTL(K431,N431,1,$AM$2:$AM$10)-1</f>
        <v>3</v>
      </c>
      <c r="P431" s="114" t="s">
        <v>81</v>
      </c>
      <c r="Q431" s="114" t="s">
        <v>79</v>
      </c>
      <c r="R431" s="115"/>
      <c r="S431" s="145">
        <v>2115</v>
      </c>
      <c r="T431" s="148" t="s">
        <v>1693</v>
      </c>
      <c r="U431" s="147">
        <v>10</v>
      </c>
      <c r="V431" s="121">
        <v>209</v>
      </c>
      <c r="W431" s="121">
        <v>8370</v>
      </c>
      <c r="X431" s="114" t="s">
        <v>113</v>
      </c>
      <c r="Y431" s="115" t="s">
        <v>85</v>
      </c>
      <c r="Z431" s="115" t="s">
        <v>1694</v>
      </c>
      <c r="AA431" s="113" t="s">
        <v>87</v>
      </c>
      <c r="AB431" s="122">
        <v>4645.16</v>
      </c>
      <c r="AC431" s="122">
        <f>IF(C431="DENALI", AB431*0.495, IF(C431="SCHNEIDER ELECTRIC", AB431*1.136, IF(C431="WWT", AB431*1.2, AC431)))+AB431</f>
        <v>6944.5141999999996</v>
      </c>
      <c r="AD431" s="129">
        <f>AC431-AB431</f>
        <v>2299.3541999999998</v>
      </c>
      <c r="AE431" s="122">
        <v>78223.95</v>
      </c>
      <c r="AF431" s="130">
        <f>AB431/U431</f>
        <v>464.51599999999996</v>
      </c>
      <c r="AG431" s="130">
        <f>AB431/V431</f>
        <v>22.225645933014352</v>
      </c>
      <c r="AH431" s="123">
        <f>AB431/S431</f>
        <v>2.1962931442080378</v>
      </c>
      <c r="AI431" s="124" t="s">
        <v>147</v>
      </c>
      <c r="AJ431" s="125" t="s">
        <v>349</v>
      </c>
      <c r="AK431"/>
      <c r="AM431" s="80"/>
    </row>
    <row r="432" spans="1:39" ht="28.5" customHeight="1">
      <c r="A432" s="113" t="s">
        <v>73</v>
      </c>
      <c r="B432" s="114" t="s">
        <v>74</v>
      </c>
      <c r="C432" s="113" t="s">
        <v>35</v>
      </c>
      <c r="D432" s="113" t="s">
        <v>218</v>
      </c>
      <c r="E432" s="115" t="s">
        <v>1453</v>
      </c>
      <c r="F432" s="113" t="s">
        <v>142</v>
      </c>
      <c r="G432" s="116" t="s">
        <v>1695</v>
      </c>
      <c r="H432" s="79">
        <v>46192</v>
      </c>
      <c r="I432" s="114" t="s">
        <v>79</v>
      </c>
      <c r="J432" s="117" t="s">
        <v>1696</v>
      </c>
      <c r="K432" s="118">
        <v>46184</v>
      </c>
      <c r="L432" s="114" t="s">
        <v>81</v>
      </c>
      <c r="M432" s="119">
        <v>46185</v>
      </c>
      <c r="N432" s="128">
        <v>46189</v>
      </c>
      <c r="O432" s="120">
        <f>NETWORKDAYS.INTL(K432,N432,1,$AM$2:$AM$10)-1</f>
        <v>3</v>
      </c>
      <c r="P432" s="114" t="s">
        <v>81</v>
      </c>
      <c r="Q432" s="114" t="s">
        <v>79</v>
      </c>
      <c r="R432" s="115"/>
      <c r="S432" s="145">
        <v>441</v>
      </c>
      <c r="T432" s="148" t="s">
        <v>1697</v>
      </c>
      <c r="U432" s="147">
        <v>3</v>
      </c>
      <c r="V432" s="121">
        <v>3</v>
      </c>
      <c r="W432" s="121">
        <v>1125</v>
      </c>
      <c r="X432" s="114" t="s">
        <v>84</v>
      </c>
      <c r="Y432" s="115" t="s">
        <v>85</v>
      </c>
      <c r="Z432" s="115" t="s">
        <v>160</v>
      </c>
      <c r="AA432" s="113" t="s">
        <v>87</v>
      </c>
      <c r="AB432" s="122">
        <v>880.03</v>
      </c>
      <c r="AC432" s="122">
        <f>IF(C432="DENALI", AB432*0.495, IF(C432="SCHNEIDER ELECTRIC", AB432*1.136, IF(C432="WWT", AB432*1.2, AC432)))+AB432</f>
        <v>1315.6448499999999</v>
      </c>
      <c r="AD432" s="129">
        <f>AC432-AB432</f>
        <v>435.61484999999993</v>
      </c>
      <c r="AE432" s="122">
        <v>20350.95</v>
      </c>
      <c r="AF432" s="130">
        <f>AB432/U432</f>
        <v>293.34333333333331</v>
      </c>
      <c r="AG432" s="130">
        <f>AB432/V432</f>
        <v>293.34333333333331</v>
      </c>
      <c r="AH432" s="123">
        <f>AB432/S432</f>
        <v>1.9955328798185941</v>
      </c>
      <c r="AI432" s="124" t="s">
        <v>155</v>
      </c>
      <c r="AJ432" s="125" t="s">
        <v>89</v>
      </c>
      <c r="AK432"/>
      <c r="AM432" s="80"/>
    </row>
    <row r="433" spans="1:39" ht="28.5" customHeight="1">
      <c r="A433" s="113" t="s">
        <v>73</v>
      </c>
      <c r="B433" s="114" t="s">
        <v>74</v>
      </c>
      <c r="C433" s="113" t="s">
        <v>36</v>
      </c>
      <c r="D433" s="113" t="s">
        <v>90</v>
      </c>
      <c r="E433" s="115" t="s">
        <v>1651</v>
      </c>
      <c r="F433" s="113" t="s">
        <v>90</v>
      </c>
      <c r="G433" s="116" t="s">
        <v>1698</v>
      </c>
      <c r="H433" s="79">
        <v>46191</v>
      </c>
      <c r="I433" s="114" t="s">
        <v>79</v>
      </c>
      <c r="J433" s="117" t="s">
        <v>1699</v>
      </c>
      <c r="K433" s="118">
        <v>46183</v>
      </c>
      <c r="L433" s="114" t="s">
        <v>81</v>
      </c>
      <c r="M433" s="119">
        <v>46184</v>
      </c>
      <c r="N433" s="128">
        <v>46184</v>
      </c>
      <c r="O433" s="120">
        <f>NETWORKDAYS.INTL(K433,N433,1,$AM$2:$AM$10)-1</f>
        <v>1</v>
      </c>
      <c r="P433" s="114" t="s">
        <v>81</v>
      </c>
      <c r="Q433" s="114" t="s">
        <v>79</v>
      </c>
      <c r="R433" s="115"/>
      <c r="S433" s="145">
        <v>28</v>
      </c>
      <c r="T433" s="148" t="s">
        <v>1654</v>
      </c>
      <c r="U433" s="147">
        <v>1</v>
      </c>
      <c r="V433" s="121">
        <v>1</v>
      </c>
      <c r="W433" s="121">
        <v>271</v>
      </c>
      <c r="X433" s="114" t="s">
        <v>84</v>
      </c>
      <c r="Y433" s="115" t="s">
        <v>85</v>
      </c>
      <c r="Z433" s="115" t="s">
        <v>86</v>
      </c>
      <c r="AA433" s="113" t="s">
        <v>87</v>
      </c>
      <c r="AB433" s="122">
        <v>189.72</v>
      </c>
      <c r="AC433" s="122">
        <f>IF(C433="DENALI", AB433*0.495, IF(C433="SCHNEIDER ELECTRIC", AB433*1.136, IF(C433="WWT", AB433*1.2, AC433)))+AB433</f>
        <v>405.24191999999994</v>
      </c>
      <c r="AD433" s="129">
        <f>AC433-AB433</f>
        <v>215.52191999999994</v>
      </c>
      <c r="AE433" s="122">
        <v>10925.2</v>
      </c>
      <c r="AF433" s="130">
        <f>AB433/U433</f>
        <v>189.72</v>
      </c>
      <c r="AG433" s="130">
        <f>AB433/V433</f>
        <v>189.72</v>
      </c>
      <c r="AH433" s="123">
        <f>AB433/S433</f>
        <v>6.7757142857142858</v>
      </c>
      <c r="AI433" s="124" t="s">
        <v>97</v>
      </c>
      <c r="AJ433" s="125" t="s">
        <v>98</v>
      </c>
      <c r="AK433"/>
      <c r="AM433" s="80"/>
    </row>
    <row r="434" spans="1:39" ht="28.5" customHeight="1">
      <c r="A434" s="113" t="s">
        <v>73</v>
      </c>
      <c r="B434" s="114" t="s">
        <v>74</v>
      </c>
      <c r="C434" s="113" t="s">
        <v>36</v>
      </c>
      <c r="D434" s="113" t="s">
        <v>90</v>
      </c>
      <c r="E434" s="115" t="s">
        <v>1700</v>
      </c>
      <c r="F434" s="113" t="s">
        <v>92</v>
      </c>
      <c r="G434" s="116" t="s">
        <v>1701</v>
      </c>
      <c r="H434" s="79">
        <v>46191</v>
      </c>
      <c r="I434" s="114" t="s">
        <v>79</v>
      </c>
      <c r="J434" s="117" t="s">
        <v>1702</v>
      </c>
      <c r="K434" s="118">
        <v>46183</v>
      </c>
      <c r="L434" s="114" t="s">
        <v>81</v>
      </c>
      <c r="M434" s="119">
        <v>46188</v>
      </c>
      <c r="N434" s="128">
        <v>46188</v>
      </c>
      <c r="O434" s="120">
        <f>NETWORKDAYS.INTL(K434,N434,1,$AM$2:$AM$10)-1</f>
        <v>3</v>
      </c>
      <c r="P434" s="114" t="s">
        <v>81</v>
      </c>
      <c r="Q434" s="114" t="s">
        <v>79</v>
      </c>
      <c r="R434" s="115"/>
      <c r="S434" s="145">
        <v>1404</v>
      </c>
      <c r="T434" s="148" t="s">
        <v>1703</v>
      </c>
      <c r="U434" s="147">
        <v>1</v>
      </c>
      <c r="V434" s="121">
        <v>2</v>
      </c>
      <c r="W434" s="121">
        <v>340</v>
      </c>
      <c r="X434" s="114" t="s">
        <v>84</v>
      </c>
      <c r="Y434" s="115" t="s">
        <v>85</v>
      </c>
      <c r="Z434" s="115" t="s">
        <v>86</v>
      </c>
      <c r="AA434" s="113" t="s">
        <v>87</v>
      </c>
      <c r="AB434" s="122">
        <v>348.92</v>
      </c>
      <c r="AC434" s="122">
        <f>IF(C434="DENALI", AB434*0.495, IF(C434="SCHNEIDER ELECTRIC", AB434*1.136, IF(C434="WWT", AB434*1.2, AC434)))+AB434</f>
        <v>745.29312000000004</v>
      </c>
      <c r="AD434" s="129">
        <f>AC434-AB434</f>
        <v>396.37312000000003</v>
      </c>
      <c r="AE434" s="122">
        <v>8234.1</v>
      </c>
      <c r="AF434" s="130">
        <f>AB434/U434</f>
        <v>348.92</v>
      </c>
      <c r="AG434" s="130">
        <f>AB434/V434</f>
        <v>174.46</v>
      </c>
      <c r="AH434" s="123">
        <f>AB434/S434</f>
        <v>0.24851851851851853</v>
      </c>
      <c r="AI434" s="124" t="s">
        <v>97</v>
      </c>
      <c r="AJ434" s="125" t="s">
        <v>98</v>
      </c>
      <c r="AK434"/>
      <c r="AM434" s="80"/>
    </row>
    <row r="435" spans="1:39" ht="28.5" customHeight="1">
      <c r="A435" s="113" t="s">
        <v>73</v>
      </c>
      <c r="B435" s="114" t="s">
        <v>74</v>
      </c>
      <c r="C435" s="113" t="s">
        <v>36</v>
      </c>
      <c r="D435" s="113" t="s">
        <v>90</v>
      </c>
      <c r="E435" s="115" t="s">
        <v>1704</v>
      </c>
      <c r="F435" s="113" t="s">
        <v>292</v>
      </c>
      <c r="G435" s="116" t="s">
        <v>1705</v>
      </c>
      <c r="H435" s="79">
        <v>46191</v>
      </c>
      <c r="I435" s="114" t="s">
        <v>79</v>
      </c>
      <c r="J435" s="117" t="s">
        <v>1706</v>
      </c>
      <c r="K435" s="118">
        <v>46183</v>
      </c>
      <c r="L435" s="114" t="s">
        <v>81</v>
      </c>
      <c r="M435" s="119">
        <v>46185</v>
      </c>
      <c r="N435" s="128">
        <v>46185</v>
      </c>
      <c r="O435" s="120">
        <f>NETWORKDAYS.INTL(K435,N435,1,$AM$2:$AM$10)-1</f>
        <v>2</v>
      </c>
      <c r="P435" s="114" t="s">
        <v>81</v>
      </c>
      <c r="Q435" s="114" t="s">
        <v>79</v>
      </c>
      <c r="R435" s="115"/>
      <c r="S435" s="145">
        <v>988</v>
      </c>
      <c r="T435" s="148" t="s">
        <v>1707</v>
      </c>
      <c r="U435" s="147">
        <v>1</v>
      </c>
      <c r="V435" s="121">
        <v>4</v>
      </c>
      <c r="W435" s="121">
        <v>348</v>
      </c>
      <c r="X435" s="114" t="s">
        <v>84</v>
      </c>
      <c r="Y435" s="115" t="s">
        <v>85</v>
      </c>
      <c r="Z435" s="115" t="s">
        <v>86</v>
      </c>
      <c r="AA435" s="113" t="s">
        <v>87</v>
      </c>
      <c r="AB435" s="122">
        <v>291.08</v>
      </c>
      <c r="AC435" s="122">
        <f>IF(C435="DENALI", AB435*0.495, IF(C435="SCHNEIDER ELECTRIC", AB435*1.136, IF(C435="WWT", AB435*1.2, AC435)))+AB435</f>
        <v>621.74687999999992</v>
      </c>
      <c r="AD435" s="129">
        <f>AC435-AB435</f>
        <v>330.66687999999994</v>
      </c>
      <c r="AE435" s="122">
        <v>1986.4</v>
      </c>
      <c r="AF435" s="130">
        <f>AB435/U435</f>
        <v>291.08</v>
      </c>
      <c r="AG435" s="130">
        <f>AB435/V435</f>
        <v>72.77</v>
      </c>
      <c r="AH435" s="123">
        <f>AB435/S435</f>
        <v>0.29461538461538461</v>
      </c>
      <c r="AI435" s="124" t="s">
        <v>147</v>
      </c>
      <c r="AJ435" s="125" t="s">
        <v>98</v>
      </c>
      <c r="AK435"/>
      <c r="AM435" s="80"/>
    </row>
    <row r="436" spans="1:39" ht="28.5" customHeight="1">
      <c r="A436" s="113" t="s">
        <v>73</v>
      </c>
      <c r="B436" s="114" t="s">
        <v>74</v>
      </c>
      <c r="C436" s="113" t="s">
        <v>35</v>
      </c>
      <c r="D436" s="113" t="s">
        <v>99</v>
      </c>
      <c r="E436" s="115" t="s">
        <v>1368</v>
      </c>
      <c r="F436" s="113" t="s">
        <v>90</v>
      </c>
      <c r="G436" s="116" t="s">
        <v>1708</v>
      </c>
      <c r="H436" s="79">
        <v>46191</v>
      </c>
      <c r="I436" s="114" t="s">
        <v>79</v>
      </c>
      <c r="J436" s="117" t="s">
        <v>1709</v>
      </c>
      <c r="K436" s="118">
        <v>46183</v>
      </c>
      <c r="L436" s="114" t="s">
        <v>81</v>
      </c>
      <c r="M436" s="119">
        <v>46185</v>
      </c>
      <c r="N436" s="128">
        <v>46188</v>
      </c>
      <c r="O436" s="120">
        <f>NETWORKDAYS.INTL(K436,N436,1,$AM$2:$AM$10)-1</f>
        <v>3</v>
      </c>
      <c r="P436" s="114" t="s">
        <v>81</v>
      </c>
      <c r="Q436" s="114" t="s">
        <v>79</v>
      </c>
      <c r="R436" s="115"/>
      <c r="S436" s="145">
        <v>1290</v>
      </c>
      <c r="T436" s="148" t="s">
        <v>1710</v>
      </c>
      <c r="U436" s="147">
        <v>1</v>
      </c>
      <c r="V436" s="121">
        <v>10</v>
      </c>
      <c r="W436" s="121">
        <v>470</v>
      </c>
      <c r="X436" s="114" t="s">
        <v>84</v>
      </c>
      <c r="Y436" s="115" t="s">
        <v>85</v>
      </c>
      <c r="Z436" s="115" t="s">
        <v>86</v>
      </c>
      <c r="AA436" s="113" t="s">
        <v>87</v>
      </c>
      <c r="AB436" s="122">
        <v>255.04</v>
      </c>
      <c r="AC436" s="122">
        <f>IF(C436="DENALI", AB436*0.495, IF(C436="SCHNEIDER ELECTRIC", AB436*1.136, IF(C436="WWT", AB436*1.2, AC436)))+AB436</f>
        <v>381.28480000000002</v>
      </c>
      <c r="AD436" s="129">
        <f>AC436-AB436</f>
        <v>126.24480000000003</v>
      </c>
      <c r="AE436" s="122">
        <v>69770</v>
      </c>
      <c r="AF436" s="130">
        <f>AB436/U436</f>
        <v>255.04</v>
      </c>
      <c r="AG436" s="130">
        <f>AB436/V436</f>
        <v>25.503999999999998</v>
      </c>
      <c r="AH436" s="123">
        <f>AB436/S436</f>
        <v>0.19770542635658914</v>
      </c>
      <c r="AI436" s="124" t="s">
        <v>1044</v>
      </c>
      <c r="AJ436" s="125" t="s">
        <v>349</v>
      </c>
      <c r="AK436"/>
      <c r="AM436" s="80"/>
    </row>
    <row r="437" spans="1:39" ht="28.5" customHeight="1">
      <c r="A437" s="113" t="s">
        <v>73</v>
      </c>
      <c r="B437" s="114" t="s">
        <v>74</v>
      </c>
      <c r="C437" s="113" t="s">
        <v>35</v>
      </c>
      <c r="D437" s="113" t="s">
        <v>218</v>
      </c>
      <c r="E437" s="115" t="s">
        <v>1331</v>
      </c>
      <c r="F437" s="113" t="s">
        <v>396</v>
      </c>
      <c r="G437" s="116" t="s">
        <v>1711</v>
      </c>
      <c r="H437" s="79">
        <v>46192</v>
      </c>
      <c r="I437" s="114" t="s">
        <v>79</v>
      </c>
      <c r="J437" s="117" t="s">
        <v>1712</v>
      </c>
      <c r="K437" s="118">
        <v>46184</v>
      </c>
      <c r="L437" s="114" t="s">
        <v>79</v>
      </c>
      <c r="M437" s="119">
        <v>46188</v>
      </c>
      <c r="N437" s="128">
        <v>46188</v>
      </c>
      <c r="O437" s="120">
        <f>NETWORKDAYS.INTL(K437,N437,1,$AM$2:$AM$10)-1</f>
        <v>2</v>
      </c>
      <c r="P437" s="114" t="s">
        <v>81</v>
      </c>
      <c r="Q437" s="114" t="s">
        <v>79</v>
      </c>
      <c r="R437" s="115"/>
      <c r="S437" s="145">
        <v>628</v>
      </c>
      <c r="T437" s="148" t="s">
        <v>1593</v>
      </c>
      <c r="U437" s="147">
        <v>2</v>
      </c>
      <c r="V437" s="121">
        <v>166</v>
      </c>
      <c r="W437" s="121">
        <v>865</v>
      </c>
      <c r="X437" s="114" t="s">
        <v>84</v>
      </c>
      <c r="Y437" s="115" t="s">
        <v>85</v>
      </c>
      <c r="Z437" s="115" t="s">
        <v>1540</v>
      </c>
      <c r="AA437" s="113" t="s">
        <v>87</v>
      </c>
      <c r="AB437" s="122">
        <v>335.26</v>
      </c>
      <c r="AC437" s="122">
        <f>IF(C437="DENALI", AB437*0.495, IF(C437="SCHNEIDER ELECTRIC", AB437*1.136, IF(C437="WWT", AB437*1.2, AC437)))+AB437</f>
        <v>501.21370000000002</v>
      </c>
      <c r="AD437" s="129">
        <f>AC437-AB437</f>
        <v>165.95370000000003</v>
      </c>
      <c r="AE437" s="122">
        <v>106242.84</v>
      </c>
      <c r="AF437" s="130">
        <f>AB437/U437</f>
        <v>167.63</v>
      </c>
      <c r="AG437" s="130">
        <f>AB437/V437</f>
        <v>2.0196385542168676</v>
      </c>
      <c r="AH437" s="123">
        <f>AB437/S437</f>
        <v>0.53385350318471336</v>
      </c>
      <c r="AI437" s="124" t="s">
        <v>1044</v>
      </c>
      <c r="AJ437" s="125" t="s">
        <v>349</v>
      </c>
      <c r="AK437"/>
      <c r="AM437" s="80"/>
    </row>
    <row r="438" spans="1:39" ht="28.5" customHeight="1">
      <c r="A438" s="113" t="s">
        <v>73</v>
      </c>
      <c r="B438" s="114" t="s">
        <v>74</v>
      </c>
      <c r="C438" s="113" t="s">
        <v>35</v>
      </c>
      <c r="D438" s="113" t="s">
        <v>218</v>
      </c>
      <c r="E438" s="115" t="s">
        <v>498</v>
      </c>
      <c r="F438" s="113" t="s">
        <v>228</v>
      </c>
      <c r="G438" s="116" t="s">
        <v>1713</v>
      </c>
      <c r="H438" s="79">
        <v>46192</v>
      </c>
      <c r="I438" s="114" t="s">
        <v>79</v>
      </c>
      <c r="J438" s="117" t="s">
        <v>1714</v>
      </c>
      <c r="K438" s="118">
        <v>46184</v>
      </c>
      <c r="L438" s="114" t="s">
        <v>81</v>
      </c>
      <c r="M438" s="119">
        <v>46185</v>
      </c>
      <c r="N438" s="128">
        <v>46188</v>
      </c>
      <c r="O438" s="120">
        <f>NETWORKDAYS.INTL(K438,N438,1,$AM$2:$AM$10)-1</f>
        <v>2</v>
      </c>
      <c r="P438" s="114" t="s">
        <v>81</v>
      </c>
      <c r="Q438" s="114" t="s">
        <v>79</v>
      </c>
      <c r="R438" s="115" t="s">
        <v>1715</v>
      </c>
      <c r="S438" s="145">
        <v>183</v>
      </c>
      <c r="T438" s="148" t="s">
        <v>1716</v>
      </c>
      <c r="U438" s="147">
        <v>2</v>
      </c>
      <c r="V438" s="121">
        <v>289</v>
      </c>
      <c r="W438" s="121">
        <v>1410</v>
      </c>
      <c r="X438" s="114" t="s">
        <v>84</v>
      </c>
      <c r="Y438" s="115" t="s">
        <v>85</v>
      </c>
      <c r="Z438" s="115" t="s">
        <v>1208</v>
      </c>
      <c r="AA438" s="113" t="s">
        <v>87</v>
      </c>
      <c r="AB438" s="122">
        <v>215.78</v>
      </c>
      <c r="AC438" s="122">
        <f>IF(C438="DENALI", AB438*0.495, IF(C438="SCHNEIDER ELECTRIC", AB438*1.136, IF(C438="WWT", AB438*1.2, AC438)))+AB438</f>
        <v>322.59109999999998</v>
      </c>
      <c r="AD438" s="129">
        <f>AC438-AB438</f>
        <v>106.81109999999998</v>
      </c>
      <c r="AE438" s="122">
        <v>184538.06</v>
      </c>
      <c r="AF438" s="130">
        <f>AB438/U438</f>
        <v>107.89</v>
      </c>
      <c r="AG438" s="130">
        <f>AB438/V438</f>
        <v>0.746643598615917</v>
      </c>
      <c r="AH438" s="123">
        <f>AB438/S438</f>
        <v>1.1791256830601093</v>
      </c>
      <c r="AI438" s="124" t="s">
        <v>97</v>
      </c>
      <c r="AJ438" s="125" t="s">
        <v>349</v>
      </c>
      <c r="AK438"/>
      <c r="AM438" s="80"/>
    </row>
    <row r="439" spans="1:39" ht="28.5" customHeight="1">
      <c r="A439" s="113" t="s">
        <v>73</v>
      </c>
      <c r="B439" s="114" t="s">
        <v>74</v>
      </c>
      <c r="C439" s="113" t="s">
        <v>35</v>
      </c>
      <c r="D439" s="113" t="s">
        <v>218</v>
      </c>
      <c r="E439" s="115" t="s">
        <v>1717</v>
      </c>
      <c r="F439" s="113" t="s">
        <v>457</v>
      </c>
      <c r="G439" s="116" t="s">
        <v>1718</v>
      </c>
      <c r="H439" s="79">
        <v>46192</v>
      </c>
      <c r="I439" s="114" t="s">
        <v>79</v>
      </c>
      <c r="J439" s="117" t="s">
        <v>1719</v>
      </c>
      <c r="K439" s="118">
        <v>46185</v>
      </c>
      <c r="L439" s="114" t="s">
        <v>81</v>
      </c>
      <c r="M439" s="119">
        <v>46188</v>
      </c>
      <c r="N439" s="128">
        <v>46199</v>
      </c>
      <c r="O439" s="120">
        <f>NETWORKDAYS.INTL(K439,N439,1,$AM$2:$AM$10)-1</f>
        <v>10</v>
      </c>
      <c r="P439" s="114" t="s">
        <v>81</v>
      </c>
      <c r="Q439" s="114" t="s">
        <v>79</v>
      </c>
      <c r="R439" s="115" t="s">
        <v>1720</v>
      </c>
      <c r="S439" s="145">
        <v>378</v>
      </c>
      <c r="T439" s="148" t="s">
        <v>1721</v>
      </c>
      <c r="U439" s="147">
        <v>1</v>
      </c>
      <c r="V439" s="121">
        <v>1</v>
      </c>
      <c r="W439" s="121">
        <v>175</v>
      </c>
      <c r="X439" s="114" t="s">
        <v>84</v>
      </c>
      <c r="Y439" s="115" t="s">
        <v>85</v>
      </c>
      <c r="Z439" s="115" t="s">
        <v>935</v>
      </c>
      <c r="AA439" s="113" t="s">
        <v>87</v>
      </c>
      <c r="AB439" s="122">
        <v>415.66</v>
      </c>
      <c r="AC439" s="122">
        <f>IF(C439="DENALI", AB439*0.495, IF(C439="SCHNEIDER ELECTRIC", AB439*1.136, IF(C439="WWT", AB439*1.2, AC439)))+AB439</f>
        <v>621.4117</v>
      </c>
      <c r="AD439" s="129">
        <f>AC439-AB439</f>
        <v>205.75169999999997</v>
      </c>
      <c r="AE439" s="122">
        <v>4211.3599999999997</v>
      </c>
      <c r="AF439" s="130">
        <f>AB439/U439</f>
        <v>415.66</v>
      </c>
      <c r="AG439" s="130">
        <f>AB439/V439</f>
        <v>415.66</v>
      </c>
      <c r="AH439" s="123">
        <f>AB439/S439</f>
        <v>1.0996296296296297</v>
      </c>
      <c r="AI439" s="124" t="s">
        <v>97</v>
      </c>
      <c r="AJ439" s="125" t="s">
        <v>349</v>
      </c>
      <c r="AK439"/>
      <c r="AM439" s="80"/>
    </row>
    <row r="440" spans="1:39" ht="28.5" customHeight="1">
      <c r="A440" s="113" t="s">
        <v>73</v>
      </c>
      <c r="B440" s="114" t="s">
        <v>74</v>
      </c>
      <c r="C440" s="113" t="s">
        <v>35</v>
      </c>
      <c r="D440" s="113" t="s">
        <v>218</v>
      </c>
      <c r="E440" s="115" t="s">
        <v>1722</v>
      </c>
      <c r="F440" s="113" t="s">
        <v>92</v>
      </c>
      <c r="G440" s="116" t="s">
        <v>1723</v>
      </c>
      <c r="H440" s="79">
        <v>46192</v>
      </c>
      <c r="I440" s="114" t="s">
        <v>79</v>
      </c>
      <c r="J440" s="117" t="s">
        <v>1724</v>
      </c>
      <c r="K440" s="118">
        <v>46184</v>
      </c>
      <c r="L440" s="114" t="s">
        <v>81</v>
      </c>
      <c r="M440" s="119">
        <v>46188</v>
      </c>
      <c r="N440" s="128">
        <v>46188</v>
      </c>
      <c r="O440" s="120">
        <f>NETWORKDAYS.INTL(K440,N440,1,$AM$2:$AM$10)-1</f>
        <v>2</v>
      </c>
      <c r="P440" s="114" t="s">
        <v>81</v>
      </c>
      <c r="Q440" s="114" t="s">
        <v>79</v>
      </c>
      <c r="R440" s="115"/>
      <c r="S440" s="145">
        <v>1036</v>
      </c>
      <c r="T440" s="148" t="s">
        <v>1725</v>
      </c>
      <c r="U440" s="147">
        <v>2</v>
      </c>
      <c r="V440" s="121">
        <v>784</v>
      </c>
      <c r="W440" s="121">
        <v>450</v>
      </c>
      <c r="X440" s="114" t="s">
        <v>84</v>
      </c>
      <c r="Y440" s="115" t="s">
        <v>85</v>
      </c>
      <c r="Z440" s="115" t="s">
        <v>86</v>
      </c>
      <c r="AA440" s="113" t="s">
        <v>87</v>
      </c>
      <c r="AB440" s="122">
        <v>419.48</v>
      </c>
      <c r="AC440" s="122">
        <f>IF(C440="DENALI", AB440*0.495, IF(C440="SCHNEIDER ELECTRIC", AB440*1.136, IF(C440="WWT", AB440*1.2, AC440)))+AB440</f>
        <v>627.12260000000003</v>
      </c>
      <c r="AD440" s="129">
        <f>AC440-AB440</f>
        <v>207.64260000000002</v>
      </c>
      <c r="AE440" s="122">
        <v>31721.759999999998</v>
      </c>
      <c r="AF440" s="130">
        <f>AB440/U440</f>
        <v>209.74</v>
      </c>
      <c r="AG440" s="130">
        <f>AB440/V440</f>
        <v>0.53505102040816332</v>
      </c>
      <c r="AH440" s="123">
        <f>AB440/S440</f>
        <v>0.40490347490347495</v>
      </c>
      <c r="AI440" s="124" t="s">
        <v>479</v>
      </c>
      <c r="AJ440" s="125" t="s">
        <v>349</v>
      </c>
      <c r="AK440"/>
      <c r="AM440" s="80"/>
    </row>
    <row r="441" spans="1:39" ht="28.5" customHeight="1">
      <c r="A441" s="113" t="s">
        <v>73</v>
      </c>
      <c r="B441" s="114" t="s">
        <v>74</v>
      </c>
      <c r="C441" s="113" t="s">
        <v>35</v>
      </c>
      <c r="D441" s="113" t="s">
        <v>218</v>
      </c>
      <c r="E441" s="115" t="s">
        <v>242</v>
      </c>
      <c r="F441" s="113" t="s">
        <v>243</v>
      </c>
      <c r="G441" s="116" t="s">
        <v>1726</v>
      </c>
      <c r="H441" s="79">
        <v>46192</v>
      </c>
      <c r="I441" s="114" t="s">
        <v>79</v>
      </c>
      <c r="J441" s="117" t="s">
        <v>1727</v>
      </c>
      <c r="K441" s="118">
        <v>46184</v>
      </c>
      <c r="L441" s="114" t="s">
        <v>81</v>
      </c>
      <c r="M441" s="119">
        <v>46188</v>
      </c>
      <c r="N441" s="128">
        <v>46191</v>
      </c>
      <c r="O441" s="120">
        <f>NETWORKDAYS.INTL(K441,N441,1,$AM$2:$AM$10)-1</f>
        <v>5</v>
      </c>
      <c r="P441" s="114" t="s">
        <v>81</v>
      </c>
      <c r="Q441" s="114" t="s">
        <v>79</v>
      </c>
      <c r="R441" s="115"/>
      <c r="S441" s="145">
        <v>623</v>
      </c>
      <c r="T441" s="148" t="s">
        <v>1397</v>
      </c>
      <c r="U441" s="147">
        <v>3</v>
      </c>
      <c r="V441" s="121">
        <v>701</v>
      </c>
      <c r="W441" s="121">
        <v>1800</v>
      </c>
      <c r="X441" s="114" t="s">
        <v>84</v>
      </c>
      <c r="Y441" s="115" t="s">
        <v>85</v>
      </c>
      <c r="Z441" s="115" t="s">
        <v>160</v>
      </c>
      <c r="AA441" s="113" t="s">
        <v>87</v>
      </c>
      <c r="AB441" s="122">
        <v>332</v>
      </c>
      <c r="AC441" s="122">
        <f>IF(C441="DENALI", AB441*0.495, IF(C441="SCHNEIDER ELECTRIC", AB441*1.136, IF(C441="WWT", AB441*1.2, AC441)))+AB441</f>
        <v>496.34000000000003</v>
      </c>
      <c r="AD441" s="129">
        <f>AC441-AB441</f>
        <v>164.34000000000003</v>
      </c>
      <c r="AE441" s="122">
        <v>66204.539999999994</v>
      </c>
      <c r="AF441" s="130">
        <f>AB441/U441</f>
        <v>110.66666666666667</v>
      </c>
      <c r="AG441" s="130">
        <f>AB441/V441</f>
        <v>0.47360912981455067</v>
      </c>
      <c r="AH441" s="123">
        <f>AB441/S441</f>
        <v>0.5329052969502408</v>
      </c>
      <c r="AI441" s="124" t="s">
        <v>97</v>
      </c>
      <c r="AJ441" s="125" t="s">
        <v>349</v>
      </c>
      <c r="AK441"/>
      <c r="AM441" s="80"/>
    </row>
    <row r="442" spans="1:39" ht="28.5" customHeight="1">
      <c r="A442" s="113" t="s">
        <v>73</v>
      </c>
      <c r="B442" s="114" t="s">
        <v>74</v>
      </c>
      <c r="C442" s="113" t="s">
        <v>35</v>
      </c>
      <c r="D442" s="113" t="s">
        <v>218</v>
      </c>
      <c r="E442" s="115" t="s">
        <v>1728</v>
      </c>
      <c r="F442" s="113" t="s">
        <v>99</v>
      </c>
      <c r="G442" s="116" t="s">
        <v>1729</v>
      </c>
      <c r="H442" s="79">
        <v>46192</v>
      </c>
      <c r="I442" s="114" t="s">
        <v>79</v>
      </c>
      <c r="J442" s="117" t="s">
        <v>1730</v>
      </c>
      <c r="K442" s="118">
        <v>46184</v>
      </c>
      <c r="L442" s="114" t="s">
        <v>81</v>
      </c>
      <c r="M442" s="119">
        <v>46188</v>
      </c>
      <c r="N442" s="128">
        <v>46191</v>
      </c>
      <c r="O442" s="120">
        <f>NETWORKDAYS.INTL(K442,N442,1,$AM$2:$AM$10)-1</f>
        <v>5</v>
      </c>
      <c r="P442" s="114" t="s">
        <v>81</v>
      </c>
      <c r="Q442" s="114" t="s">
        <v>79</v>
      </c>
      <c r="R442" s="115"/>
      <c r="S442" s="145">
        <v>2234</v>
      </c>
      <c r="T442" s="148" t="s">
        <v>1731</v>
      </c>
      <c r="U442" s="147">
        <v>1</v>
      </c>
      <c r="V442" s="121">
        <v>7</v>
      </c>
      <c r="W442" s="121">
        <v>220</v>
      </c>
      <c r="X442" s="114" t="s">
        <v>84</v>
      </c>
      <c r="Y442" s="115" t="s">
        <v>85</v>
      </c>
      <c r="Z442" s="115" t="s">
        <v>86</v>
      </c>
      <c r="AA442" s="113" t="s">
        <v>87</v>
      </c>
      <c r="AB442" s="122">
        <v>321.60000000000002</v>
      </c>
      <c r="AC442" s="122">
        <f>IF(C442="DENALI", AB442*0.495, IF(C442="SCHNEIDER ELECTRIC", AB442*1.136, IF(C442="WWT", AB442*1.2, AC442)))+AB442</f>
        <v>480.79200000000003</v>
      </c>
      <c r="AD442" s="129">
        <f>AC442-AB442</f>
        <v>159.19200000000001</v>
      </c>
      <c r="AE442" s="122">
        <v>2633.33</v>
      </c>
      <c r="AF442" s="130">
        <f>AB442/U442</f>
        <v>321.60000000000002</v>
      </c>
      <c r="AG442" s="130">
        <f>AB442/V442</f>
        <v>45.942857142857143</v>
      </c>
      <c r="AH442" s="123">
        <f>AB442/S442</f>
        <v>0.14395702775290958</v>
      </c>
      <c r="AI442" s="124" t="s">
        <v>97</v>
      </c>
      <c r="AJ442" s="125" t="s">
        <v>349</v>
      </c>
      <c r="AK442"/>
      <c r="AM442" s="80"/>
    </row>
    <row r="443" spans="1:39" ht="28.5" customHeight="1">
      <c r="A443" s="113" t="s">
        <v>73</v>
      </c>
      <c r="B443" s="114" t="s">
        <v>74</v>
      </c>
      <c r="C443" s="113" t="s">
        <v>35</v>
      </c>
      <c r="D443" s="113" t="s">
        <v>99</v>
      </c>
      <c r="E443" s="115" t="s">
        <v>1732</v>
      </c>
      <c r="F443" s="113" t="s">
        <v>396</v>
      </c>
      <c r="G443" s="116">
        <v>23295921</v>
      </c>
      <c r="H443" s="79">
        <v>46195</v>
      </c>
      <c r="I443" s="114" t="s">
        <v>79</v>
      </c>
      <c r="J443" s="117" t="s">
        <v>1733</v>
      </c>
      <c r="K443" s="118">
        <v>46185</v>
      </c>
      <c r="L443" s="114" t="s">
        <v>81</v>
      </c>
      <c r="M443" s="119">
        <v>46189</v>
      </c>
      <c r="N443" s="128">
        <v>46188</v>
      </c>
      <c r="O443" s="120">
        <f>NETWORKDAYS.INTL(K443,N443,1,$AM$2:$AM$10)-1</f>
        <v>1</v>
      </c>
      <c r="P443" s="114" t="s">
        <v>81</v>
      </c>
      <c r="Q443" s="114" t="s">
        <v>79</v>
      </c>
      <c r="R443" s="115"/>
      <c r="S443" s="145">
        <v>2376</v>
      </c>
      <c r="T443" s="148" t="s">
        <v>1734</v>
      </c>
      <c r="U443" s="147">
        <v>10</v>
      </c>
      <c r="V443" s="121">
        <v>176</v>
      </c>
      <c r="W443" s="121">
        <v>8360</v>
      </c>
      <c r="X443" s="114" t="s">
        <v>113</v>
      </c>
      <c r="Y443" s="115" t="s">
        <v>85</v>
      </c>
      <c r="Z443" s="115" t="s">
        <v>1735</v>
      </c>
      <c r="AA443" s="113" t="s">
        <v>87</v>
      </c>
      <c r="AB443" s="122">
        <v>4561.54</v>
      </c>
      <c r="AC443" s="122">
        <f>IF(C443="DENALI", AB443*0.495, IF(C443="SCHNEIDER ELECTRIC", AB443*1.136, IF(C443="WWT", AB443*1.2, AC443)))+AB443</f>
        <v>6819.5023000000001</v>
      </c>
      <c r="AD443" s="129">
        <f>AC443-AB443</f>
        <v>2257.9623000000001</v>
      </c>
      <c r="AE443" s="122">
        <v>137145.04</v>
      </c>
      <c r="AF443" s="130">
        <f>AB443/U443</f>
        <v>456.154</v>
      </c>
      <c r="AG443" s="130">
        <f>AB443/V443</f>
        <v>25.917840909090909</v>
      </c>
      <c r="AH443" s="123">
        <f>AB443/S443</f>
        <v>1.9198400673400673</v>
      </c>
      <c r="AI443" s="124" t="s">
        <v>147</v>
      </c>
      <c r="AJ443" s="125" t="s">
        <v>343</v>
      </c>
      <c r="AK443"/>
      <c r="AM443" s="80"/>
    </row>
    <row r="444" spans="1:39" ht="28.5" customHeight="1">
      <c r="A444" s="113" t="s">
        <v>73</v>
      </c>
      <c r="B444" s="114" t="s">
        <v>74</v>
      </c>
      <c r="C444" s="113" t="s">
        <v>35</v>
      </c>
      <c r="D444" s="113" t="s">
        <v>99</v>
      </c>
      <c r="E444" s="115" t="s">
        <v>1736</v>
      </c>
      <c r="F444" s="113" t="s">
        <v>90</v>
      </c>
      <c r="G444" s="116">
        <v>23300498</v>
      </c>
      <c r="H444" s="79">
        <v>46195</v>
      </c>
      <c r="I444" s="114" t="s">
        <v>79</v>
      </c>
      <c r="J444" s="117" t="s">
        <v>1737</v>
      </c>
      <c r="K444" s="118">
        <v>46185</v>
      </c>
      <c r="L444" s="114" t="s">
        <v>81</v>
      </c>
      <c r="M444" s="119">
        <v>46188</v>
      </c>
      <c r="N444" s="128">
        <v>46188</v>
      </c>
      <c r="O444" s="120">
        <f>NETWORKDAYS.INTL(K444,N444,1,$AM$2:$AM$10)-1</f>
        <v>1</v>
      </c>
      <c r="P444" s="114" t="s">
        <v>81</v>
      </c>
      <c r="Q444" s="114" t="s">
        <v>79</v>
      </c>
      <c r="R444" s="115"/>
      <c r="S444" s="145">
        <v>478</v>
      </c>
      <c r="T444" s="148" t="s">
        <v>1738</v>
      </c>
      <c r="U444" s="147">
        <v>6</v>
      </c>
      <c r="V444" s="121">
        <v>6</v>
      </c>
      <c r="W444" s="121">
        <v>5100</v>
      </c>
      <c r="X444" s="114" t="s">
        <v>113</v>
      </c>
      <c r="Y444" s="115" t="s">
        <v>85</v>
      </c>
      <c r="Z444" s="115" t="s">
        <v>1739</v>
      </c>
      <c r="AA444" s="113" t="s">
        <v>87</v>
      </c>
      <c r="AB444" s="122">
        <v>1517.65</v>
      </c>
      <c r="AC444" s="122">
        <f>IF(C444="DENALI", AB444*0.495, IF(C444="SCHNEIDER ELECTRIC", AB444*1.136, IF(C444="WWT", AB444*1.2, AC444)))+AB444</f>
        <v>2268.8867500000001</v>
      </c>
      <c r="AD444" s="129">
        <f>AC444-AB444</f>
        <v>751.23675000000003</v>
      </c>
      <c r="AE444" s="122">
        <v>88746.48</v>
      </c>
      <c r="AF444" s="130">
        <f>AB444/U444</f>
        <v>252.94166666666669</v>
      </c>
      <c r="AG444" s="130">
        <f>AB444/V444</f>
        <v>252.94166666666669</v>
      </c>
      <c r="AH444" s="123">
        <f>AB444/S444</f>
        <v>3.1750000000000003</v>
      </c>
      <c r="AI444" s="124" t="s">
        <v>147</v>
      </c>
      <c r="AJ444" s="125" t="s">
        <v>343</v>
      </c>
      <c r="AK444"/>
      <c r="AM444" s="80"/>
    </row>
    <row r="445" spans="1:39" ht="28.5" customHeight="1">
      <c r="A445" s="113" t="s">
        <v>73</v>
      </c>
      <c r="B445" s="114" t="s">
        <v>74</v>
      </c>
      <c r="C445" s="113" t="s">
        <v>35</v>
      </c>
      <c r="D445" s="113" t="s">
        <v>99</v>
      </c>
      <c r="E445" s="115" t="s">
        <v>1740</v>
      </c>
      <c r="F445" s="113" t="s">
        <v>457</v>
      </c>
      <c r="G445" s="116" t="s">
        <v>1741</v>
      </c>
      <c r="H445" s="79">
        <v>46195</v>
      </c>
      <c r="I445" s="114" t="s">
        <v>79</v>
      </c>
      <c r="J445" s="117" t="s">
        <v>1742</v>
      </c>
      <c r="K445" s="118">
        <v>46185</v>
      </c>
      <c r="L445" s="114" t="s">
        <v>79</v>
      </c>
      <c r="M445" s="119">
        <v>46188</v>
      </c>
      <c r="N445" s="128">
        <v>46197</v>
      </c>
      <c r="O445" s="120">
        <f>NETWORKDAYS.INTL(K445,N445,1,$AM$2:$AM$10)-1</f>
        <v>8</v>
      </c>
      <c r="P445" s="114" t="s">
        <v>79</v>
      </c>
      <c r="Q445" s="114" t="s">
        <v>81</v>
      </c>
      <c r="R445" s="115" t="s">
        <v>1743</v>
      </c>
      <c r="S445" s="145">
        <v>2564</v>
      </c>
      <c r="T445" s="148" t="s">
        <v>1744</v>
      </c>
      <c r="U445" s="147">
        <v>1</v>
      </c>
      <c r="V445" s="121">
        <v>5</v>
      </c>
      <c r="W445" s="121">
        <v>280</v>
      </c>
      <c r="X445" s="114" t="s">
        <v>84</v>
      </c>
      <c r="Y445" s="115" t="s">
        <v>85</v>
      </c>
      <c r="Z445" s="115" t="s">
        <v>935</v>
      </c>
      <c r="AA445" s="113" t="s">
        <v>87</v>
      </c>
      <c r="AB445" s="122">
        <v>393.96</v>
      </c>
      <c r="AC445" s="122">
        <f>IF(C445="DENALI", AB445*0.495, IF(C445="SCHNEIDER ELECTRIC", AB445*1.136, IF(C445="WWT", AB445*1.2, AC445)))+AB445</f>
        <v>588.97019999999998</v>
      </c>
      <c r="AD445" s="129">
        <f>AC445-AB445</f>
        <v>195.0102</v>
      </c>
      <c r="AE445" s="122">
        <v>60768.2</v>
      </c>
      <c r="AF445" s="130">
        <f>AB445/U445</f>
        <v>393.96</v>
      </c>
      <c r="AG445" s="130">
        <f>AB445/V445</f>
        <v>78.792000000000002</v>
      </c>
      <c r="AH445" s="123">
        <f>AB445/S445</f>
        <v>0.15365054602184086</v>
      </c>
      <c r="AI445" s="124" t="s">
        <v>97</v>
      </c>
      <c r="AJ445" s="125" t="s">
        <v>349</v>
      </c>
      <c r="AK445"/>
      <c r="AM445" s="80"/>
    </row>
    <row r="446" spans="1:39" ht="28.5" customHeight="1">
      <c r="A446" s="113" t="s">
        <v>73</v>
      </c>
      <c r="B446" s="114" t="s">
        <v>74</v>
      </c>
      <c r="C446" s="113" t="s">
        <v>35</v>
      </c>
      <c r="D446" s="113" t="s">
        <v>99</v>
      </c>
      <c r="E446" s="115" t="s">
        <v>1358</v>
      </c>
      <c r="F446" s="113" t="s">
        <v>213</v>
      </c>
      <c r="G446" s="116">
        <v>23307405</v>
      </c>
      <c r="H446" s="79">
        <v>46196</v>
      </c>
      <c r="I446" s="114" t="s">
        <v>79</v>
      </c>
      <c r="J446" s="117" t="s">
        <v>1745</v>
      </c>
      <c r="K446" s="118">
        <v>46188</v>
      </c>
      <c r="L446" s="114" t="s">
        <v>81</v>
      </c>
      <c r="M446" s="119">
        <v>46192</v>
      </c>
      <c r="N446" s="128">
        <v>46192</v>
      </c>
      <c r="O446" s="120">
        <f>NETWORKDAYS.INTL(K446,N446,1,$AM$2:$AM$10)-1</f>
        <v>4</v>
      </c>
      <c r="P446" s="114" t="s">
        <v>81</v>
      </c>
      <c r="Q446" s="114" t="s">
        <v>79</v>
      </c>
      <c r="R446" s="115"/>
      <c r="S446" s="145">
        <v>2814</v>
      </c>
      <c r="T446" s="148" t="s">
        <v>1746</v>
      </c>
      <c r="U446" s="147">
        <v>3</v>
      </c>
      <c r="V446" s="121">
        <v>3</v>
      </c>
      <c r="W446" s="121">
        <v>2410</v>
      </c>
      <c r="X446" s="114" t="s">
        <v>113</v>
      </c>
      <c r="Y446" s="115" t="s">
        <v>85</v>
      </c>
      <c r="Z446" s="115" t="s">
        <v>1747</v>
      </c>
      <c r="AA446" s="113" t="s">
        <v>87</v>
      </c>
      <c r="AB446" s="122">
        <v>6472.92</v>
      </c>
      <c r="AC446" s="122">
        <f>IF(C446="DENALI", AB446*0.495, IF(C446="SCHNEIDER ELECTRIC", AB446*1.136, IF(C446="WWT", AB446*1.2, AC446)))+AB446</f>
        <v>9677.0154000000002</v>
      </c>
      <c r="AD446" s="129">
        <f>AC446-AB446</f>
        <v>3204.0954000000002</v>
      </c>
      <c r="AE446" s="122">
        <v>38435.199999999997</v>
      </c>
      <c r="AF446" s="130">
        <f>AB446/U446</f>
        <v>2157.64</v>
      </c>
      <c r="AG446" s="130">
        <f>AB446/V446</f>
        <v>2157.64</v>
      </c>
      <c r="AH446" s="123">
        <f>AB446/S446</f>
        <v>2.3002558635394457</v>
      </c>
      <c r="AI446" s="124" t="s">
        <v>147</v>
      </c>
      <c r="AJ446" s="125" t="s">
        <v>343</v>
      </c>
      <c r="AK446"/>
      <c r="AM446" s="80"/>
    </row>
    <row r="447" spans="1:39" ht="45.75">
      <c r="A447" s="113" t="s">
        <v>73</v>
      </c>
      <c r="B447" s="114" t="s">
        <v>74</v>
      </c>
      <c r="C447" s="113" t="s">
        <v>35</v>
      </c>
      <c r="D447" s="113" t="s">
        <v>99</v>
      </c>
      <c r="E447" s="115" t="s">
        <v>1748</v>
      </c>
      <c r="F447" s="113" t="s">
        <v>75</v>
      </c>
      <c r="G447" s="116">
        <v>23309589</v>
      </c>
      <c r="H447" s="79">
        <v>46196</v>
      </c>
      <c r="I447" s="114" t="s">
        <v>79</v>
      </c>
      <c r="J447" s="117" t="s">
        <v>1749</v>
      </c>
      <c r="K447" s="118">
        <v>46188</v>
      </c>
      <c r="L447" s="114" t="s">
        <v>81</v>
      </c>
      <c r="M447" s="119">
        <v>46190</v>
      </c>
      <c r="N447" s="128">
        <v>46191</v>
      </c>
      <c r="O447" s="120">
        <f>NETWORKDAYS.INTL(K447,N447,1,$AM$2:$AM$10)-1</f>
        <v>3</v>
      </c>
      <c r="P447" s="114" t="s">
        <v>81</v>
      </c>
      <c r="Q447" s="114" t="s">
        <v>79</v>
      </c>
      <c r="R447" s="115"/>
      <c r="S447" s="145">
        <v>2803</v>
      </c>
      <c r="T447" s="148" t="s">
        <v>1750</v>
      </c>
      <c r="U447" s="147">
        <v>13</v>
      </c>
      <c r="V447" s="121">
        <v>13</v>
      </c>
      <c r="W447" s="121">
        <v>10910</v>
      </c>
      <c r="X447" s="114" t="s">
        <v>113</v>
      </c>
      <c r="Y447" s="115" t="s">
        <v>85</v>
      </c>
      <c r="Z447" s="115" t="s">
        <v>1751</v>
      </c>
      <c r="AA447" s="113" t="s">
        <v>87</v>
      </c>
      <c r="AB447" s="122">
        <v>6764.52</v>
      </c>
      <c r="AC447" s="122">
        <f>IF(C447="DENALI", AB447*0.495, IF(C447="SCHNEIDER ELECTRIC", AB447*1.136, IF(C447="WWT", AB447*1.2, AC447)))+AB447</f>
        <v>10112.957400000001</v>
      </c>
      <c r="AD447" s="129">
        <f>AC447-AB447</f>
        <v>3348.4374000000007</v>
      </c>
      <c r="AE447" s="122">
        <v>176582.39</v>
      </c>
      <c r="AF447" s="130">
        <f>AB447/U447</f>
        <v>520.34769230769234</v>
      </c>
      <c r="AG447" s="130">
        <f>AB447/V447</f>
        <v>520.34769230769234</v>
      </c>
      <c r="AH447" s="123">
        <f>AB447/S447</f>
        <v>2.4133143061006068</v>
      </c>
      <c r="AI447" s="124" t="s">
        <v>147</v>
      </c>
      <c r="AJ447" s="125" t="s">
        <v>343</v>
      </c>
      <c r="AK447"/>
      <c r="AM447" s="80"/>
    </row>
    <row r="448" spans="1:39" ht="28.5" customHeight="1">
      <c r="A448" s="113" t="s">
        <v>73</v>
      </c>
      <c r="B448" s="114" t="s">
        <v>140</v>
      </c>
      <c r="C448" s="113" t="s">
        <v>227</v>
      </c>
      <c r="D448" s="113" t="s">
        <v>228</v>
      </c>
      <c r="E448" s="115" t="s">
        <v>141</v>
      </c>
      <c r="F448" s="113" t="s">
        <v>142</v>
      </c>
      <c r="G448" s="116" t="s">
        <v>1752</v>
      </c>
      <c r="H448" s="79">
        <v>46197</v>
      </c>
      <c r="I448" s="114" t="s">
        <v>79</v>
      </c>
      <c r="J448" s="117" t="s">
        <v>1753</v>
      </c>
      <c r="K448" s="118">
        <v>46189</v>
      </c>
      <c r="L448" s="114" t="s">
        <v>81</v>
      </c>
      <c r="M448" s="119">
        <v>46190</v>
      </c>
      <c r="N448" s="128">
        <v>46191</v>
      </c>
      <c r="O448" s="120">
        <f>NETWORKDAYS.INTL(K448,N448,1,$AM$2:$AM$10)-1</f>
        <v>2</v>
      </c>
      <c r="P448" s="114" t="s">
        <v>81</v>
      </c>
      <c r="Q448" s="114" t="s">
        <v>79</v>
      </c>
      <c r="R448" s="115"/>
      <c r="S448" s="145">
        <v>327</v>
      </c>
      <c r="T448" s="148" t="s">
        <v>1754</v>
      </c>
      <c r="U448" s="147">
        <v>1</v>
      </c>
      <c r="V448" s="121">
        <v>5</v>
      </c>
      <c r="W448" s="121">
        <v>157</v>
      </c>
      <c r="X448" s="114" t="s">
        <v>84</v>
      </c>
      <c r="Y448" s="115" t="s">
        <v>85</v>
      </c>
      <c r="Z448" s="115" t="s">
        <v>1208</v>
      </c>
      <c r="AA448" s="113" t="s">
        <v>87</v>
      </c>
      <c r="AB448" s="122">
        <v>199.51</v>
      </c>
      <c r="AC448" s="122">
        <f>IF(C448="DENALI", AB448*0.495, IF(C448="SCHNEIDER ELECTRIC", AB448*1.136, IF(C448="WWT", AB448*1.2, AC448)))+AB448</f>
        <v>438.92199999999997</v>
      </c>
      <c r="AD448" s="129">
        <f>AC448-AB448</f>
        <v>239.41199999999998</v>
      </c>
      <c r="AE448" s="122">
        <v>14550.56</v>
      </c>
      <c r="AF448" s="130">
        <f>AB448/U448</f>
        <v>199.51</v>
      </c>
      <c r="AG448" s="130">
        <f>AB448/V448</f>
        <v>39.902000000000001</v>
      </c>
      <c r="AH448" s="123">
        <f>AB448/S448</f>
        <v>0.61012232415902135</v>
      </c>
      <c r="AI448" s="124" t="s">
        <v>240</v>
      </c>
      <c r="AJ448" s="125" t="s">
        <v>89</v>
      </c>
      <c r="AK448"/>
      <c r="AM448" s="80"/>
    </row>
    <row r="449" spans="1:39" ht="28.5" customHeight="1">
      <c r="A449" s="113" t="s">
        <v>73</v>
      </c>
      <c r="B449" s="114" t="s">
        <v>74</v>
      </c>
      <c r="C449" s="113" t="s">
        <v>35</v>
      </c>
      <c r="D449" s="113" t="s">
        <v>218</v>
      </c>
      <c r="E449" s="115" t="s">
        <v>1548</v>
      </c>
      <c r="F449" s="113" t="s">
        <v>99</v>
      </c>
      <c r="G449" s="116" t="s">
        <v>1755</v>
      </c>
      <c r="H449" s="79">
        <v>46197</v>
      </c>
      <c r="I449" s="114" t="s">
        <v>79</v>
      </c>
      <c r="J449" s="117" t="s">
        <v>1756</v>
      </c>
      <c r="K449" s="118">
        <v>46189</v>
      </c>
      <c r="L449" s="114" t="s">
        <v>81</v>
      </c>
      <c r="M449" s="119">
        <v>46195</v>
      </c>
      <c r="N449" s="128">
        <v>46196</v>
      </c>
      <c r="O449" s="120">
        <f>NETWORKDAYS.INTL(K449,N449,1,$AM$2:$AM$10)-1</f>
        <v>5</v>
      </c>
      <c r="P449" s="114" t="s">
        <v>81</v>
      </c>
      <c r="Q449" s="114" t="s">
        <v>79</v>
      </c>
      <c r="R449" s="115"/>
      <c r="S449" s="145">
        <v>2087</v>
      </c>
      <c r="T449" s="148" t="s">
        <v>1757</v>
      </c>
      <c r="U449" s="147">
        <v>3</v>
      </c>
      <c r="V449" s="121">
        <v>205</v>
      </c>
      <c r="W449" s="121">
        <v>1525</v>
      </c>
      <c r="X449" s="114" t="s">
        <v>84</v>
      </c>
      <c r="Y449" s="115" t="s">
        <v>85</v>
      </c>
      <c r="Z449" s="115" t="s">
        <v>86</v>
      </c>
      <c r="AA449" s="113" t="s">
        <v>87</v>
      </c>
      <c r="AB449" s="122">
        <v>879.25</v>
      </c>
      <c r="AC449" s="122">
        <f>IF(C449="DENALI", AB449*0.495, IF(C449="SCHNEIDER ELECTRIC", AB449*1.136, IF(C449="WWT", AB449*1.2, AC449)))+AB449</f>
        <v>1314.47875</v>
      </c>
      <c r="AD449" s="129">
        <f>AC449-AB449</f>
        <v>435.22874999999999</v>
      </c>
      <c r="AE449" s="122">
        <v>198451.7</v>
      </c>
      <c r="AF449" s="130">
        <f>AB449/U449</f>
        <v>293.08333333333331</v>
      </c>
      <c r="AG449" s="130">
        <f>AB449/V449</f>
        <v>4.2890243902439025</v>
      </c>
      <c r="AH449" s="123">
        <f>AB449/S449</f>
        <v>0.42129851461427886</v>
      </c>
      <c r="AI449" s="124" t="s">
        <v>1044</v>
      </c>
      <c r="AJ449" s="125" t="s">
        <v>349</v>
      </c>
      <c r="AK449"/>
      <c r="AM449" s="80"/>
    </row>
    <row r="450" spans="1:39" ht="28.5" customHeight="1">
      <c r="A450" s="113" t="s">
        <v>73</v>
      </c>
      <c r="B450" s="114" t="s">
        <v>140</v>
      </c>
      <c r="C450" s="113" t="s">
        <v>35</v>
      </c>
      <c r="D450" s="113" t="s">
        <v>218</v>
      </c>
      <c r="E450" s="115" t="s">
        <v>141</v>
      </c>
      <c r="F450" s="113" t="s">
        <v>142</v>
      </c>
      <c r="G450" s="116" t="s">
        <v>1758</v>
      </c>
      <c r="H450" s="79">
        <v>46197</v>
      </c>
      <c r="I450" s="114" t="s">
        <v>79</v>
      </c>
      <c r="J450" s="117" t="s">
        <v>1759</v>
      </c>
      <c r="K450" s="118">
        <v>46189</v>
      </c>
      <c r="L450" s="114" t="s">
        <v>81</v>
      </c>
      <c r="M450" s="119">
        <v>46190</v>
      </c>
      <c r="N450" s="128">
        <v>46192</v>
      </c>
      <c r="O450" s="120">
        <f>NETWORKDAYS.INTL(K450,N450,1,$AM$2:$AM$10)-1</f>
        <v>3</v>
      </c>
      <c r="P450" s="114" t="s">
        <v>81</v>
      </c>
      <c r="Q450" s="114" t="s">
        <v>79</v>
      </c>
      <c r="R450" s="115"/>
      <c r="S450" s="145">
        <v>441</v>
      </c>
      <c r="T450" s="148" t="s">
        <v>1760</v>
      </c>
      <c r="U450" s="147">
        <v>3</v>
      </c>
      <c r="V450" s="121">
        <v>474</v>
      </c>
      <c r="W450" s="121">
        <v>1190</v>
      </c>
      <c r="X450" s="114" t="s">
        <v>84</v>
      </c>
      <c r="Y450" s="115" t="s">
        <v>85</v>
      </c>
      <c r="Z450" s="115" t="s">
        <v>86</v>
      </c>
      <c r="AA450" s="113" t="s">
        <v>87</v>
      </c>
      <c r="AB450" s="122">
        <v>425.68</v>
      </c>
      <c r="AC450" s="122">
        <f>IF(C450="DENALI", AB450*0.495, IF(C450="SCHNEIDER ELECTRIC", AB450*1.136, IF(C450="WWT", AB450*1.2, AC450)))+AB450</f>
        <v>636.39160000000004</v>
      </c>
      <c r="AD450" s="129">
        <f>AC450-AB450</f>
        <v>210.71160000000003</v>
      </c>
      <c r="AE450" s="122">
        <v>82009.95</v>
      </c>
      <c r="AF450" s="130">
        <f>AB450/U450</f>
        <v>141.89333333333335</v>
      </c>
      <c r="AG450" s="130">
        <f>AB450/V450</f>
        <v>0.8980590717299578</v>
      </c>
      <c r="AH450" s="123">
        <f>AB450/S450</f>
        <v>0.96526077097505669</v>
      </c>
      <c r="AI450" s="124" t="s">
        <v>147</v>
      </c>
      <c r="AJ450" s="125" t="s">
        <v>343</v>
      </c>
      <c r="AK450"/>
      <c r="AM450" s="80"/>
    </row>
    <row r="451" spans="1:39" ht="28.5" customHeight="1">
      <c r="A451" s="113" t="s">
        <v>73</v>
      </c>
      <c r="B451" s="114" t="s">
        <v>74</v>
      </c>
      <c r="C451" s="113" t="s">
        <v>35</v>
      </c>
      <c r="D451" s="113" t="s">
        <v>218</v>
      </c>
      <c r="E451" s="115" t="s">
        <v>1761</v>
      </c>
      <c r="F451" s="113" t="s">
        <v>90</v>
      </c>
      <c r="G451" s="116" t="s">
        <v>1762</v>
      </c>
      <c r="H451" s="79">
        <v>46197</v>
      </c>
      <c r="I451" s="114" t="s">
        <v>79</v>
      </c>
      <c r="J451" s="117" t="s">
        <v>1763</v>
      </c>
      <c r="K451" s="118">
        <v>46189</v>
      </c>
      <c r="L451" s="114" t="s">
        <v>81</v>
      </c>
      <c r="M451" s="119">
        <v>46190</v>
      </c>
      <c r="N451" s="128">
        <v>46202</v>
      </c>
      <c r="O451" s="120">
        <f>NETWORKDAYS.INTL(K451,N451,1,$AM$2:$AM$10)-1</f>
        <v>9</v>
      </c>
      <c r="P451" s="114" t="s">
        <v>79</v>
      </c>
      <c r="Q451" s="114" t="s">
        <v>81</v>
      </c>
      <c r="R451" s="115" t="s">
        <v>1764</v>
      </c>
      <c r="S451" s="145">
        <v>2175</v>
      </c>
      <c r="T451" s="148" t="s">
        <v>1765</v>
      </c>
      <c r="U451" s="147">
        <v>2</v>
      </c>
      <c r="V451" s="121">
        <v>319</v>
      </c>
      <c r="W451" s="121">
        <v>750</v>
      </c>
      <c r="X451" s="114" t="s">
        <v>84</v>
      </c>
      <c r="Y451" s="115" t="s">
        <v>85</v>
      </c>
      <c r="Z451" s="115" t="s">
        <v>86</v>
      </c>
      <c r="AA451" s="113" t="s">
        <v>87</v>
      </c>
      <c r="AB451" s="122">
        <v>1838.88</v>
      </c>
      <c r="AC451" s="122">
        <f>IF(C451="DENALI", AB451*0.495, IF(C451="SCHNEIDER ELECTRIC", AB451*1.136, IF(C451="WWT", AB451*1.2, AC451)))+AB451</f>
        <v>2749.1256000000003</v>
      </c>
      <c r="AD451" s="129">
        <f>AC451-AB451</f>
        <v>910.24560000000019</v>
      </c>
      <c r="AE451" s="122">
        <v>26625.25</v>
      </c>
      <c r="AF451" s="130">
        <f>AB451/U451</f>
        <v>919.44</v>
      </c>
      <c r="AG451" s="130">
        <f>AB451/V451</f>
        <v>5.7645141065830723</v>
      </c>
      <c r="AH451" s="123">
        <f>AB451/S451</f>
        <v>0.84546206896551734</v>
      </c>
      <c r="AI451" s="124" t="s">
        <v>147</v>
      </c>
      <c r="AJ451" s="125" t="s">
        <v>343</v>
      </c>
      <c r="AK451"/>
      <c r="AM451" s="80"/>
    </row>
    <row r="452" spans="1:39" ht="28.5" customHeight="1">
      <c r="A452" s="113" t="s">
        <v>73</v>
      </c>
      <c r="B452" s="114" t="s">
        <v>74</v>
      </c>
      <c r="C452" s="113" t="s">
        <v>35</v>
      </c>
      <c r="D452" s="113" t="s">
        <v>218</v>
      </c>
      <c r="E452" s="115" t="s">
        <v>1766</v>
      </c>
      <c r="F452" s="113" t="s">
        <v>92</v>
      </c>
      <c r="G452" s="116" t="s">
        <v>1767</v>
      </c>
      <c r="H452" s="79">
        <v>46197</v>
      </c>
      <c r="I452" s="114" t="s">
        <v>79</v>
      </c>
      <c r="J452" s="117" t="s">
        <v>1768</v>
      </c>
      <c r="K452" s="118">
        <v>46189</v>
      </c>
      <c r="L452" s="114" t="s">
        <v>81</v>
      </c>
      <c r="M452" s="119">
        <v>46191</v>
      </c>
      <c r="N452" s="128" t="s">
        <v>95</v>
      </c>
      <c r="O452" s="120" t="e">
        <f>NETWORKDAYS.INTL(K452,N452,1,$AM$2:$AM$10)-1</f>
        <v>#VALUE!</v>
      </c>
      <c r="P452" s="114" t="s">
        <v>976</v>
      </c>
      <c r="Q452" s="114" t="s">
        <v>81</v>
      </c>
      <c r="R452" s="115" t="s">
        <v>1769</v>
      </c>
      <c r="S452" s="145">
        <v>1029</v>
      </c>
      <c r="T452" s="148" t="s">
        <v>1770</v>
      </c>
      <c r="U452" s="147">
        <v>1</v>
      </c>
      <c r="V452" s="121">
        <v>150</v>
      </c>
      <c r="W452" s="121">
        <v>375</v>
      </c>
      <c r="X452" s="114" t="s">
        <v>84</v>
      </c>
      <c r="Y452" s="115" t="s">
        <v>85</v>
      </c>
      <c r="Z452" s="115" t="s">
        <v>86</v>
      </c>
      <c r="AA452" s="113" t="s">
        <v>87</v>
      </c>
      <c r="AB452" s="122">
        <v>847.64</v>
      </c>
      <c r="AC452" s="122">
        <f>IF(C452="DENALI", AB452*0.495, IF(C452="SCHNEIDER ELECTRIC", AB452*1.136, IF(C452="WWT", AB452*1.2, AC452)))+AB452</f>
        <v>1267.2218</v>
      </c>
      <c r="AD452" s="129">
        <f>AC452-AB452</f>
        <v>419.58180000000004</v>
      </c>
      <c r="AE452" s="122">
        <v>13649.85</v>
      </c>
      <c r="AF452" s="130">
        <f>AB452/U452</f>
        <v>847.64</v>
      </c>
      <c r="AG452" s="130">
        <f>AB452/V452</f>
        <v>5.6509333333333336</v>
      </c>
      <c r="AH452" s="123">
        <f>AB452/S452</f>
        <v>0.82375121477162294</v>
      </c>
      <c r="AI452" s="124" t="s">
        <v>97</v>
      </c>
      <c r="AJ452" s="125" t="s">
        <v>349</v>
      </c>
      <c r="AK452"/>
      <c r="AM452" s="80"/>
    </row>
    <row r="453" spans="1:39" ht="28.5" customHeight="1">
      <c r="A453" s="113" t="s">
        <v>73</v>
      </c>
      <c r="B453" s="114" t="s">
        <v>140</v>
      </c>
      <c r="C453" s="113" t="s">
        <v>35</v>
      </c>
      <c r="D453" s="113" t="s">
        <v>218</v>
      </c>
      <c r="E453" s="115" t="s">
        <v>992</v>
      </c>
      <c r="F453" s="113" t="s">
        <v>75</v>
      </c>
      <c r="G453" s="116" t="s">
        <v>1771</v>
      </c>
      <c r="H453" s="79">
        <v>46197</v>
      </c>
      <c r="I453" s="114" t="s">
        <v>79</v>
      </c>
      <c r="J453" s="117" t="s">
        <v>1772</v>
      </c>
      <c r="K453" s="118">
        <v>46189</v>
      </c>
      <c r="L453" s="114" t="s">
        <v>81</v>
      </c>
      <c r="M453" s="119">
        <v>46191</v>
      </c>
      <c r="N453" s="128">
        <v>46190</v>
      </c>
      <c r="O453" s="120">
        <f>NETWORKDAYS.INTL(K453,N453,1,$AM$2:$AM$10)-1</f>
        <v>1</v>
      </c>
      <c r="P453" s="114" t="s">
        <v>81</v>
      </c>
      <c r="Q453" s="114" t="s">
        <v>79</v>
      </c>
      <c r="R453" s="115"/>
      <c r="S453" s="145">
        <v>530</v>
      </c>
      <c r="T453" s="148" t="s">
        <v>1773</v>
      </c>
      <c r="U453" s="147">
        <v>1</v>
      </c>
      <c r="V453" s="121">
        <v>120</v>
      </c>
      <c r="W453" s="121">
        <v>375</v>
      </c>
      <c r="X453" s="114" t="s">
        <v>84</v>
      </c>
      <c r="Y453" s="115" t="s">
        <v>85</v>
      </c>
      <c r="Z453" s="115" t="s">
        <v>1774</v>
      </c>
      <c r="AA453" s="113" t="s">
        <v>87</v>
      </c>
      <c r="AB453" s="122">
        <v>308.64</v>
      </c>
      <c r="AC453" s="122">
        <f>IF(C453="DENALI", AB453*0.495, IF(C453="SCHNEIDER ELECTRIC", AB453*1.136, IF(C453="WWT", AB453*1.2, AC453)))+AB453</f>
        <v>461.41679999999997</v>
      </c>
      <c r="AD453" s="129">
        <f>AC453-AB453</f>
        <v>152.77679999999998</v>
      </c>
      <c r="AE453" s="122">
        <v>13413.73</v>
      </c>
      <c r="AF453" s="130">
        <f>AB453/U453</f>
        <v>308.64</v>
      </c>
      <c r="AG453" s="130">
        <f>AB453/V453</f>
        <v>2.5720000000000001</v>
      </c>
      <c r="AH453" s="123">
        <f>AB453/S453</f>
        <v>0.5823396226415094</v>
      </c>
      <c r="AI453" s="124" t="s">
        <v>147</v>
      </c>
      <c r="AJ453" s="125" t="s">
        <v>343</v>
      </c>
      <c r="AK453"/>
      <c r="AM453" s="80"/>
    </row>
    <row r="454" spans="1:39" ht="28.5" customHeight="1">
      <c r="A454" s="113" t="s">
        <v>73</v>
      </c>
      <c r="B454" s="114" t="s">
        <v>74</v>
      </c>
      <c r="C454" s="113" t="s">
        <v>35</v>
      </c>
      <c r="D454" s="113" t="s">
        <v>218</v>
      </c>
      <c r="E454" s="115" t="s">
        <v>400</v>
      </c>
      <c r="F454" s="113" t="s">
        <v>401</v>
      </c>
      <c r="G454" s="116" t="s">
        <v>1775</v>
      </c>
      <c r="H454" s="79">
        <v>46197</v>
      </c>
      <c r="I454" s="114" t="s">
        <v>79</v>
      </c>
      <c r="J454" s="117" t="s">
        <v>1776</v>
      </c>
      <c r="K454" s="118">
        <v>46189</v>
      </c>
      <c r="L454" s="114" t="s">
        <v>79</v>
      </c>
      <c r="M454" s="119">
        <v>46191</v>
      </c>
      <c r="N454" s="128">
        <v>46195</v>
      </c>
      <c r="O454" s="120">
        <f>NETWORKDAYS.INTL(K454,N454,1,$AM$2:$AM$10)-1</f>
        <v>4</v>
      </c>
      <c r="P454" s="114" t="s">
        <v>81</v>
      </c>
      <c r="Q454" s="114" t="s">
        <v>79</v>
      </c>
      <c r="R454" s="115"/>
      <c r="S454" s="145">
        <v>863</v>
      </c>
      <c r="T454" s="148" t="s">
        <v>1777</v>
      </c>
      <c r="U454" s="147">
        <v>1</v>
      </c>
      <c r="V454" s="121">
        <v>223</v>
      </c>
      <c r="W454" s="121">
        <v>255</v>
      </c>
      <c r="X454" s="114" t="s">
        <v>84</v>
      </c>
      <c r="Y454" s="115" t="s">
        <v>85</v>
      </c>
      <c r="Z454" s="115" t="s">
        <v>86</v>
      </c>
      <c r="AA454" s="113" t="s">
        <v>87</v>
      </c>
      <c r="AB454" s="122">
        <v>221.75</v>
      </c>
      <c r="AC454" s="122">
        <f>IF(C454="DENALI", AB454*0.495, IF(C454="SCHNEIDER ELECTRIC", AB454*1.136, IF(C454="WWT", AB454*1.2, AC454)))+AB454</f>
        <v>331.51625000000001</v>
      </c>
      <c r="AD454" s="129">
        <f>AC454-AB454</f>
        <v>109.76625000000001</v>
      </c>
      <c r="AE454" s="122">
        <v>9905.11</v>
      </c>
      <c r="AF454" s="130">
        <f>AB454/U454</f>
        <v>221.75</v>
      </c>
      <c r="AG454" s="130">
        <f>AB454/V454</f>
        <v>0.99439461883408076</v>
      </c>
      <c r="AH454" s="123">
        <f>AB454/S454</f>
        <v>0.25695249130938586</v>
      </c>
      <c r="AI454" s="124" t="s">
        <v>147</v>
      </c>
      <c r="AJ454" s="125" t="s">
        <v>343</v>
      </c>
      <c r="AK454"/>
      <c r="AM454" s="80"/>
    </row>
    <row r="455" spans="1:39" ht="28.5" customHeight="1">
      <c r="A455" s="113" t="s">
        <v>73</v>
      </c>
      <c r="B455" s="114" t="s">
        <v>140</v>
      </c>
      <c r="C455" s="113" t="s">
        <v>35</v>
      </c>
      <c r="D455" s="113" t="s">
        <v>218</v>
      </c>
      <c r="E455" s="115" t="s">
        <v>416</v>
      </c>
      <c r="F455" s="113" t="s">
        <v>90</v>
      </c>
      <c r="G455" s="116" t="s">
        <v>1778</v>
      </c>
      <c r="H455" s="79">
        <v>46197</v>
      </c>
      <c r="I455" s="114" t="s">
        <v>79</v>
      </c>
      <c r="J455" s="117" t="s">
        <v>1779</v>
      </c>
      <c r="K455" s="118">
        <v>46189</v>
      </c>
      <c r="L455" s="114" t="s">
        <v>79</v>
      </c>
      <c r="M455" s="119">
        <v>46195</v>
      </c>
      <c r="N455" s="128">
        <v>46196</v>
      </c>
      <c r="O455" s="120">
        <f>NETWORKDAYS.INTL(K455,N455,1,$AM$2:$AM$10)-1</f>
        <v>5</v>
      </c>
      <c r="P455" s="114" t="s">
        <v>81</v>
      </c>
      <c r="Q455" s="114" t="s">
        <v>79</v>
      </c>
      <c r="R455" s="115"/>
      <c r="S455" s="145">
        <v>2246</v>
      </c>
      <c r="T455" s="148" t="s">
        <v>1780</v>
      </c>
      <c r="U455" s="147">
        <v>1</v>
      </c>
      <c r="V455" s="121">
        <v>120</v>
      </c>
      <c r="W455" s="121">
        <v>375</v>
      </c>
      <c r="X455" s="114" t="s">
        <v>84</v>
      </c>
      <c r="Y455" s="115" t="s">
        <v>85</v>
      </c>
      <c r="Z455" s="115" t="s">
        <v>86</v>
      </c>
      <c r="AA455" s="113" t="s">
        <v>87</v>
      </c>
      <c r="AB455" s="122">
        <v>458.67</v>
      </c>
      <c r="AC455" s="122">
        <f>IF(C455="DENALI", AB455*0.495, IF(C455="SCHNEIDER ELECTRIC", AB455*1.136, IF(C455="WWT", AB455*1.2, AC455)))+AB455</f>
        <v>685.71164999999996</v>
      </c>
      <c r="AD455" s="129">
        <f>AC455-AB455</f>
        <v>227.04164999999995</v>
      </c>
      <c r="AE455" s="122">
        <v>13555.47</v>
      </c>
      <c r="AF455" s="130">
        <f>AB455/U455</f>
        <v>458.67</v>
      </c>
      <c r="AG455" s="130">
        <f>AB455/V455</f>
        <v>3.8222499999999999</v>
      </c>
      <c r="AH455" s="123">
        <f>AB455/S455</f>
        <v>0.20421638468388245</v>
      </c>
      <c r="AI455" s="124" t="s">
        <v>147</v>
      </c>
      <c r="AJ455" s="125" t="s">
        <v>343</v>
      </c>
      <c r="AK455"/>
      <c r="AM455" s="80"/>
    </row>
    <row r="456" spans="1:39" ht="28.5" customHeight="1">
      <c r="A456" s="113" t="s">
        <v>73</v>
      </c>
      <c r="B456" s="114" t="s">
        <v>74</v>
      </c>
      <c r="C456" s="113" t="s">
        <v>36</v>
      </c>
      <c r="D456" s="113" t="s">
        <v>90</v>
      </c>
      <c r="E456" s="115" t="s">
        <v>1781</v>
      </c>
      <c r="F456" s="113" t="s">
        <v>585</v>
      </c>
      <c r="G456" s="116" t="s">
        <v>1782</v>
      </c>
      <c r="H456" s="79">
        <v>46197</v>
      </c>
      <c r="I456" s="114" t="s">
        <v>79</v>
      </c>
      <c r="J456" s="117" t="s">
        <v>1783</v>
      </c>
      <c r="K456" s="118">
        <v>46189</v>
      </c>
      <c r="L456" s="114" t="s">
        <v>81</v>
      </c>
      <c r="M456" s="119">
        <v>46190</v>
      </c>
      <c r="N456" s="128">
        <v>46191</v>
      </c>
      <c r="O456" s="120">
        <f>NETWORKDAYS.INTL(K456,N456,1,$AM$2:$AM$10)-1</f>
        <v>2</v>
      </c>
      <c r="P456" s="114" t="s">
        <v>81</v>
      </c>
      <c r="Q456" s="114" t="s">
        <v>79</v>
      </c>
      <c r="R456" s="115"/>
      <c r="S456" s="145">
        <v>338</v>
      </c>
      <c r="T456" s="148" t="s">
        <v>1784</v>
      </c>
      <c r="U456" s="147">
        <v>1</v>
      </c>
      <c r="V456" s="121">
        <v>2</v>
      </c>
      <c r="W456" s="121">
        <v>194</v>
      </c>
      <c r="X456" s="114" t="s">
        <v>84</v>
      </c>
      <c r="Y456" s="115" t="s">
        <v>85</v>
      </c>
      <c r="Z456" s="115" t="s">
        <v>86</v>
      </c>
      <c r="AA456" s="113" t="s">
        <v>87</v>
      </c>
      <c r="AB456" s="122">
        <v>234.28</v>
      </c>
      <c r="AC456" s="122">
        <f>IF(C456="DENALI", AB456*0.495, IF(C456="SCHNEIDER ELECTRIC", AB456*1.136, IF(C456="WWT", AB456*1.2, AC456)))+AB456</f>
        <v>500.42207999999994</v>
      </c>
      <c r="AD456" s="129">
        <f>AC456-AB456</f>
        <v>266.14207999999996</v>
      </c>
      <c r="AE456" s="122">
        <v>19367.400000000001</v>
      </c>
      <c r="AF456" s="130">
        <f>AB456/U456</f>
        <v>234.28</v>
      </c>
      <c r="AG456" s="130">
        <f>AB456/V456</f>
        <v>117.14</v>
      </c>
      <c r="AH456" s="123">
        <f>AB456/S456</f>
        <v>0.69313609467455617</v>
      </c>
      <c r="AI456" s="124" t="s">
        <v>147</v>
      </c>
      <c r="AJ456" s="125" t="s">
        <v>98</v>
      </c>
      <c r="AK456"/>
      <c r="AM456" s="80"/>
    </row>
    <row r="457" spans="1:39" ht="28.5" customHeight="1">
      <c r="A457" s="113" t="s">
        <v>73</v>
      </c>
      <c r="B457" s="114" t="s">
        <v>74</v>
      </c>
      <c r="C457" s="113" t="s">
        <v>35</v>
      </c>
      <c r="D457" s="113" t="s">
        <v>218</v>
      </c>
      <c r="E457" s="115" t="s">
        <v>1460</v>
      </c>
      <c r="F457" s="113" t="s">
        <v>585</v>
      </c>
      <c r="G457" s="116" t="s">
        <v>1785</v>
      </c>
      <c r="H457" s="79">
        <v>46197</v>
      </c>
      <c r="I457" s="114" t="s">
        <v>79</v>
      </c>
      <c r="J457" s="117" t="s">
        <v>1786</v>
      </c>
      <c r="K457" s="118">
        <v>46189</v>
      </c>
      <c r="L457" s="114" t="s">
        <v>79</v>
      </c>
      <c r="M457" s="119">
        <v>46190</v>
      </c>
      <c r="N457" s="128">
        <v>46196</v>
      </c>
      <c r="O457" s="120">
        <f>NETWORKDAYS.INTL(K457,N457,1,$AM$2:$AM$10)-1</f>
        <v>5</v>
      </c>
      <c r="P457" s="114" t="s">
        <v>81</v>
      </c>
      <c r="Q457" s="114" t="s">
        <v>79</v>
      </c>
      <c r="R457" s="115"/>
      <c r="S457" s="145">
        <v>1833</v>
      </c>
      <c r="T457" s="148" t="s">
        <v>1787</v>
      </c>
      <c r="U457" s="147">
        <v>4</v>
      </c>
      <c r="V457" s="121">
        <v>1054</v>
      </c>
      <c r="W457" s="121">
        <v>1830</v>
      </c>
      <c r="X457" s="114" t="s">
        <v>84</v>
      </c>
      <c r="Y457" s="115" t="s">
        <v>85</v>
      </c>
      <c r="Z457" s="115" t="s">
        <v>86</v>
      </c>
      <c r="AA457" s="113" t="s">
        <v>87</v>
      </c>
      <c r="AB457" s="122">
        <v>599.29</v>
      </c>
      <c r="AC457" s="122">
        <f>IF(C457="DENALI", AB457*0.495, IF(C457="SCHNEIDER ELECTRIC", AB457*1.136, IF(C457="WWT", AB457*1.2, AC457)))+AB457</f>
        <v>895.93854999999996</v>
      </c>
      <c r="AD457" s="129">
        <f>AC457-AB457</f>
        <v>296.64855</v>
      </c>
      <c r="AE457" s="122">
        <v>181689.65</v>
      </c>
      <c r="AF457" s="130">
        <f>AB457/U457</f>
        <v>149.82249999999999</v>
      </c>
      <c r="AG457" s="130">
        <f>AB457/V457</f>
        <v>0.56858633776091083</v>
      </c>
      <c r="AH457" s="123">
        <f>AB457/S457</f>
        <v>0.32694489907255864</v>
      </c>
      <c r="AI457" s="124" t="s">
        <v>147</v>
      </c>
      <c r="AJ457" s="125" t="s">
        <v>343</v>
      </c>
      <c r="AK457"/>
      <c r="AM457" s="80"/>
    </row>
    <row r="458" spans="1:39" ht="28.5" customHeight="1">
      <c r="A458" s="113" t="s">
        <v>73</v>
      </c>
      <c r="B458" s="114" t="s">
        <v>74</v>
      </c>
      <c r="C458" s="113" t="s">
        <v>35</v>
      </c>
      <c r="D458" s="113" t="s">
        <v>99</v>
      </c>
      <c r="E458" s="115" t="s">
        <v>1788</v>
      </c>
      <c r="F458" s="113" t="s">
        <v>77</v>
      </c>
      <c r="G458" s="116">
        <v>23331951</v>
      </c>
      <c r="H458" s="79">
        <v>46198</v>
      </c>
      <c r="I458" s="114" t="s">
        <v>79</v>
      </c>
      <c r="J458" s="117" t="s">
        <v>1789</v>
      </c>
      <c r="K458" s="118">
        <v>46190</v>
      </c>
      <c r="L458" s="114" t="s">
        <v>81</v>
      </c>
      <c r="M458" s="119">
        <v>46191</v>
      </c>
      <c r="N458" s="128" t="s">
        <v>95</v>
      </c>
      <c r="O458" s="120" t="e">
        <f>NETWORKDAYS.INTL(K458,N458,1,$AM$2:$AM$10)-1</f>
        <v>#VALUE!</v>
      </c>
      <c r="P458" s="114" t="s">
        <v>976</v>
      </c>
      <c r="Q458" s="114" t="s">
        <v>81</v>
      </c>
      <c r="R458" s="115" t="s">
        <v>1790</v>
      </c>
      <c r="S458" s="145">
        <v>2852</v>
      </c>
      <c r="T458" s="148" t="s">
        <v>1791</v>
      </c>
      <c r="U458" s="147">
        <v>12</v>
      </c>
      <c r="V458" s="121">
        <v>341</v>
      </c>
      <c r="W458" s="121">
        <v>10200</v>
      </c>
      <c r="X458" s="114" t="s">
        <v>113</v>
      </c>
      <c r="Y458" s="115" t="s">
        <v>85</v>
      </c>
      <c r="Z458" s="115" t="s">
        <v>1792</v>
      </c>
      <c r="AA458" s="113" t="s">
        <v>87</v>
      </c>
      <c r="AB458" s="122">
        <v>350</v>
      </c>
      <c r="AC458" s="122">
        <f>IF(C458="DENALI", AB458*0.495, IF(C458="SCHNEIDER ELECTRIC", AB458*1.136, IF(C458="WWT", AB458*1.2, AC458)))+AB458</f>
        <v>523.25</v>
      </c>
      <c r="AD458" s="129">
        <f>AC458-AB458</f>
        <v>173.25</v>
      </c>
      <c r="AE458" s="122">
        <v>172109.56</v>
      </c>
      <c r="AF458" s="130">
        <f>AB458/U458</f>
        <v>29.166666666666668</v>
      </c>
      <c r="AG458" s="130">
        <f>AB458/V458</f>
        <v>1.0263929618768328</v>
      </c>
      <c r="AH458" s="123">
        <f>AB458/S458</f>
        <v>0.12272089761570827</v>
      </c>
      <c r="AI458" s="124" t="s">
        <v>147</v>
      </c>
      <c r="AJ458" s="125" t="s">
        <v>343</v>
      </c>
      <c r="AK458"/>
      <c r="AM458" s="80"/>
    </row>
    <row r="459" spans="1:39" ht="28.5" customHeight="1">
      <c r="A459" s="113" t="s">
        <v>73</v>
      </c>
      <c r="B459" s="114" t="s">
        <v>74</v>
      </c>
      <c r="C459" s="113" t="s">
        <v>35</v>
      </c>
      <c r="D459" s="113" t="s">
        <v>99</v>
      </c>
      <c r="E459" s="115" t="s">
        <v>1788</v>
      </c>
      <c r="F459" s="113" t="s">
        <v>77</v>
      </c>
      <c r="G459" s="116">
        <v>23367667</v>
      </c>
      <c r="H459" s="79">
        <v>46202</v>
      </c>
      <c r="I459" s="114" t="s">
        <v>79</v>
      </c>
      <c r="J459" s="117" t="s">
        <v>1793</v>
      </c>
      <c r="K459" s="118">
        <v>46192</v>
      </c>
      <c r="L459" s="114" t="s">
        <v>81</v>
      </c>
      <c r="M459" s="119">
        <v>46197</v>
      </c>
      <c r="N459" s="128">
        <v>46199</v>
      </c>
      <c r="O459" s="120">
        <f>NETWORKDAYS.INTL(K459,N459,1,$AM$2:$AM$10)-1</f>
        <v>5</v>
      </c>
      <c r="P459" s="114" t="s">
        <v>81</v>
      </c>
      <c r="Q459" s="114" t="s">
        <v>79</v>
      </c>
      <c r="R459" s="115"/>
      <c r="S459" s="145">
        <v>2852</v>
      </c>
      <c r="T459" s="148" t="s">
        <v>1791</v>
      </c>
      <c r="U459" s="147">
        <v>12</v>
      </c>
      <c r="V459" s="121">
        <v>341</v>
      </c>
      <c r="W459" s="121">
        <v>10200</v>
      </c>
      <c r="X459" s="114" t="s">
        <v>113</v>
      </c>
      <c r="Y459" s="115" t="s">
        <v>85</v>
      </c>
      <c r="Z459" s="115" t="s">
        <v>1794</v>
      </c>
      <c r="AA459" s="113" t="s">
        <v>87</v>
      </c>
      <c r="AB459" s="122">
        <v>6731.36</v>
      </c>
      <c r="AC459" s="122">
        <f>IF(C459="DENALI", AB459*0.495, IF(C459="SCHNEIDER ELECTRIC", AB459*1.136, IF(C459="WWT", AB459*1.2, AC459)))+AB459</f>
        <v>10063.3832</v>
      </c>
      <c r="AD459" s="129">
        <f>AC459-AB459</f>
        <v>3332.0232000000005</v>
      </c>
      <c r="AE459" s="122">
        <v>172109.56</v>
      </c>
      <c r="AF459" s="130">
        <f>AB459/U459</f>
        <v>560.9466666666666</v>
      </c>
      <c r="AG459" s="130">
        <f>AB459/V459</f>
        <v>19.740058651026391</v>
      </c>
      <c r="AH459" s="123">
        <f>AB459/S459</f>
        <v>2.3602244039270688</v>
      </c>
      <c r="AI459" s="124" t="s">
        <v>147</v>
      </c>
      <c r="AJ459" s="125" t="s">
        <v>343</v>
      </c>
      <c r="AK459"/>
      <c r="AM459" s="80"/>
    </row>
    <row r="460" spans="1:39" ht="91.5">
      <c r="A460" s="113" t="s">
        <v>73</v>
      </c>
      <c r="B460" s="114" t="s">
        <v>140</v>
      </c>
      <c r="C460" s="113" t="s">
        <v>35</v>
      </c>
      <c r="D460" s="113" t="s">
        <v>218</v>
      </c>
      <c r="E460" s="115" t="s">
        <v>141</v>
      </c>
      <c r="F460" s="113" t="s">
        <v>142</v>
      </c>
      <c r="G460" s="116" t="s">
        <v>1795</v>
      </c>
      <c r="H460" s="79">
        <v>46198</v>
      </c>
      <c r="I460" s="114" t="s">
        <v>79</v>
      </c>
      <c r="J460" s="117" t="s">
        <v>1796</v>
      </c>
      <c r="K460" s="118">
        <v>46190</v>
      </c>
      <c r="L460" s="114" t="s">
        <v>81</v>
      </c>
      <c r="M460" s="119">
        <v>46191</v>
      </c>
      <c r="N460" s="128">
        <v>46191</v>
      </c>
      <c r="O460" s="120">
        <f>NETWORKDAYS.INTL(K460,N460,1,$AM$2:$AM$10)-1</f>
        <v>1</v>
      </c>
      <c r="P460" s="114" t="s">
        <v>81</v>
      </c>
      <c r="Q460" s="114" t="s">
        <v>79</v>
      </c>
      <c r="R460" s="115"/>
      <c r="S460" s="145">
        <v>441</v>
      </c>
      <c r="T460" s="148" t="s">
        <v>1797</v>
      </c>
      <c r="U460" s="147">
        <v>6</v>
      </c>
      <c r="V460" s="121">
        <v>18</v>
      </c>
      <c r="W460" s="121">
        <v>2670</v>
      </c>
      <c r="X460" s="114" t="s">
        <v>84</v>
      </c>
      <c r="Y460" s="115" t="s">
        <v>85</v>
      </c>
      <c r="Z460" s="115" t="s">
        <v>1208</v>
      </c>
      <c r="AA460" s="113" t="s">
        <v>87</v>
      </c>
      <c r="AB460" s="122">
        <v>627.66999999999996</v>
      </c>
      <c r="AC460" s="122">
        <f>IF(C460="DENALI", AB460*0.495, IF(C460="SCHNEIDER ELECTRIC", AB460*1.136, IF(C460="WWT", AB460*1.2, AC460)))+AB460</f>
        <v>938.36664999999994</v>
      </c>
      <c r="AD460" s="129">
        <f>AC460-AB460</f>
        <v>310.69664999999998</v>
      </c>
      <c r="AE460" s="122">
        <v>9591.5400000000009</v>
      </c>
      <c r="AF460" s="130">
        <f>AB460/U460</f>
        <v>104.61166666666666</v>
      </c>
      <c r="AG460" s="130">
        <f>AB460/V460</f>
        <v>34.870555555555555</v>
      </c>
      <c r="AH460" s="123">
        <f>AB460/S460</f>
        <v>1.4232879818594104</v>
      </c>
      <c r="AI460" s="124" t="s">
        <v>147</v>
      </c>
      <c r="AJ460" s="125" t="s">
        <v>343</v>
      </c>
      <c r="AK460"/>
      <c r="AM460" s="80"/>
    </row>
    <row r="461" spans="1:39" ht="28.5" customHeight="1">
      <c r="A461" s="113" t="s">
        <v>73</v>
      </c>
      <c r="B461" s="114" t="s">
        <v>140</v>
      </c>
      <c r="C461" s="113" t="s">
        <v>35</v>
      </c>
      <c r="D461" s="113" t="s">
        <v>218</v>
      </c>
      <c r="E461" s="115" t="s">
        <v>992</v>
      </c>
      <c r="F461" s="113" t="s">
        <v>75</v>
      </c>
      <c r="G461" s="116" t="s">
        <v>1798</v>
      </c>
      <c r="H461" s="79">
        <v>46198</v>
      </c>
      <c r="I461" s="114" t="s">
        <v>79</v>
      </c>
      <c r="J461" s="117" t="s">
        <v>1799</v>
      </c>
      <c r="K461" s="118">
        <v>46190</v>
      </c>
      <c r="L461" s="114" t="s">
        <v>81</v>
      </c>
      <c r="M461" s="119">
        <v>46191</v>
      </c>
      <c r="N461" s="128">
        <v>46196</v>
      </c>
      <c r="O461" s="120">
        <f>NETWORKDAYS.INTL(K461,N461,1,$AM$2:$AM$10)-1</f>
        <v>4</v>
      </c>
      <c r="P461" s="114" t="s">
        <v>81</v>
      </c>
      <c r="Q461" s="114" t="s">
        <v>79</v>
      </c>
      <c r="R461" s="115" t="s">
        <v>1800</v>
      </c>
      <c r="S461" s="145">
        <v>534</v>
      </c>
      <c r="T461" s="148" t="s">
        <v>1801</v>
      </c>
      <c r="U461" s="147">
        <v>1</v>
      </c>
      <c r="V461" s="121">
        <v>3</v>
      </c>
      <c r="W461" s="121">
        <v>445</v>
      </c>
      <c r="X461" s="114" t="s">
        <v>84</v>
      </c>
      <c r="Y461" s="115" t="s">
        <v>85</v>
      </c>
      <c r="Z461" s="115" t="s">
        <v>1774</v>
      </c>
      <c r="AA461" s="113" t="s">
        <v>87</v>
      </c>
      <c r="AB461" s="122">
        <v>201.56</v>
      </c>
      <c r="AC461" s="122">
        <f>IF(C461="DENALI", AB461*0.495, IF(C461="SCHNEIDER ELECTRIC", AB461*1.136, IF(C461="WWT", AB461*1.2, AC461)))+AB461</f>
        <v>301.3322</v>
      </c>
      <c r="AD461" s="129">
        <f>AC461-AB461</f>
        <v>99.772199999999998</v>
      </c>
      <c r="AE461" s="122">
        <v>2387.0100000000002</v>
      </c>
      <c r="AF461" s="130">
        <f>AB461/U461</f>
        <v>201.56</v>
      </c>
      <c r="AG461" s="130">
        <f>AB461/V461</f>
        <v>67.186666666666667</v>
      </c>
      <c r="AH461" s="123">
        <f>AB461/S461</f>
        <v>0.37745318352059926</v>
      </c>
      <c r="AI461" s="124" t="s">
        <v>147</v>
      </c>
      <c r="AJ461" s="125" t="s">
        <v>343</v>
      </c>
      <c r="AK461"/>
      <c r="AM461" s="80"/>
    </row>
    <row r="462" spans="1:39" ht="28.5" customHeight="1">
      <c r="A462" s="113" t="s">
        <v>73</v>
      </c>
      <c r="B462" s="114" t="s">
        <v>74</v>
      </c>
      <c r="C462" s="113" t="s">
        <v>35</v>
      </c>
      <c r="D462" s="113" t="s">
        <v>218</v>
      </c>
      <c r="E462" s="115" t="s">
        <v>405</v>
      </c>
      <c r="F462" s="113" t="s">
        <v>109</v>
      </c>
      <c r="G462" s="116" t="s">
        <v>1802</v>
      </c>
      <c r="H462" s="79">
        <v>46198</v>
      </c>
      <c r="I462" s="114" t="s">
        <v>79</v>
      </c>
      <c r="J462" s="117" t="s">
        <v>1803</v>
      </c>
      <c r="K462" s="118">
        <v>46190</v>
      </c>
      <c r="L462" s="114" t="s">
        <v>81</v>
      </c>
      <c r="M462" s="119">
        <v>46191</v>
      </c>
      <c r="N462" s="128">
        <v>46195</v>
      </c>
      <c r="O462" s="120">
        <f>NETWORKDAYS.INTL(K462,N462,1,$AM$2:$AM$10)-1</f>
        <v>3</v>
      </c>
      <c r="P462" s="114" t="s">
        <v>81</v>
      </c>
      <c r="Q462" s="114" t="s">
        <v>79</v>
      </c>
      <c r="R462" s="115"/>
      <c r="S462" s="145">
        <v>1036</v>
      </c>
      <c r="T462" s="148" t="s">
        <v>1804</v>
      </c>
      <c r="U462" s="147">
        <v>1</v>
      </c>
      <c r="V462" s="121">
        <v>3</v>
      </c>
      <c r="W462" s="121">
        <v>445</v>
      </c>
      <c r="X462" s="114" t="s">
        <v>84</v>
      </c>
      <c r="Y462" s="115" t="s">
        <v>85</v>
      </c>
      <c r="Z462" s="115" t="s">
        <v>86</v>
      </c>
      <c r="AA462" s="113" t="s">
        <v>87</v>
      </c>
      <c r="AB462" s="122">
        <v>326.29000000000002</v>
      </c>
      <c r="AC462" s="122">
        <f>IF(C462="DENALI", AB462*0.495, IF(C462="SCHNEIDER ELECTRIC", AB462*1.136, IF(C462="WWT", AB462*1.2, AC462)))+AB462</f>
        <v>487.80355000000003</v>
      </c>
      <c r="AD462" s="129">
        <f>AC462-AB462</f>
        <v>161.51355000000001</v>
      </c>
      <c r="AE462" s="122">
        <v>2369.6999999999998</v>
      </c>
      <c r="AF462" s="130">
        <f>AB462/U462</f>
        <v>326.29000000000002</v>
      </c>
      <c r="AG462" s="130">
        <f>AB462/V462</f>
        <v>108.76333333333334</v>
      </c>
      <c r="AH462" s="123">
        <f>AB462/S462</f>
        <v>0.31495173745173749</v>
      </c>
      <c r="AI462" s="124" t="s">
        <v>147</v>
      </c>
      <c r="AJ462" s="125" t="s">
        <v>343</v>
      </c>
      <c r="AK462"/>
      <c r="AM462" s="80"/>
    </row>
    <row r="463" spans="1:39" ht="28.5" customHeight="1">
      <c r="A463" s="113" t="s">
        <v>73</v>
      </c>
      <c r="B463" s="114" t="s">
        <v>74</v>
      </c>
      <c r="C463" s="113" t="s">
        <v>35</v>
      </c>
      <c r="D463" s="113" t="s">
        <v>218</v>
      </c>
      <c r="E463" s="115" t="s">
        <v>832</v>
      </c>
      <c r="F463" s="113" t="s">
        <v>833</v>
      </c>
      <c r="G463" s="116" t="s">
        <v>1805</v>
      </c>
      <c r="H463" s="79">
        <v>46198</v>
      </c>
      <c r="I463" s="114" t="s">
        <v>79</v>
      </c>
      <c r="J463" s="117" t="s">
        <v>1806</v>
      </c>
      <c r="K463" s="118">
        <v>46190</v>
      </c>
      <c r="L463" s="114" t="s">
        <v>81</v>
      </c>
      <c r="M463" s="119">
        <v>46191</v>
      </c>
      <c r="N463" s="128">
        <v>46197</v>
      </c>
      <c r="O463" s="120">
        <f>NETWORKDAYS.INTL(K463,N463,1,$AM$2:$AM$10)-1</f>
        <v>5</v>
      </c>
      <c r="P463" s="114" t="s">
        <v>81</v>
      </c>
      <c r="Q463" s="114" t="s">
        <v>79</v>
      </c>
      <c r="R463" s="115"/>
      <c r="S463" s="145">
        <v>731</v>
      </c>
      <c r="T463" s="148" t="s">
        <v>1807</v>
      </c>
      <c r="U463" s="147">
        <v>1</v>
      </c>
      <c r="V463" s="121">
        <v>2</v>
      </c>
      <c r="W463" s="121">
        <v>335</v>
      </c>
      <c r="X463" s="114" t="s">
        <v>84</v>
      </c>
      <c r="Y463" s="115" t="s">
        <v>85</v>
      </c>
      <c r="Z463" s="115" t="s">
        <v>86</v>
      </c>
      <c r="AA463" s="113" t="s">
        <v>87</v>
      </c>
      <c r="AB463" s="122">
        <v>239.22</v>
      </c>
      <c r="AC463" s="122">
        <f>IF(C463="DENALI", AB463*0.495, IF(C463="SCHNEIDER ELECTRIC", AB463*1.136, IF(C463="WWT", AB463*1.2, AC463)))+AB463</f>
        <v>357.63389999999998</v>
      </c>
      <c r="AD463" s="129">
        <f>AC463-AB463</f>
        <v>118.41389999999998</v>
      </c>
      <c r="AE463" s="122">
        <v>1297.1099999999999</v>
      </c>
      <c r="AF463" s="130">
        <f>AB463/U463</f>
        <v>239.22</v>
      </c>
      <c r="AG463" s="130">
        <f>AB463/V463</f>
        <v>119.61</v>
      </c>
      <c r="AH463" s="123">
        <f>AB463/S463</f>
        <v>0.32725034199726399</v>
      </c>
      <c r="AI463" s="124" t="s">
        <v>97</v>
      </c>
      <c r="AJ463" s="125" t="s">
        <v>349</v>
      </c>
      <c r="AK463"/>
      <c r="AM463" s="80"/>
    </row>
    <row r="464" spans="1:39" ht="28.5" customHeight="1">
      <c r="A464" s="113" t="s">
        <v>73</v>
      </c>
      <c r="B464" s="114" t="s">
        <v>74</v>
      </c>
      <c r="C464" s="113" t="s">
        <v>35</v>
      </c>
      <c r="D464" s="113" t="s">
        <v>218</v>
      </c>
      <c r="E464" s="115" t="s">
        <v>1808</v>
      </c>
      <c r="F464" s="113" t="s">
        <v>644</v>
      </c>
      <c r="G464" s="116" t="s">
        <v>1809</v>
      </c>
      <c r="H464" s="79">
        <v>46198</v>
      </c>
      <c r="I464" s="114" t="s">
        <v>79</v>
      </c>
      <c r="J464" s="117" t="s">
        <v>1810</v>
      </c>
      <c r="K464" s="118">
        <v>46190</v>
      </c>
      <c r="L464" s="114" t="s">
        <v>81</v>
      </c>
      <c r="M464" s="119">
        <v>46192</v>
      </c>
      <c r="N464" s="128">
        <v>46191</v>
      </c>
      <c r="O464" s="120">
        <f>NETWORKDAYS.INTL(K464,N464,1,$AM$2:$AM$10)-1</f>
        <v>1</v>
      </c>
      <c r="P464" s="114" t="s">
        <v>81</v>
      </c>
      <c r="Q464" s="114" t="s">
        <v>79</v>
      </c>
      <c r="R464" s="115"/>
      <c r="S464" s="145">
        <v>232</v>
      </c>
      <c r="T464" s="148" t="s">
        <v>1811</v>
      </c>
      <c r="U464" s="147">
        <v>2</v>
      </c>
      <c r="V464" s="121">
        <v>9</v>
      </c>
      <c r="W464" s="121">
        <v>1330</v>
      </c>
      <c r="X464" s="114" t="s">
        <v>84</v>
      </c>
      <c r="Y464" s="115" t="s">
        <v>85</v>
      </c>
      <c r="Z464" s="115" t="s">
        <v>1774</v>
      </c>
      <c r="AA464" s="113" t="s">
        <v>87</v>
      </c>
      <c r="AB464" s="122">
        <v>234.9</v>
      </c>
      <c r="AC464" s="122">
        <f>IF(C464="DENALI", AB464*0.495, IF(C464="SCHNEIDER ELECTRIC", AB464*1.136, IF(C464="WWT", AB464*1.2, AC464)))+AB464</f>
        <v>351.1755</v>
      </c>
      <c r="AD464" s="129">
        <f>AC464-AB464</f>
        <v>116.27549999999999</v>
      </c>
      <c r="AE464" s="122">
        <v>3986.28</v>
      </c>
      <c r="AF464" s="130">
        <f>AB464/U464</f>
        <v>117.45</v>
      </c>
      <c r="AG464" s="130">
        <f>AB464/V464</f>
        <v>26.1</v>
      </c>
      <c r="AH464" s="123">
        <f>AB464/S464</f>
        <v>1.0125</v>
      </c>
      <c r="AI464" s="124" t="s">
        <v>575</v>
      </c>
      <c r="AJ464" s="125" t="s">
        <v>349</v>
      </c>
      <c r="AK464"/>
      <c r="AM464" s="80"/>
    </row>
    <row r="465" spans="1:39" ht="28.5" customHeight="1">
      <c r="A465" s="113" t="s">
        <v>73</v>
      </c>
      <c r="B465" s="114" t="s">
        <v>74</v>
      </c>
      <c r="C465" s="113" t="s">
        <v>35</v>
      </c>
      <c r="D465" s="113" t="s">
        <v>218</v>
      </c>
      <c r="E465" s="115" t="s">
        <v>125</v>
      </c>
      <c r="F465" s="113" t="s">
        <v>90</v>
      </c>
      <c r="G465" s="116" t="s">
        <v>1812</v>
      </c>
      <c r="H465" s="79">
        <v>46198</v>
      </c>
      <c r="I465" s="114" t="s">
        <v>79</v>
      </c>
      <c r="J465" s="117" t="s">
        <v>1813</v>
      </c>
      <c r="K465" s="118">
        <v>46190</v>
      </c>
      <c r="L465" s="114" t="s">
        <v>81</v>
      </c>
      <c r="M465" s="119">
        <v>46196</v>
      </c>
      <c r="N465" s="128">
        <v>46196</v>
      </c>
      <c r="O465" s="120">
        <f>NETWORKDAYS.INTL(K465,N465,1,$AM$2:$AM$10)-1</f>
        <v>4</v>
      </c>
      <c r="P465" s="114" t="s">
        <v>81</v>
      </c>
      <c r="Q465" s="114" t="s">
        <v>79</v>
      </c>
      <c r="R465" s="115"/>
      <c r="S465" s="145">
        <v>2372</v>
      </c>
      <c r="T465" s="148" t="s">
        <v>1814</v>
      </c>
      <c r="U465" s="147">
        <v>1</v>
      </c>
      <c r="V465" s="121">
        <v>3</v>
      </c>
      <c r="W465" s="121">
        <v>445</v>
      </c>
      <c r="X465" s="114" t="s">
        <v>84</v>
      </c>
      <c r="Y465" s="115" t="s">
        <v>85</v>
      </c>
      <c r="Z465" s="115" t="s">
        <v>86</v>
      </c>
      <c r="AA465" s="113" t="s">
        <v>87</v>
      </c>
      <c r="AB465" s="122">
        <v>370.42</v>
      </c>
      <c r="AC465" s="122">
        <f>IF(C465="DENALI", AB465*0.495, IF(C465="SCHNEIDER ELECTRIC", AB465*1.136, IF(C465="WWT", AB465*1.2, AC465)))+AB465</f>
        <v>553.77790000000005</v>
      </c>
      <c r="AD465" s="129">
        <f>AC465-AB465</f>
        <v>183.35790000000003</v>
      </c>
      <c r="AE465" s="122">
        <v>1297.1099999999999</v>
      </c>
      <c r="AF465" s="130">
        <f>AB465/U465</f>
        <v>370.42</v>
      </c>
      <c r="AG465" s="130">
        <f>AB465/V465</f>
        <v>123.47333333333334</v>
      </c>
      <c r="AH465" s="123">
        <f>AB465/S465</f>
        <v>0.15616357504215853</v>
      </c>
      <c r="AI465" s="124" t="s">
        <v>97</v>
      </c>
      <c r="AJ465" s="125" t="s">
        <v>349</v>
      </c>
      <c r="AK465"/>
      <c r="AM465" s="80"/>
    </row>
    <row r="466" spans="1:39" ht="28.5" customHeight="1">
      <c r="A466" s="113" t="s">
        <v>73</v>
      </c>
      <c r="B466" s="114" t="s">
        <v>74</v>
      </c>
      <c r="C466" s="113" t="s">
        <v>35</v>
      </c>
      <c r="D466" s="113" t="s">
        <v>218</v>
      </c>
      <c r="E466" s="115" t="s">
        <v>1548</v>
      </c>
      <c r="F466" s="113" t="s">
        <v>99</v>
      </c>
      <c r="G466" s="116" t="s">
        <v>1815</v>
      </c>
      <c r="H466" s="79">
        <v>46198</v>
      </c>
      <c r="I466" s="114" t="s">
        <v>79</v>
      </c>
      <c r="J466" s="117" t="s">
        <v>1816</v>
      </c>
      <c r="K466" s="118">
        <v>46190</v>
      </c>
      <c r="L466" s="114" t="s">
        <v>81</v>
      </c>
      <c r="M466" s="119">
        <v>46196</v>
      </c>
      <c r="N466" s="128">
        <v>46196</v>
      </c>
      <c r="O466" s="120">
        <f>NETWORKDAYS.INTL(K466,N466,1,$AM$2:$AM$10)-1</f>
        <v>4</v>
      </c>
      <c r="P466" s="114" t="s">
        <v>81</v>
      </c>
      <c r="Q466" s="114" t="s">
        <v>79</v>
      </c>
      <c r="R466" s="115"/>
      <c r="S466" s="145">
        <v>2087</v>
      </c>
      <c r="T466" s="148" t="s">
        <v>1551</v>
      </c>
      <c r="U466" s="147">
        <v>1</v>
      </c>
      <c r="V466" s="121">
        <v>3</v>
      </c>
      <c r="W466" s="121">
        <v>445</v>
      </c>
      <c r="X466" s="114" t="s">
        <v>84</v>
      </c>
      <c r="Y466" s="115" t="s">
        <v>85</v>
      </c>
      <c r="Z466" s="115" t="s">
        <v>86</v>
      </c>
      <c r="AA466" s="113" t="s">
        <v>87</v>
      </c>
      <c r="AB466" s="122">
        <v>357.54</v>
      </c>
      <c r="AC466" s="122">
        <f>IF(C466="DENALI", AB466*0.495, IF(C466="SCHNEIDER ELECTRIC", AB466*1.136, IF(C466="WWT", AB466*1.2, AC466)))+AB466</f>
        <v>534.52230000000009</v>
      </c>
      <c r="AD466" s="129">
        <f>AC466-AB466</f>
        <v>176.98230000000007</v>
      </c>
      <c r="AE466" s="122">
        <v>15157.14</v>
      </c>
      <c r="AF466" s="130">
        <f>AB466/U466</f>
        <v>357.54</v>
      </c>
      <c r="AG466" s="130">
        <f>AB466/V466</f>
        <v>119.18</v>
      </c>
      <c r="AH466" s="123">
        <f>AB466/S466</f>
        <v>0.17131768088164831</v>
      </c>
      <c r="AI466" s="124" t="s">
        <v>1044</v>
      </c>
      <c r="AJ466" s="125" t="s">
        <v>349</v>
      </c>
      <c r="AK466"/>
      <c r="AM466" s="80"/>
    </row>
    <row r="467" spans="1:39" ht="28.5" customHeight="1">
      <c r="A467" s="113" t="s">
        <v>73</v>
      </c>
      <c r="B467" s="114" t="s">
        <v>74</v>
      </c>
      <c r="C467" s="113" t="s">
        <v>35</v>
      </c>
      <c r="D467" s="113" t="s">
        <v>218</v>
      </c>
      <c r="E467" s="115" t="s">
        <v>866</v>
      </c>
      <c r="F467" s="113" t="s">
        <v>90</v>
      </c>
      <c r="G467" s="116" t="s">
        <v>1817</v>
      </c>
      <c r="H467" s="79">
        <v>46198</v>
      </c>
      <c r="I467" s="114" t="s">
        <v>79</v>
      </c>
      <c r="J467" s="117" t="s">
        <v>1818</v>
      </c>
      <c r="K467" s="118">
        <v>46190</v>
      </c>
      <c r="L467" s="114" t="s">
        <v>81</v>
      </c>
      <c r="M467" s="119">
        <v>46196</v>
      </c>
      <c r="N467" s="128">
        <v>46196</v>
      </c>
      <c r="O467" s="120">
        <f>NETWORKDAYS.INTL(K467,N467,1,$AM$2:$AM$10)-1</f>
        <v>4</v>
      </c>
      <c r="P467" s="114" t="s">
        <v>81</v>
      </c>
      <c r="Q467" s="114" t="s">
        <v>79</v>
      </c>
      <c r="R467" s="115"/>
      <c r="S467" s="145">
        <v>2261</v>
      </c>
      <c r="T467" s="148" t="s">
        <v>1819</v>
      </c>
      <c r="U467" s="147">
        <v>1</v>
      </c>
      <c r="V467" s="121">
        <v>3</v>
      </c>
      <c r="W467" s="121">
        <v>445</v>
      </c>
      <c r="X467" s="114" t="s">
        <v>84</v>
      </c>
      <c r="Y467" s="115" t="s">
        <v>85</v>
      </c>
      <c r="Z467" s="115" t="s">
        <v>86</v>
      </c>
      <c r="AA467" s="113" t="s">
        <v>87</v>
      </c>
      <c r="AB467" s="122">
        <v>405.24</v>
      </c>
      <c r="AC467" s="122">
        <f>IF(C467="DENALI", AB467*0.495, IF(C467="SCHNEIDER ELECTRIC", AB467*1.136, IF(C467="WWT", AB467*1.2, AC467)))+AB467</f>
        <v>605.8338</v>
      </c>
      <c r="AD467" s="129">
        <f>AC467-AB467</f>
        <v>200.59379999999999</v>
      </c>
      <c r="AE467" s="122">
        <v>2420.88</v>
      </c>
      <c r="AF467" s="130">
        <f>AB467/U467</f>
        <v>405.24</v>
      </c>
      <c r="AG467" s="130">
        <f>AB467/V467</f>
        <v>135.08000000000001</v>
      </c>
      <c r="AH467" s="123">
        <f>AB467/S467</f>
        <v>0.17923042901371075</v>
      </c>
      <c r="AI467" s="124" t="s">
        <v>1044</v>
      </c>
      <c r="AJ467" s="125" t="s">
        <v>349</v>
      </c>
      <c r="AK467"/>
      <c r="AM467" s="80"/>
    </row>
    <row r="468" spans="1:39" ht="28.5" customHeight="1">
      <c r="A468" s="113" t="s">
        <v>73</v>
      </c>
      <c r="B468" s="114" t="s">
        <v>74</v>
      </c>
      <c r="C468" s="113" t="s">
        <v>35</v>
      </c>
      <c r="D468" s="113" t="s">
        <v>218</v>
      </c>
      <c r="E468" s="115" t="s">
        <v>1541</v>
      </c>
      <c r="F468" s="113" t="s">
        <v>92</v>
      </c>
      <c r="G468" s="116" t="s">
        <v>1820</v>
      </c>
      <c r="H468" s="79">
        <v>46198</v>
      </c>
      <c r="I468" s="114" t="s">
        <v>79</v>
      </c>
      <c r="J468" s="117" t="s">
        <v>1821</v>
      </c>
      <c r="K468" s="118">
        <v>46190</v>
      </c>
      <c r="L468" s="114" t="s">
        <v>81</v>
      </c>
      <c r="M468" s="119">
        <v>46192</v>
      </c>
      <c r="N468" s="128">
        <v>46192</v>
      </c>
      <c r="O468" s="120">
        <f>NETWORKDAYS.INTL(K468,N468,1,$AM$2:$AM$10)-1</f>
        <v>2</v>
      </c>
      <c r="P468" s="114" t="s">
        <v>81</v>
      </c>
      <c r="Q468" s="114" t="s">
        <v>79</v>
      </c>
      <c r="R468" s="115"/>
      <c r="S468" s="145">
        <v>1142</v>
      </c>
      <c r="T468" s="148" t="s">
        <v>1544</v>
      </c>
      <c r="U468" s="147">
        <v>1</v>
      </c>
      <c r="V468" s="121">
        <v>3</v>
      </c>
      <c r="W468" s="121">
        <v>445</v>
      </c>
      <c r="X468" s="114" t="s">
        <v>84</v>
      </c>
      <c r="Y468" s="115" t="s">
        <v>85</v>
      </c>
      <c r="Z468" s="115" t="s">
        <v>86</v>
      </c>
      <c r="AA468" s="113" t="s">
        <v>87</v>
      </c>
      <c r="AB468" s="122">
        <v>243.7</v>
      </c>
      <c r="AC468" s="122">
        <f>IF(C468="DENALI", AB468*0.495, IF(C468="SCHNEIDER ELECTRIC", AB468*1.136, IF(C468="WWT", AB468*1.2, AC468)))+AB468</f>
        <v>364.33150000000001</v>
      </c>
      <c r="AD468" s="129">
        <f>AC468-AB468</f>
        <v>120.63150000000002</v>
      </c>
      <c r="AE468" s="122">
        <v>2420.88</v>
      </c>
      <c r="AF468" s="130">
        <f>AB468/U468</f>
        <v>243.7</v>
      </c>
      <c r="AG468" s="130">
        <f>AB468/V468</f>
        <v>81.233333333333334</v>
      </c>
      <c r="AH468" s="123">
        <f>AB468/S468</f>
        <v>0.21339754816112083</v>
      </c>
      <c r="AI468" s="124" t="s">
        <v>1044</v>
      </c>
      <c r="AJ468" s="125" t="s">
        <v>349</v>
      </c>
      <c r="AK468"/>
      <c r="AM468" s="80"/>
    </row>
    <row r="469" spans="1:39" ht="28.5" customHeight="1">
      <c r="A469" s="113" t="s">
        <v>73</v>
      </c>
      <c r="B469" s="114" t="s">
        <v>74</v>
      </c>
      <c r="C469" s="113" t="s">
        <v>35</v>
      </c>
      <c r="D469" s="113" t="s">
        <v>218</v>
      </c>
      <c r="E469" s="115" t="s">
        <v>1822</v>
      </c>
      <c r="F469" s="113" t="s">
        <v>142</v>
      </c>
      <c r="G469" s="116" t="s">
        <v>1823</v>
      </c>
      <c r="H469" s="79">
        <v>46198</v>
      </c>
      <c r="I469" s="114" t="s">
        <v>79</v>
      </c>
      <c r="J469" s="117" t="s">
        <v>1824</v>
      </c>
      <c r="K469" s="118">
        <v>46190</v>
      </c>
      <c r="L469" s="114" t="s">
        <v>81</v>
      </c>
      <c r="M469" s="119">
        <v>46192</v>
      </c>
      <c r="N469" s="128">
        <v>46192</v>
      </c>
      <c r="O469" s="120">
        <f>NETWORKDAYS.INTL(K469,N469,1,$AM$2:$AM$10)-1</f>
        <v>2</v>
      </c>
      <c r="P469" s="114" t="s">
        <v>81</v>
      </c>
      <c r="Q469" s="114" t="s">
        <v>79</v>
      </c>
      <c r="R469" s="115" t="s">
        <v>1825</v>
      </c>
      <c r="S469" s="145">
        <v>458</v>
      </c>
      <c r="T469" s="148" t="s">
        <v>1826</v>
      </c>
      <c r="U469" s="147">
        <v>1</v>
      </c>
      <c r="V469" s="121">
        <v>1</v>
      </c>
      <c r="W469" s="121">
        <v>195</v>
      </c>
      <c r="X469" s="114" t="s">
        <v>84</v>
      </c>
      <c r="Y469" s="115" t="s">
        <v>85</v>
      </c>
      <c r="Z469" s="115" t="s">
        <v>1208</v>
      </c>
      <c r="AA469" s="113" t="s">
        <v>87</v>
      </c>
      <c r="AB469" s="122">
        <v>183.5</v>
      </c>
      <c r="AC469" s="122">
        <f>IF(C469="DENALI", AB469*0.495, IF(C469="SCHNEIDER ELECTRIC", AB469*1.136, IF(C469="WWT", AB469*1.2, AC469)))+AB469</f>
        <v>274.33249999999998</v>
      </c>
      <c r="AD469" s="129">
        <f>AC469-AB469</f>
        <v>90.832499999999982</v>
      </c>
      <c r="AE469" s="122">
        <v>442.92</v>
      </c>
      <c r="AF469" s="130">
        <f>AB469/U469</f>
        <v>183.5</v>
      </c>
      <c r="AG469" s="130">
        <f>AB469/V469</f>
        <v>183.5</v>
      </c>
      <c r="AH469" s="123">
        <f>AB469/S469</f>
        <v>0.40065502183406115</v>
      </c>
      <c r="AI469" s="124" t="s">
        <v>155</v>
      </c>
      <c r="AJ469" s="125" t="s">
        <v>89</v>
      </c>
      <c r="AK469"/>
      <c r="AM469" s="80"/>
    </row>
    <row r="470" spans="1:39" ht="28.5" customHeight="1">
      <c r="A470" s="113" t="s">
        <v>73</v>
      </c>
      <c r="B470" s="114" t="s">
        <v>74</v>
      </c>
      <c r="C470" s="113" t="s">
        <v>35</v>
      </c>
      <c r="D470" s="113" t="s">
        <v>218</v>
      </c>
      <c r="E470" s="115" t="s">
        <v>988</v>
      </c>
      <c r="F470" s="113" t="s">
        <v>75</v>
      </c>
      <c r="G470" s="116" t="s">
        <v>1827</v>
      </c>
      <c r="H470" s="79">
        <v>46198</v>
      </c>
      <c r="I470" s="114" t="s">
        <v>79</v>
      </c>
      <c r="J470" s="117" t="s">
        <v>1828</v>
      </c>
      <c r="K470" s="118">
        <v>46190</v>
      </c>
      <c r="L470" s="114" t="s">
        <v>81</v>
      </c>
      <c r="M470" s="119">
        <v>46191</v>
      </c>
      <c r="N470" s="128">
        <v>46192</v>
      </c>
      <c r="O470" s="120">
        <f>NETWORKDAYS.INTL(K470,N470,1,$AM$2:$AM$10)-1</f>
        <v>2</v>
      </c>
      <c r="P470" s="114" t="s">
        <v>81</v>
      </c>
      <c r="Q470" s="114" t="s">
        <v>79</v>
      </c>
      <c r="R470" s="115" t="s">
        <v>1829</v>
      </c>
      <c r="S470" s="145">
        <v>534</v>
      </c>
      <c r="T470" s="148" t="s">
        <v>1830</v>
      </c>
      <c r="U470" s="147">
        <v>1</v>
      </c>
      <c r="V470" s="121">
        <v>3</v>
      </c>
      <c r="W470" s="121">
        <v>445</v>
      </c>
      <c r="X470" s="114" t="s">
        <v>84</v>
      </c>
      <c r="Y470" s="115" t="s">
        <v>85</v>
      </c>
      <c r="Z470" s="115" t="s">
        <v>1774</v>
      </c>
      <c r="AA470" s="113" t="s">
        <v>87</v>
      </c>
      <c r="AB470" s="122">
        <v>201.56</v>
      </c>
      <c r="AC470" s="122">
        <f>IF(C470="DENALI", AB470*0.495, IF(C470="SCHNEIDER ELECTRIC", AB470*1.136, IF(C470="WWT", AB470*1.2, AC470)))+AB470</f>
        <v>301.3322</v>
      </c>
      <c r="AD470" s="129">
        <f>AC470-AB470</f>
        <v>99.772199999999998</v>
      </c>
      <c r="AE470" s="122">
        <v>1328.76</v>
      </c>
      <c r="AF470" s="130">
        <f>AB470/U470</f>
        <v>201.56</v>
      </c>
      <c r="AG470" s="130">
        <f>AB470/V470</f>
        <v>67.186666666666667</v>
      </c>
      <c r="AH470" s="123">
        <f>AB470/S470</f>
        <v>0.37745318352059926</v>
      </c>
      <c r="AI470" s="124" t="s">
        <v>97</v>
      </c>
      <c r="AJ470" s="125" t="s">
        <v>349</v>
      </c>
      <c r="AK470"/>
      <c r="AM470" s="80"/>
    </row>
    <row r="471" spans="1:39" ht="28.5" customHeight="1">
      <c r="A471" s="113" t="s">
        <v>73</v>
      </c>
      <c r="B471" s="114" t="s">
        <v>74</v>
      </c>
      <c r="C471" s="113" t="s">
        <v>35</v>
      </c>
      <c r="D471" s="113" t="s">
        <v>218</v>
      </c>
      <c r="E471" s="115" t="s">
        <v>1831</v>
      </c>
      <c r="F471" s="113" t="s">
        <v>370</v>
      </c>
      <c r="G471" s="116" t="s">
        <v>1832</v>
      </c>
      <c r="H471" s="79">
        <v>46198</v>
      </c>
      <c r="I471" s="114" t="s">
        <v>79</v>
      </c>
      <c r="J471" s="117" t="s">
        <v>1833</v>
      </c>
      <c r="K471" s="118">
        <v>46190</v>
      </c>
      <c r="L471" s="114" t="s">
        <v>81</v>
      </c>
      <c r="M471" s="119">
        <v>46192</v>
      </c>
      <c r="N471" s="128">
        <v>46192</v>
      </c>
      <c r="O471" s="120">
        <f>NETWORKDAYS.INTL(K471,N471,1,$AM$2:$AM$10)-1</f>
        <v>2</v>
      </c>
      <c r="P471" s="114" t="s">
        <v>81</v>
      </c>
      <c r="Q471" s="114" t="s">
        <v>79</v>
      </c>
      <c r="R471" s="115"/>
      <c r="S471" s="145">
        <v>622</v>
      </c>
      <c r="T471" s="148" t="s">
        <v>1834</v>
      </c>
      <c r="U471" s="147">
        <v>1</v>
      </c>
      <c r="V471" s="121">
        <v>3</v>
      </c>
      <c r="W471" s="121">
        <v>445</v>
      </c>
      <c r="X471" s="114" t="s">
        <v>84</v>
      </c>
      <c r="Y471" s="115" t="s">
        <v>85</v>
      </c>
      <c r="Z471" s="115" t="s">
        <v>86</v>
      </c>
      <c r="AA471" s="113" t="s">
        <v>87</v>
      </c>
      <c r="AB471" s="122">
        <v>243.7</v>
      </c>
      <c r="AC471" s="122">
        <f>IF(C471="DENALI", AB471*0.495, IF(C471="SCHNEIDER ELECTRIC", AB471*1.136, IF(C471="WWT", AB471*1.2, AC471)))+AB471</f>
        <v>364.33150000000001</v>
      </c>
      <c r="AD471" s="129">
        <f>AC471-AB471</f>
        <v>120.63150000000002</v>
      </c>
      <c r="AE471" s="122">
        <v>2420.88</v>
      </c>
      <c r="AF471" s="130">
        <f>AB471/U471</f>
        <v>243.7</v>
      </c>
      <c r="AG471" s="130">
        <f>AB471/V471</f>
        <v>81.233333333333334</v>
      </c>
      <c r="AH471" s="123">
        <f>AB471/S471</f>
        <v>0.39180064308681672</v>
      </c>
      <c r="AI471" s="124" t="s">
        <v>1044</v>
      </c>
      <c r="AJ471" s="125" t="s">
        <v>349</v>
      </c>
      <c r="AK471"/>
      <c r="AM471" s="80"/>
    </row>
    <row r="472" spans="1:39" ht="28.5" customHeight="1">
      <c r="A472" s="113" t="s">
        <v>73</v>
      </c>
      <c r="B472" s="114" t="s">
        <v>74</v>
      </c>
      <c r="C472" s="113" t="s">
        <v>35</v>
      </c>
      <c r="D472" s="113" t="s">
        <v>218</v>
      </c>
      <c r="E472" s="115" t="s">
        <v>1194</v>
      </c>
      <c r="F472" s="113" t="s">
        <v>1103</v>
      </c>
      <c r="G472" s="116" t="s">
        <v>1835</v>
      </c>
      <c r="H472" s="79">
        <v>46198</v>
      </c>
      <c r="I472" s="114" t="s">
        <v>79</v>
      </c>
      <c r="J472" s="117" t="s">
        <v>1836</v>
      </c>
      <c r="K472" s="118">
        <v>46190</v>
      </c>
      <c r="L472" s="114" t="s">
        <v>81</v>
      </c>
      <c r="M472" s="119">
        <v>46192</v>
      </c>
      <c r="N472" s="128">
        <v>46195</v>
      </c>
      <c r="O472" s="120">
        <f>NETWORKDAYS.INTL(K472,N472,1,$AM$2:$AM$10)-1</f>
        <v>3</v>
      </c>
      <c r="P472" s="114" t="s">
        <v>81</v>
      </c>
      <c r="Q472" s="114" t="s">
        <v>79</v>
      </c>
      <c r="R472" s="115"/>
      <c r="S472" s="145">
        <v>647.9</v>
      </c>
      <c r="T472" s="148" t="s">
        <v>1430</v>
      </c>
      <c r="U472" s="147">
        <v>1</v>
      </c>
      <c r="V472" s="121">
        <v>3</v>
      </c>
      <c r="W472" s="121">
        <v>445</v>
      </c>
      <c r="X472" s="114" t="s">
        <v>84</v>
      </c>
      <c r="Y472" s="115" t="s">
        <v>85</v>
      </c>
      <c r="Z472" s="115" t="s">
        <v>1540</v>
      </c>
      <c r="AA472" s="113" t="s">
        <v>87</v>
      </c>
      <c r="AB472" s="122">
        <v>216.45</v>
      </c>
      <c r="AC472" s="122">
        <f>IF(C472="DENALI", AB472*0.495, IF(C472="SCHNEIDER ELECTRIC", AB472*1.136, IF(C472="WWT", AB472*1.2, AC472)))+AB472</f>
        <v>323.59274999999997</v>
      </c>
      <c r="AD472" s="129">
        <f>AC472-AB472</f>
        <v>107.14274999999998</v>
      </c>
      <c r="AE472" s="122">
        <v>2369.6999999999998</v>
      </c>
      <c r="AF472" s="130">
        <f>AB472/U472</f>
        <v>216.45</v>
      </c>
      <c r="AG472" s="130">
        <f>AB472/V472</f>
        <v>72.149999999999991</v>
      </c>
      <c r="AH472" s="123">
        <f>AB472/S472</f>
        <v>0.33407933323043681</v>
      </c>
      <c r="AI472" s="124" t="s">
        <v>97</v>
      </c>
      <c r="AJ472" s="125" t="s">
        <v>349</v>
      </c>
      <c r="AK472"/>
      <c r="AM472" s="80"/>
    </row>
    <row r="473" spans="1:39" ht="28.5" customHeight="1">
      <c r="A473" s="113" t="s">
        <v>73</v>
      </c>
      <c r="B473" s="114" t="s">
        <v>74</v>
      </c>
      <c r="C473" s="113" t="s">
        <v>35</v>
      </c>
      <c r="D473" s="113" t="s">
        <v>218</v>
      </c>
      <c r="E473" s="115" t="s">
        <v>259</v>
      </c>
      <c r="F473" s="113" t="s">
        <v>207</v>
      </c>
      <c r="G473" s="116" t="s">
        <v>1837</v>
      </c>
      <c r="H473" s="79">
        <v>46198</v>
      </c>
      <c r="I473" s="114" t="s">
        <v>79</v>
      </c>
      <c r="J473" s="117" t="s">
        <v>1838</v>
      </c>
      <c r="K473" s="118">
        <v>46190</v>
      </c>
      <c r="L473" s="114" t="s">
        <v>81</v>
      </c>
      <c r="M473" s="119">
        <v>46191</v>
      </c>
      <c r="N473" s="128">
        <v>46191</v>
      </c>
      <c r="O473" s="120">
        <f>NETWORKDAYS.INTL(K473,N473,1,$AM$2:$AM$10)-1</f>
        <v>1</v>
      </c>
      <c r="P473" s="114" t="s">
        <v>81</v>
      </c>
      <c r="Q473" s="114" t="s">
        <v>79</v>
      </c>
      <c r="R473" s="115"/>
      <c r="S473" s="145">
        <v>92</v>
      </c>
      <c r="T473" s="148" t="s">
        <v>1839</v>
      </c>
      <c r="U473" s="147">
        <v>1</v>
      </c>
      <c r="V473" s="121">
        <v>6</v>
      </c>
      <c r="W473" s="121">
        <v>885</v>
      </c>
      <c r="X473" s="114" t="s">
        <v>84</v>
      </c>
      <c r="Y473" s="115" t="s">
        <v>85</v>
      </c>
      <c r="Z473" s="115" t="s">
        <v>1774</v>
      </c>
      <c r="AA473" s="113" t="s">
        <v>87</v>
      </c>
      <c r="AB473" s="122">
        <v>161.46</v>
      </c>
      <c r="AC473" s="122">
        <f>IF(C473="DENALI", AB473*0.495, IF(C473="SCHNEIDER ELECTRIC", AB473*1.136, IF(C473="WWT", AB473*1.2, AC473)))+AB473</f>
        <v>241.3827</v>
      </c>
      <c r="AD473" s="129">
        <f>AC473-AB473</f>
        <v>79.922699999999992</v>
      </c>
      <c r="AE473" s="122">
        <v>2657.52</v>
      </c>
      <c r="AF473" s="130">
        <f>AB473/U473</f>
        <v>161.46</v>
      </c>
      <c r="AG473" s="130">
        <f>AB473/V473</f>
        <v>26.91</v>
      </c>
      <c r="AH473" s="123">
        <f>AB473/S473</f>
        <v>1.7550000000000001</v>
      </c>
      <c r="AI473" s="124" t="s">
        <v>97</v>
      </c>
      <c r="AJ473" s="125" t="s">
        <v>349</v>
      </c>
      <c r="AK473"/>
      <c r="AM473" s="80"/>
    </row>
    <row r="474" spans="1:39" ht="28.5" customHeight="1">
      <c r="A474" s="113" t="s">
        <v>73</v>
      </c>
      <c r="B474" s="114" t="s">
        <v>74</v>
      </c>
      <c r="C474" s="113" t="s">
        <v>35</v>
      </c>
      <c r="D474" s="113" t="s">
        <v>218</v>
      </c>
      <c r="E474" s="115" t="s">
        <v>1840</v>
      </c>
      <c r="F474" s="113" t="s">
        <v>75</v>
      </c>
      <c r="G474" s="116" t="s">
        <v>1841</v>
      </c>
      <c r="H474" s="79">
        <v>46198</v>
      </c>
      <c r="I474" s="114" t="s">
        <v>79</v>
      </c>
      <c r="J474" s="117" t="s">
        <v>1842</v>
      </c>
      <c r="K474" s="118">
        <v>46190</v>
      </c>
      <c r="L474" s="114" t="s">
        <v>81</v>
      </c>
      <c r="M474" s="119">
        <v>46191</v>
      </c>
      <c r="N474" s="128">
        <v>46192</v>
      </c>
      <c r="O474" s="120">
        <f>NETWORKDAYS.INTL(K474,N474,1,$AM$2:$AM$10)-1</f>
        <v>2</v>
      </c>
      <c r="P474" s="114" t="s">
        <v>81</v>
      </c>
      <c r="Q474" s="114" t="s">
        <v>79</v>
      </c>
      <c r="R474" s="115" t="s">
        <v>1843</v>
      </c>
      <c r="S474" s="145">
        <v>512</v>
      </c>
      <c r="T474" s="148" t="s">
        <v>1844</v>
      </c>
      <c r="U474" s="147">
        <v>1</v>
      </c>
      <c r="V474" s="121">
        <v>1</v>
      </c>
      <c r="W474" s="121">
        <v>195</v>
      </c>
      <c r="X474" s="114" t="s">
        <v>84</v>
      </c>
      <c r="Y474" s="115" t="s">
        <v>85</v>
      </c>
      <c r="Z474" s="115" t="s">
        <v>1774</v>
      </c>
      <c r="AA474" s="113" t="s">
        <v>87</v>
      </c>
      <c r="AB474" s="122">
        <v>308.24</v>
      </c>
      <c r="AC474" s="122">
        <f>IF(C474="DENALI", AB474*0.495, IF(C474="SCHNEIDER ELECTRIC", AB474*1.136, IF(C474="WWT", AB474*1.2, AC474)))+AB474</f>
        <v>460.81880000000001</v>
      </c>
      <c r="AD474" s="129">
        <f>AC474-AB474</f>
        <v>152.5788</v>
      </c>
      <c r="AE474" s="122">
        <v>432.37</v>
      </c>
      <c r="AF474" s="130">
        <f>AB474/U474</f>
        <v>308.24</v>
      </c>
      <c r="AG474" s="130">
        <f>AB474/V474</f>
        <v>308.24</v>
      </c>
      <c r="AH474" s="123">
        <f>AB474/S474</f>
        <v>0.60203125000000002</v>
      </c>
      <c r="AI474" s="124" t="s">
        <v>97</v>
      </c>
      <c r="AJ474" s="125" t="s">
        <v>349</v>
      </c>
      <c r="AK474"/>
      <c r="AM474" s="80"/>
    </row>
    <row r="475" spans="1:39" ht="28.5" customHeight="1">
      <c r="A475" s="113" t="s">
        <v>73</v>
      </c>
      <c r="B475" s="114" t="s">
        <v>74</v>
      </c>
      <c r="C475" s="113" t="s">
        <v>36</v>
      </c>
      <c r="D475" s="113" t="s">
        <v>75</v>
      </c>
      <c r="E475" s="115" t="s">
        <v>1845</v>
      </c>
      <c r="F475" s="113" t="s">
        <v>109</v>
      </c>
      <c r="G475" s="116" t="s">
        <v>1846</v>
      </c>
      <c r="H475" s="79">
        <v>46198</v>
      </c>
      <c r="I475" s="114" t="s">
        <v>79</v>
      </c>
      <c r="J475" s="117" t="s">
        <v>1847</v>
      </c>
      <c r="K475" s="118">
        <v>46190</v>
      </c>
      <c r="L475" s="114" t="s">
        <v>81</v>
      </c>
      <c r="M475" s="119">
        <v>46192</v>
      </c>
      <c r="N475" s="128">
        <v>46192</v>
      </c>
      <c r="O475" s="120">
        <f>NETWORKDAYS.INTL(K475,N475,1,$AM$2:$AM$10)-1</f>
        <v>2</v>
      </c>
      <c r="P475" s="114" t="s">
        <v>81</v>
      </c>
      <c r="Q475" s="114" t="s">
        <v>79</v>
      </c>
      <c r="R475" s="115"/>
      <c r="S475" s="145">
        <v>991</v>
      </c>
      <c r="T475" s="148" t="s">
        <v>1848</v>
      </c>
      <c r="U475" s="147">
        <v>1</v>
      </c>
      <c r="V475" s="121">
        <v>9</v>
      </c>
      <c r="W475" s="121">
        <v>388</v>
      </c>
      <c r="X475" s="114" t="s">
        <v>84</v>
      </c>
      <c r="Y475" s="115" t="s">
        <v>85</v>
      </c>
      <c r="Z475" s="115" t="s">
        <v>86</v>
      </c>
      <c r="AA475" s="113" t="s">
        <v>87</v>
      </c>
      <c r="AB475" s="122">
        <v>252.85</v>
      </c>
      <c r="AC475" s="122">
        <f>IF(C475="DENALI", AB475*0.495, IF(C475="SCHNEIDER ELECTRIC", AB475*1.136, IF(C475="WWT", AB475*1.2, AC475)))+AB475</f>
        <v>540.08759999999995</v>
      </c>
      <c r="AD475" s="129">
        <f>AC475-AB475</f>
        <v>287.23759999999993</v>
      </c>
      <c r="AE475" s="122">
        <v>4650.57</v>
      </c>
      <c r="AF475" s="130">
        <f>AB475/U475</f>
        <v>252.85</v>
      </c>
      <c r="AG475" s="130">
        <f>AB475/V475</f>
        <v>28.094444444444445</v>
      </c>
      <c r="AH475" s="123">
        <f>AB475/S475</f>
        <v>0.255146316851665</v>
      </c>
      <c r="AI475" s="124" t="s">
        <v>115</v>
      </c>
      <c r="AJ475" s="125" t="s">
        <v>98</v>
      </c>
      <c r="AK475"/>
      <c r="AM475" s="80"/>
    </row>
    <row r="476" spans="1:39" ht="28.5" customHeight="1">
      <c r="A476" s="113" t="s">
        <v>73</v>
      </c>
      <c r="B476" s="114" t="s">
        <v>74</v>
      </c>
      <c r="C476" s="113" t="s">
        <v>35</v>
      </c>
      <c r="D476" s="113" t="s">
        <v>99</v>
      </c>
      <c r="E476" s="115" t="s">
        <v>1849</v>
      </c>
      <c r="F476" s="113" t="s">
        <v>644</v>
      </c>
      <c r="G476" s="116">
        <v>23343665</v>
      </c>
      <c r="H476" s="79">
        <v>46199</v>
      </c>
      <c r="I476" s="114" t="s">
        <v>79</v>
      </c>
      <c r="J476" s="117" t="s">
        <v>1850</v>
      </c>
      <c r="K476" s="118">
        <v>46191</v>
      </c>
      <c r="L476" s="114" t="s">
        <v>81</v>
      </c>
      <c r="M476" s="119">
        <v>46195</v>
      </c>
      <c r="N476" s="128">
        <v>46195</v>
      </c>
      <c r="O476" s="120">
        <f>NETWORKDAYS.INTL(K476,N476,1,$AM$2:$AM$10)-1</f>
        <v>2</v>
      </c>
      <c r="P476" s="114" t="s">
        <v>81</v>
      </c>
      <c r="Q476" s="114" t="s">
        <v>79</v>
      </c>
      <c r="R476" s="115" t="s">
        <v>1851</v>
      </c>
      <c r="S476" s="145">
        <v>2013.1</v>
      </c>
      <c r="T476" s="148" t="s">
        <v>1852</v>
      </c>
      <c r="U476" s="147">
        <v>10</v>
      </c>
      <c r="V476" s="121">
        <v>10</v>
      </c>
      <c r="W476" s="121">
        <v>8360</v>
      </c>
      <c r="X476" s="114" t="s">
        <v>113</v>
      </c>
      <c r="Y476" s="115" t="s">
        <v>85</v>
      </c>
      <c r="Z476" s="115" t="s">
        <v>1853</v>
      </c>
      <c r="AA476" s="113" t="s">
        <v>87</v>
      </c>
      <c r="AB476" s="122">
        <v>4367.3500000000004</v>
      </c>
      <c r="AC476" s="122">
        <f>IF(C476="DENALI", AB476*0.495, IF(C476="SCHNEIDER ELECTRIC", AB476*1.136, IF(C476="WWT", AB476*1.2, AC476)))+AB476</f>
        <v>6529.1882500000011</v>
      </c>
      <c r="AD476" s="129">
        <f>AC476-AB476</f>
        <v>2161.8382500000007</v>
      </c>
      <c r="AE476" s="122">
        <v>142527.4</v>
      </c>
      <c r="AF476" s="130">
        <f>AB476/U476</f>
        <v>436.73500000000001</v>
      </c>
      <c r="AG476" s="130">
        <f>AB476/V476</f>
        <v>436.73500000000001</v>
      </c>
      <c r="AH476" s="123">
        <f>AB476/S476</f>
        <v>2.169465004222344</v>
      </c>
      <c r="AI476" s="124" t="s">
        <v>147</v>
      </c>
      <c r="AJ476" s="125" t="s">
        <v>343</v>
      </c>
      <c r="AK476"/>
      <c r="AM476" s="80"/>
    </row>
    <row r="477" spans="1:39" ht="167.25">
      <c r="A477" s="113" t="s">
        <v>73</v>
      </c>
      <c r="B477" s="114" t="s">
        <v>140</v>
      </c>
      <c r="C477" s="113" t="s">
        <v>35</v>
      </c>
      <c r="D477" s="113" t="s">
        <v>99</v>
      </c>
      <c r="E477" s="115" t="s">
        <v>141</v>
      </c>
      <c r="F477" s="113" t="s">
        <v>142</v>
      </c>
      <c r="G477" s="116">
        <v>23347001</v>
      </c>
      <c r="H477" s="79">
        <v>46199</v>
      </c>
      <c r="I477" s="114" t="s">
        <v>79</v>
      </c>
      <c r="J477" s="117" t="s">
        <v>1854</v>
      </c>
      <c r="K477" s="118">
        <v>46191</v>
      </c>
      <c r="L477" s="114" t="s">
        <v>81</v>
      </c>
      <c r="M477" s="119">
        <v>46195</v>
      </c>
      <c r="N477" s="128">
        <v>46195</v>
      </c>
      <c r="O477" s="120">
        <f>NETWORKDAYS.INTL(K477,N477,1,$AM$2:$AM$10)-1</f>
        <v>2</v>
      </c>
      <c r="P477" s="114" t="s">
        <v>81</v>
      </c>
      <c r="Q477" s="114" t="s">
        <v>79</v>
      </c>
      <c r="R477" s="115"/>
      <c r="S477" s="145">
        <v>2428</v>
      </c>
      <c r="T477" s="148" t="s">
        <v>1855</v>
      </c>
      <c r="U477" s="147">
        <v>20</v>
      </c>
      <c r="V477" s="121">
        <v>20</v>
      </c>
      <c r="W477" s="121">
        <v>9400</v>
      </c>
      <c r="X477" s="114" t="s">
        <v>113</v>
      </c>
      <c r="Y477" s="115" t="s">
        <v>85</v>
      </c>
      <c r="Z477" s="115" t="s">
        <v>1856</v>
      </c>
      <c r="AA477" s="113" t="s">
        <v>87</v>
      </c>
      <c r="AB477" s="122">
        <v>5799.57</v>
      </c>
      <c r="AC477" s="122">
        <f>IF(C477="DENALI", AB477*0.495, IF(C477="SCHNEIDER ELECTRIC", AB477*1.136, IF(C477="WWT", AB477*1.2, AC477)))+AB477</f>
        <v>8670.3571499999998</v>
      </c>
      <c r="AD477" s="129">
        <f>AC477-AB477</f>
        <v>2870.7871500000001</v>
      </c>
      <c r="AE477" s="122">
        <v>46383.199999999997</v>
      </c>
      <c r="AF477" s="130">
        <f>AB477/U477</f>
        <v>289.9785</v>
      </c>
      <c r="AG477" s="130">
        <f>AB477/V477</f>
        <v>289.9785</v>
      </c>
      <c r="AH477" s="123">
        <f>AB477/S477</f>
        <v>2.3886202635914331</v>
      </c>
      <c r="AI477" s="124" t="s">
        <v>183</v>
      </c>
      <c r="AJ477" s="125" t="s">
        <v>379</v>
      </c>
      <c r="AK477"/>
      <c r="AM477" s="80"/>
    </row>
    <row r="478" spans="1:39" ht="28.5" customHeight="1">
      <c r="A478" s="113" t="s">
        <v>73</v>
      </c>
      <c r="B478" s="114" t="s">
        <v>140</v>
      </c>
      <c r="C478" s="113" t="s">
        <v>227</v>
      </c>
      <c r="D478" s="113" t="s">
        <v>228</v>
      </c>
      <c r="E478" s="115" t="s">
        <v>141</v>
      </c>
      <c r="F478" s="113" t="s">
        <v>142</v>
      </c>
      <c r="G478" s="116" t="s">
        <v>1857</v>
      </c>
      <c r="H478" s="79">
        <v>46199</v>
      </c>
      <c r="I478" s="114" t="s">
        <v>79</v>
      </c>
      <c r="J478" s="117" t="s">
        <v>1858</v>
      </c>
      <c r="K478" s="118">
        <v>46191</v>
      </c>
      <c r="L478" s="114" t="s">
        <v>81</v>
      </c>
      <c r="M478" s="119">
        <v>46192</v>
      </c>
      <c r="N478" s="128">
        <v>46196</v>
      </c>
      <c r="O478" s="120">
        <f>NETWORKDAYS.INTL(K478,N478,1,$AM$2:$AM$10)-1</f>
        <v>3</v>
      </c>
      <c r="P478" s="114" t="s">
        <v>81</v>
      </c>
      <c r="Q478" s="114" t="s">
        <v>79</v>
      </c>
      <c r="R478" s="115"/>
      <c r="S478" s="145">
        <v>327</v>
      </c>
      <c r="T478" s="148" t="s">
        <v>1859</v>
      </c>
      <c r="U478" s="147">
        <v>1</v>
      </c>
      <c r="V478" s="121">
        <v>141</v>
      </c>
      <c r="W478" s="121">
        <v>229</v>
      </c>
      <c r="X478" s="114" t="s">
        <v>84</v>
      </c>
      <c r="Y478" s="115" t="s">
        <v>85</v>
      </c>
      <c r="Z478" s="115" t="s">
        <v>1208</v>
      </c>
      <c r="AA478" s="113" t="s">
        <v>87</v>
      </c>
      <c r="AB478" s="122">
        <v>207.01</v>
      </c>
      <c r="AC478" s="122">
        <f>IF(C478="DENALI", AB478*0.495, IF(C478="SCHNEIDER ELECTRIC", AB478*1.136, IF(C478="WWT", AB478*1.2, AC478)))+AB478</f>
        <v>455.42199999999997</v>
      </c>
      <c r="AD478" s="129">
        <f>AC478-AB478</f>
        <v>248.41199999999998</v>
      </c>
      <c r="AE478" s="122">
        <v>52168.59</v>
      </c>
      <c r="AF478" s="130">
        <f>AB478/U478</f>
        <v>207.01</v>
      </c>
      <c r="AG478" s="130">
        <f>AB478/V478</f>
        <v>1.4681560283687942</v>
      </c>
      <c r="AH478" s="123">
        <f>AB478/S478</f>
        <v>0.63305810397553519</v>
      </c>
      <c r="AI478" s="124" t="s">
        <v>97</v>
      </c>
      <c r="AJ478" s="125" t="s">
        <v>1860</v>
      </c>
      <c r="AK478"/>
      <c r="AM478" s="80"/>
    </row>
    <row r="479" spans="1:39" ht="28.5" customHeight="1">
      <c r="A479" s="113" t="s">
        <v>73</v>
      </c>
      <c r="B479" s="114" t="s">
        <v>74</v>
      </c>
      <c r="C479" s="113" t="s">
        <v>35</v>
      </c>
      <c r="D479" s="113" t="s">
        <v>218</v>
      </c>
      <c r="E479" s="115" t="s">
        <v>356</v>
      </c>
      <c r="F479" s="113" t="s">
        <v>142</v>
      </c>
      <c r="G479" s="116" t="s">
        <v>1861</v>
      </c>
      <c r="H479" s="79">
        <v>46202</v>
      </c>
      <c r="I479" s="114" t="s">
        <v>79</v>
      </c>
      <c r="J479" s="117" t="s">
        <v>1862</v>
      </c>
      <c r="K479" s="118">
        <v>46191</v>
      </c>
      <c r="L479" s="114" t="s">
        <v>81</v>
      </c>
      <c r="M479" s="119">
        <v>46192</v>
      </c>
      <c r="N479" s="128">
        <v>46195</v>
      </c>
      <c r="O479" s="120">
        <f>NETWORKDAYS.INTL(K479,N479,1,$AM$2:$AM$10)-1</f>
        <v>2</v>
      </c>
      <c r="P479" s="114" t="s">
        <v>81</v>
      </c>
      <c r="Q479" s="114" t="s">
        <v>79</v>
      </c>
      <c r="R479" s="115"/>
      <c r="S479" s="145">
        <v>414</v>
      </c>
      <c r="T479" s="148" t="s">
        <v>1863</v>
      </c>
      <c r="U479" s="147">
        <v>1</v>
      </c>
      <c r="V479" s="121">
        <v>3</v>
      </c>
      <c r="W479" s="121">
        <v>445</v>
      </c>
      <c r="X479" s="114" t="s">
        <v>84</v>
      </c>
      <c r="Y479" s="115" t="s">
        <v>85</v>
      </c>
      <c r="Z479" s="115" t="s">
        <v>86</v>
      </c>
      <c r="AA479" s="113" t="s">
        <v>87</v>
      </c>
      <c r="AB479" s="122">
        <v>209.5</v>
      </c>
      <c r="AC479" s="122">
        <f>IF(C479="DENALI", AB479*0.495, IF(C479="SCHNEIDER ELECTRIC", AB479*1.136, IF(C479="WWT", AB479*1.2, AC479)))+AB479</f>
        <v>313.20249999999999</v>
      </c>
      <c r="AD479" s="129">
        <f>AC479-AB479</f>
        <v>103.70249999999999</v>
      </c>
      <c r="AE479" s="122">
        <v>2420.88</v>
      </c>
      <c r="AF479" s="130">
        <f>AB479/U479</f>
        <v>209.5</v>
      </c>
      <c r="AG479" s="130">
        <f>AB479/V479</f>
        <v>69.833333333333329</v>
      </c>
      <c r="AH479" s="123">
        <f>AB479/S479</f>
        <v>0.5060386473429952</v>
      </c>
      <c r="AI479" s="124" t="s">
        <v>1044</v>
      </c>
      <c r="AJ479" s="125" t="s">
        <v>349</v>
      </c>
      <c r="AK479"/>
      <c r="AM479" s="80"/>
    </row>
    <row r="480" spans="1:39" ht="28.5" customHeight="1">
      <c r="A480" s="113" t="s">
        <v>73</v>
      </c>
      <c r="B480" s="114" t="s">
        <v>140</v>
      </c>
      <c r="C480" s="113" t="s">
        <v>35</v>
      </c>
      <c r="D480" s="113" t="s">
        <v>218</v>
      </c>
      <c r="E480" s="115" t="s">
        <v>141</v>
      </c>
      <c r="F480" s="113" t="s">
        <v>142</v>
      </c>
      <c r="G480" s="116" t="s">
        <v>1864</v>
      </c>
      <c r="H480" s="79">
        <v>46202</v>
      </c>
      <c r="I480" s="114" t="s">
        <v>79</v>
      </c>
      <c r="J480" s="117" t="s">
        <v>1865</v>
      </c>
      <c r="K480" s="118">
        <v>46191</v>
      </c>
      <c r="L480" s="114" t="s">
        <v>81</v>
      </c>
      <c r="M480" s="119">
        <v>46192</v>
      </c>
      <c r="N480" s="128">
        <v>46192</v>
      </c>
      <c r="O480" s="120">
        <f>NETWORKDAYS.INTL(K480,N480,1,$AM$2:$AM$10)-1</f>
        <v>1</v>
      </c>
      <c r="P480" s="114" t="s">
        <v>81</v>
      </c>
      <c r="Q480" s="114" t="s">
        <v>79</v>
      </c>
      <c r="R480" s="115"/>
      <c r="S480" s="145">
        <v>441</v>
      </c>
      <c r="T480" s="148" t="s">
        <v>1866</v>
      </c>
      <c r="U480" s="147">
        <v>5</v>
      </c>
      <c r="V480" s="121">
        <v>759</v>
      </c>
      <c r="W480" s="121">
        <v>3135</v>
      </c>
      <c r="X480" s="114" t="s">
        <v>84</v>
      </c>
      <c r="Y480" s="115" t="s">
        <v>85</v>
      </c>
      <c r="Z480" s="115" t="s">
        <v>1208</v>
      </c>
      <c r="AA480" s="113" t="s">
        <v>87</v>
      </c>
      <c r="AB480" s="122">
        <v>593.19000000000005</v>
      </c>
      <c r="AC480" s="122">
        <f>IF(C480="DENALI", AB480*0.495, IF(C480="SCHNEIDER ELECTRIC", AB480*1.136, IF(C480="WWT", AB480*1.2, AC480)))+AB480</f>
        <v>886.81905000000006</v>
      </c>
      <c r="AD480" s="129">
        <f>AC480-AB480</f>
        <v>293.62905000000001</v>
      </c>
      <c r="AE480" s="122">
        <v>153435.31</v>
      </c>
      <c r="AF480" s="130">
        <f>AB480/U480</f>
        <v>118.63800000000001</v>
      </c>
      <c r="AG480" s="130">
        <f>AB480/V480</f>
        <v>0.78154150197628469</v>
      </c>
      <c r="AH480" s="123">
        <f>AB480/S480</f>
        <v>1.3451020408163266</v>
      </c>
      <c r="AI480" s="124" t="s">
        <v>97</v>
      </c>
      <c r="AJ480" s="125" t="s">
        <v>349</v>
      </c>
      <c r="AK480"/>
      <c r="AM480" s="80"/>
    </row>
    <row r="481" spans="1:39" ht="28.5" customHeight="1">
      <c r="A481" s="113" t="s">
        <v>73</v>
      </c>
      <c r="B481" s="114" t="s">
        <v>74</v>
      </c>
      <c r="C481" s="113" t="s">
        <v>35</v>
      </c>
      <c r="D481" s="113" t="s">
        <v>218</v>
      </c>
      <c r="E481" s="115" t="s">
        <v>736</v>
      </c>
      <c r="F481" s="113" t="s">
        <v>109</v>
      </c>
      <c r="G481" s="116" t="s">
        <v>1867</v>
      </c>
      <c r="H481" s="79">
        <v>46202</v>
      </c>
      <c r="I481" s="114" t="s">
        <v>79</v>
      </c>
      <c r="J481" s="117" t="s">
        <v>1868</v>
      </c>
      <c r="K481" s="118">
        <v>46191</v>
      </c>
      <c r="L481" s="114" t="s">
        <v>81</v>
      </c>
      <c r="M481" s="119">
        <v>46195</v>
      </c>
      <c r="N481" s="128">
        <v>46195</v>
      </c>
      <c r="O481" s="120">
        <f>NETWORKDAYS.INTL(K481,N481,1,$AM$2:$AM$10)-1</f>
        <v>2</v>
      </c>
      <c r="P481" s="114" t="s">
        <v>81</v>
      </c>
      <c r="Q481" s="114" t="s">
        <v>79</v>
      </c>
      <c r="R481" s="115"/>
      <c r="S481" s="145">
        <v>1250</v>
      </c>
      <c r="T481" s="148" t="s">
        <v>1869</v>
      </c>
      <c r="U481" s="147">
        <v>1</v>
      </c>
      <c r="V481" s="121">
        <v>2</v>
      </c>
      <c r="W481" s="121">
        <v>240</v>
      </c>
      <c r="X481" s="114" t="s">
        <v>84</v>
      </c>
      <c r="Y481" s="115" t="s">
        <v>85</v>
      </c>
      <c r="Z481" s="115" t="s">
        <v>86</v>
      </c>
      <c r="AA481" s="113" t="s">
        <v>87</v>
      </c>
      <c r="AB481" s="122">
        <v>287.89999999999998</v>
      </c>
      <c r="AC481" s="122">
        <f>IF(C481="DENALI", AB481*0.495, IF(C481="SCHNEIDER ELECTRIC", AB481*1.136, IF(C481="WWT", AB481*1.2, AC481)))+AB481</f>
        <v>430.41049999999996</v>
      </c>
      <c r="AD481" s="129">
        <f>AC481-AB481</f>
        <v>142.51049999999998</v>
      </c>
      <c r="AE481" s="122">
        <v>98690.4</v>
      </c>
      <c r="AF481" s="130">
        <f>AB481/U481</f>
        <v>287.89999999999998</v>
      </c>
      <c r="AG481" s="130">
        <f>AB481/V481</f>
        <v>143.94999999999999</v>
      </c>
      <c r="AH481" s="123">
        <f>AB481/S481</f>
        <v>0.23031999999999997</v>
      </c>
      <c r="AI481" s="124" t="s">
        <v>97</v>
      </c>
      <c r="AJ481" s="125" t="s">
        <v>349</v>
      </c>
      <c r="AK481"/>
      <c r="AM481" s="80"/>
    </row>
    <row r="482" spans="1:39" ht="28.5" customHeight="1">
      <c r="A482" s="113" t="s">
        <v>73</v>
      </c>
      <c r="B482" s="114" t="s">
        <v>74</v>
      </c>
      <c r="C482" s="113" t="s">
        <v>35</v>
      </c>
      <c r="D482" s="113" t="s">
        <v>218</v>
      </c>
      <c r="E482" s="115" t="s">
        <v>1262</v>
      </c>
      <c r="F482" s="113" t="s">
        <v>92</v>
      </c>
      <c r="G482" s="116" t="s">
        <v>1870</v>
      </c>
      <c r="H482" s="79">
        <v>46202</v>
      </c>
      <c r="I482" s="114" t="s">
        <v>79</v>
      </c>
      <c r="J482" s="117" t="s">
        <v>1871</v>
      </c>
      <c r="K482" s="118">
        <v>46191</v>
      </c>
      <c r="L482" s="114" t="s">
        <v>81</v>
      </c>
      <c r="M482" s="119">
        <v>46195</v>
      </c>
      <c r="N482" s="128">
        <v>46196</v>
      </c>
      <c r="O482" s="120">
        <f>NETWORKDAYS.INTL(K482,N482,1,$AM$2:$AM$10)-1</f>
        <v>3</v>
      </c>
      <c r="P482" s="114" t="s">
        <v>81</v>
      </c>
      <c r="Q482" s="114" t="s">
        <v>79</v>
      </c>
      <c r="R482" s="115"/>
      <c r="S482" s="145">
        <v>1316</v>
      </c>
      <c r="T482" s="148" t="s">
        <v>1872</v>
      </c>
      <c r="U482" s="147">
        <v>2</v>
      </c>
      <c r="V482" s="121">
        <v>66</v>
      </c>
      <c r="W482" s="121">
        <v>945</v>
      </c>
      <c r="X482" s="114" t="s">
        <v>84</v>
      </c>
      <c r="Y482" s="115" t="s">
        <v>85</v>
      </c>
      <c r="Z482" s="115" t="s">
        <v>86</v>
      </c>
      <c r="AA482" s="113" t="s">
        <v>87</v>
      </c>
      <c r="AB482" s="122">
        <v>600.63</v>
      </c>
      <c r="AC482" s="122">
        <f>IF(C482="DENALI", AB482*0.495, IF(C482="SCHNEIDER ELECTRIC", AB482*1.136, IF(C482="WWT", AB482*1.2, AC482)))+AB482</f>
        <v>897.94184999999993</v>
      </c>
      <c r="AD482" s="129">
        <f>AC482-AB482</f>
        <v>297.31184999999994</v>
      </c>
      <c r="AE482" s="122">
        <v>93455.01</v>
      </c>
      <c r="AF482" s="130">
        <f>AB482/U482</f>
        <v>300.315</v>
      </c>
      <c r="AG482" s="130">
        <f>AB482/V482</f>
        <v>9.1004545454545447</v>
      </c>
      <c r="AH482" s="123">
        <f>AB482/S482</f>
        <v>0.45640577507598784</v>
      </c>
      <c r="AI482" s="124" t="s">
        <v>147</v>
      </c>
      <c r="AJ482" s="125" t="s">
        <v>343</v>
      </c>
      <c r="AK482"/>
      <c r="AM482" s="80"/>
    </row>
    <row r="483" spans="1:39" ht="28.5" customHeight="1">
      <c r="A483" s="113" t="s">
        <v>73</v>
      </c>
      <c r="B483" s="114" t="s">
        <v>74</v>
      </c>
      <c r="C483" s="113" t="s">
        <v>35</v>
      </c>
      <c r="D483" s="113" t="s">
        <v>218</v>
      </c>
      <c r="E483" s="115" t="s">
        <v>1732</v>
      </c>
      <c r="F483" s="113" t="s">
        <v>396</v>
      </c>
      <c r="G483" s="116" t="s">
        <v>1873</v>
      </c>
      <c r="H483" s="79">
        <v>46202</v>
      </c>
      <c r="I483" s="114" t="s">
        <v>79</v>
      </c>
      <c r="J483" s="117" t="s">
        <v>1874</v>
      </c>
      <c r="K483" s="118">
        <v>46191</v>
      </c>
      <c r="L483" s="114" t="s">
        <v>81</v>
      </c>
      <c r="M483" s="119">
        <v>46192</v>
      </c>
      <c r="N483" s="128">
        <v>46198</v>
      </c>
      <c r="O483" s="120">
        <f>NETWORKDAYS.INTL(K483,N483,1,$AM$2:$AM$10)-1</f>
        <v>5</v>
      </c>
      <c r="P483" s="114" t="s">
        <v>81</v>
      </c>
      <c r="Q483" s="114" t="s">
        <v>79</v>
      </c>
      <c r="R483" s="115"/>
      <c r="S483" s="145">
        <v>409.3</v>
      </c>
      <c r="T483" s="148" t="s">
        <v>1875</v>
      </c>
      <c r="U483" s="147">
        <v>4</v>
      </c>
      <c r="V483" s="121">
        <v>63</v>
      </c>
      <c r="W483" s="121">
        <v>2440</v>
      </c>
      <c r="X483" s="114" t="s">
        <v>84</v>
      </c>
      <c r="Y483" s="115" t="s">
        <v>85</v>
      </c>
      <c r="Z483" s="115" t="s">
        <v>1540</v>
      </c>
      <c r="AA483" s="113" t="s">
        <v>87</v>
      </c>
      <c r="AB483" s="122">
        <v>633.54</v>
      </c>
      <c r="AC483" s="122">
        <f>IF(C483="DENALI", AB483*0.495, IF(C483="SCHNEIDER ELECTRIC", AB483*1.136, IF(C483="WWT", AB483*1.2, AC483)))+AB483</f>
        <v>947.14229999999998</v>
      </c>
      <c r="AD483" s="129">
        <f>AC483-AB483</f>
        <v>313.60230000000001</v>
      </c>
      <c r="AE483" s="122">
        <v>46385.04</v>
      </c>
      <c r="AF483" s="130">
        <f>AB483/U483</f>
        <v>158.38499999999999</v>
      </c>
      <c r="AG483" s="130">
        <f>AB483/V483</f>
        <v>10.056190476190476</v>
      </c>
      <c r="AH483" s="123">
        <f>AB483/S483</f>
        <v>1.5478622037625211</v>
      </c>
      <c r="AI483" s="124" t="s">
        <v>147</v>
      </c>
      <c r="AJ483" s="125" t="s">
        <v>343</v>
      </c>
      <c r="AK483"/>
      <c r="AM483" s="80"/>
    </row>
    <row r="484" spans="1:39" ht="28.5" customHeight="1">
      <c r="A484" s="113" t="s">
        <v>73</v>
      </c>
      <c r="B484" s="114" t="s">
        <v>74</v>
      </c>
      <c r="C484" s="113" t="s">
        <v>35</v>
      </c>
      <c r="D484" s="113" t="s">
        <v>218</v>
      </c>
      <c r="E484" s="115" t="s">
        <v>1876</v>
      </c>
      <c r="F484" s="113" t="s">
        <v>228</v>
      </c>
      <c r="G484" s="116" t="s">
        <v>1877</v>
      </c>
      <c r="H484" s="79">
        <v>46202</v>
      </c>
      <c r="I484" s="114" t="s">
        <v>79</v>
      </c>
      <c r="J484" s="117" t="s">
        <v>1878</v>
      </c>
      <c r="K484" s="118">
        <v>46191</v>
      </c>
      <c r="L484" s="114" t="s">
        <v>81</v>
      </c>
      <c r="M484" s="119">
        <v>46192</v>
      </c>
      <c r="N484" s="128">
        <v>46196</v>
      </c>
      <c r="O484" s="120">
        <f>NETWORKDAYS.INTL(K484,N484,1,$AM$2:$AM$10)-1</f>
        <v>3</v>
      </c>
      <c r="P484" s="114" t="s">
        <v>81</v>
      </c>
      <c r="Q484" s="114" t="s">
        <v>79</v>
      </c>
      <c r="R484" s="115" t="s">
        <v>1879</v>
      </c>
      <c r="S484" s="145">
        <v>380</v>
      </c>
      <c r="T484" s="148" t="s">
        <v>1880</v>
      </c>
      <c r="U484" s="147">
        <v>2</v>
      </c>
      <c r="V484" s="121">
        <v>724</v>
      </c>
      <c r="W484" s="121">
        <v>1240</v>
      </c>
      <c r="X484" s="114" t="s">
        <v>84</v>
      </c>
      <c r="Y484" s="115" t="s">
        <v>85</v>
      </c>
      <c r="Z484" s="115" t="s">
        <v>1774</v>
      </c>
      <c r="AA484" s="113" t="s">
        <v>87</v>
      </c>
      <c r="AB484" s="122">
        <v>218.28</v>
      </c>
      <c r="AC484" s="122">
        <f>IF(C484="DENALI", AB484*0.495, IF(C484="SCHNEIDER ELECTRIC", AB484*1.136, IF(C484="WWT", AB484*1.2, AC484)))+AB484</f>
        <v>326.32859999999999</v>
      </c>
      <c r="AD484" s="129">
        <f>AC484-AB484</f>
        <v>108.04859999999999</v>
      </c>
      <c r="AE484" s="122">
        <v>115140.6</v>
      </c>
      <c r="AF484" s="130">
        <f>AB484/U484</f>
        <v>109.14</v>
      </c>
      <c r="AG484" s="130">
        <f>AB484/V484</f>
        <v>0.30149171270718234</v>
      </c>
      <c r="AH484" s="123">
        <f>AB484/S484</f>
        <v>0.57442105263157894</v>
      </c>
      <c r="AI484" s="124" t="s">
        <v>115</v>
      </c>
      <c r="AJ484" s="125" t="s">
        <v>107</v>
      </c>
      <c r="AK484"/>
      <c r="AM484" s="80"/>
    </row>
    <row r="485" spans="1:39" ht="28.5" customHeight="1">
      <c r="A485" s="113" t="s">
        <v>73</v>
      </c>
      <c r="B485" s="114" t="s">
        <v>74</v>
      </c>
      <c r="C485" s="113" t="s">
        <v>35</v>
      </c>
      <c r="D485" s="113" t="s">
        <v>99</v>
      </c>
      <c r="E485" s="115" t="s">
        <v>1881</v>
      </c>
      <c r="F485" s="113" t="s">
        <v>218</v>
      </c>
      <c r="G485" s="116">
        <v>23356918</v>
      </c>
      <c r="H485" s="79">
        <v>46202</v>
      </c>
      <c r="I485" s="114" t="s">
        <v>79</v>
      </c>
      <c r="J485" s="117" t="s">
        <v>1882</v>
      </c>
      <c r="K485" s="118">
        <v>46192</v>
      </c>
      <c r="L485" s="114" t="s">
        <v>81</v>
      </c>
      <c r="M485" s="119">
        <v>46195</v>
      </c>
      <c r="N485" s="128">
        <v>46195</v>
      </c>
      <c r="O485" s="120">
        <f>NETWORKDAYS.INTL(K485,N485,1,$AM$2:$AM$10)-1</f>
        <v>1</v>
      </c>
      <c r="P485" s="114" t="s">
        <v>81</v>
      </c>
      <c r="Q485" s="114" t="s">
        <v>79</v>
      </c>
      <c r="R485" s="115"/>
      <c r="S485" s="145">
        <v>2224</v>
      </c>
      <c r="T485" s="148" t="s">
        <v>1883</v>
      </c>
      <c r="U485" s="147">
        <v>7</v>
      </c>
      <c r="V485" s="121">
        <v>7</v>
      </c>
      <c r="W485" s="121">
        <v>5950</v>
      </c>
      <c r="X485" s="114" t="s">
        <v>113</v>
      </c>
      <c r="Y485" s="115" t="s">
        <v>85</v>
      </c>
      <c r="Z485" s="115" t="s">
        <v>1884</v>
      </c>
      <c r="AA485" s="113" t="s">
        <v>87</v>
      </c>
      <c r="AB485" s="122">
        <v>4219.68</v>
      </c>
      <c r="AC485" s="122">
        <f>IF(C485="DENALI", AB485*0.495, IF(C485="SCHNEIDER ELECTRIC", AB485*1.136, IF(C485="WWT", AB485*1.2, AC485)))+AB485</f>
        <v>6308.4216000000006</v>
      </c>
      <c r="AD485" s="129">
        <f>AC485-AB485</f>
        <v>2088.7416000000003</v>
      </c>
      <c r="AE485" s="122">
        <v>103537.56</v>
      </c>
      <c r="AF485" s="130">
        <f>AB485/U485</f>
        <v>602.81142857142856</v>
      </c>
      <c r="AG485" s="130">
        <f>AB485/V485</f>
        <v>602.81142857142856</v>
      </c>
      <c r="AH485" s="123">
        <f>AB485/S485</f>
        <v>1.8973381294964029</v>
      </c>
      <c r="AI485" s="124" t="s">
        <v>147</v>
      </c>
      <c r="AJ485" s="125" t="s">
        <v>343</v>
      </c>
      <c r="AK485"/>
      <c r="AM485" s="80"/>
    </row>
    <row r="486" spans="1:39" ht="28.5" customHeight="1">
      <c r="A486" s="113" t="s">
        <v>73</v>
      </c>
      <c r="B486" s="114" t="s">
        <v>74</v>
      </c>
      <c r="C486" s="113" t="s">
        <v>35</v>
      </c>
      <c r="D486" s="113" t="s">
        <v>99</v>
      </c>
      <c r="E486" s="115" t="s">
        <v>1885</v>
      </c>
      <c r="F486" s="113" t="s">
        <v>77</v>
      </c>
      <c r="G486" s="116">
        <v>23369196</v>
      </c>
      <c r="H486" s="79">
        <v>46203</v>
      </c>
      <c r="I486" s="114" t="s">
        <v>79</v>
      </c>
      <c r="J486" s="117" t="s">
        <v>1886</v>
      </c>
      <c r="K486" s="118">
        <v>46195</v>
      </c>
      <c r="L486" s="114" t="s">
        <v>81</v>
      </c>
      <c r="M486" s="119">
        <v>46198</v>
      </c>
      <c r="N486" s="128">
        <v>46198</v>
      </c>
      <c r="O486" s="120">
        <f>NETWORKDAYS.INTL(K486,N486,1,$AM$2:$AM$10)-1</f>
        <v>3</v>
      </c>
      <c r="P486" s="114" t="s">
        <v>81</v>
      </c>
      <c r="Q486" s="114" t="s">
        <v>79</v>
      </c>
      <c r="R486" s="115"/>
      <c r="S486" s="145">
        <v>2858</v>
      </c>
      <c r="T486" s="148" t="s">
        <v>1887</v>
      </c>
      <c r="U486" s="147">
        <v>12</v>
      </c>
      <c r="V486" s="121">
        <v>12</v>
      </c>
      <c r="W486" s="121">
        <v>10060</v>
      </c>
      <c r="X486" s="114" t="s">
        <v>113</v>
      </c>
      <c r="Y486" s="115" t="s">
        <v>85</v>
      </c>
      <c r="Z486" s="115" t="s">
        <v>1888</v>
      </c>
      <c r="AA486" s="113" t="s">
        <v>87</v>
      </c>
      <c r="AB486" s="122">
        <v>5823.12</v>
      </c>
      <c r="AC486" s="122">
        <f>IF(C486="DENALI", AB486*0.495, IF(C486="SCHNEIDER ELECTRIC", AB486*1.136, IF(C486="WWT", AB486*1.2, AC486)))+AB486</f>
        <v>8705.5643999999993</v>
      </c>
      <c r="AD486" s="129">
        <f>AC486-AB486</f>
        <v>2882.4443999999994</v>
      </c>
      <c r="AE486" s="122">
        <v>13537.7</v>
      </c>
      <c r="AF486" s="130">
        <f>AB486/U486</f>
        <v>485.26</v>
      </c>
      <c r="AG486" s="130">
        <f>AB486/V486</f>
        <v>485.26</v>
      </c>
      <c r="AH486" s="123">
        <f>AB486/S486</f>
        <v>2.0374807557732679</v>
      </c>
      <c r="AI486" s="124" t="s">
        <v>147</v>
      </c>
      <c r="AJ486" s="125" t="s">
        <v>343</v>
      </c>
      <c r="AK486"/>
      <c r="AM486" s="80"/>
    </row>
    <row r="487" spans="1:39" ht="28.5" customHeight="1">
      <c r="A487" s="113" t="s">
        <v>73</v>
      </c>
      <c r="B487" s="114" t="s">
        <v>74</v>
      </c>
      <c r="C487" s="113" t="s">
        <v>36</v>
      </c>
      <c r="D487" s="113" t="s">
        <v>75</v>
      </c>
      <c r="E487" s="115" t="s">
        <v>330</v>
      </c>
      <c r="F487" s="113" t="s">
        <v>142</v>
      </c>
      <c r="G487" s="116" t="s">
        <v>1889</v>
      </c>
      <c r="H487" s="79">
        <v>46203</v>
      </c>
      <c r="I487" s="114" t="s">
        <v>79</v>
      </c>
      <c r="J487" s="117" t="s">
        <v>1890</v>
      </c>
      <c r="K487" s="118">
        <v>46195</v>
      </c>
      <c r="L487" s="114" t="s">
        <v>81</v>
      </c>
      <c r="M487" s="119">
        <v>46196</v>
      </c>
      <c r="N487" s="128">
        <v>46197</v>
      </c>
      <c r="O487" s="120">
        <f>NETWORKDAYS.INTL(K487,N487,1,$AM$2:$AM$10)-1</f>
        <v>2</v>
      </c>
      <c r="P487" s="114" t="s">
        <v>81</v>
      </c>
      <c r="Q487" s="114" t="s">
        <v>79</v>
      </c>
      <c r="R487" s="115"/>
      <c r="S487" s="145">
        <v>932</v>
      </c>
      <c r="T487" s="148" t="s">
        <v>1891</v>
      </c>
      <c r="U487" s="147">
        <v>1</v>
      </c>
      <c r="V487" s="121">
        <v>9</v>
      </c>
      <c r="W487" s="121">
        <v>388</v>
      </c>
      <c r="X487" s="114" t="s">
        <v>84</v>
      </c>
      <c r="Y487" s="115" t="s">
        <v>85</v>
      </c>
      <c r="Z487" s="115" t="s">
        <v>86</v>
      </c>
      <c r="AA487" s="113" t="s">
        <v>87</v>
      </c>
      <c r="AB487" s="122">
        <v>207.23</v>
      </c>
      <c r="AC487" s="122">
        <f>IF(C487="DENALI", AB487*0.495, IF(C487="SCHNEIDER ELECTRIC", AB487*1.136, IF(C487="WWT", AB487*1.2, AC487)))+AB487</f>
        <v>442.64327999999995</v>
      </c>
      <c r="AD487" s="129">
        <f>AC487-AB487</f>
        <v>235.41327999999996</v>
      </c>
      <c r="AE487" s="122">
        <v>2424.42</v>
      </c>
      <c r="AF487" s="130">
        <f>AB487/U487</f>
        <v>207.23</v>
      </c>
      <c r="AG487" s="130">
        <f>AB487/V487</f>
        <v>23.025555555555556</v>
      </c>
      <c r="AH487" s="123">
        <f>AB487/S487</f>
        <v>0.22234978540772532</v>
      </c>
      <c r="AI487" s="124" t="s">
        <v>97</v>
      </c>
      <c r="AJ487" s="125" t="s">
        <v>98</v>
      </c>
      <c r="AK487"/>
      <c r="AM487" s="80"/>
    </row>
    <row r="488" spans="1:39" ht="28.5" customHeight="1">
      <c r="A488" s="113" t="s">
        <v>73</v>
      </c>
      <c r="B488" s="114" t="s">
        <v>140</v>
      </c>
      <c r="C488" s="113" t="s">
        <v>35</v>
      </c>
      <c r="D488" s="113" t="s">
        <v>218</v>
      </c>
      <c r="E488" s="115" t="s">
        <v>141</v>
      </c>
      <c r="F488" s="113" t="s">
        <v>142</v>
      </c>
      <c r="G488" s="116" t="s">
        <v>1892</v>
      </c>
      <c r="H488" s="79">
        <v>46195</v>
      </c>
      <c r="I488" s="114" t="s">
        <v>79</v>
      </c>
      <c r="J488" s="117" t="s">
        <v>1893</v>
      </c>
      <c r="K488" s="118">
        <v>46195</v>
      </c>
      <c r="L488" s="114" t="s">
        <v>79</v>
      </c>
      <c r="M488" s="119">
        <v>46196</v>
      </c>
      <c r="N488" s="128">
        <v>46198</v>
      </c>
      <c r="O488" s="120">
        <f>NETWORKDAYS.INTL(K488,N488,1,$AM$2:$AM$10)-1</f>
        <v>3</v>
      </c>
      <c r="P488" s="114" t="s">
        <v>81</v>
      </c>
      <c r="Q488" s="114" t="s">
        <v>79</v>
      </c>
      <c r="R488" s="115"/>
      <c r="S488" s="145">
        <v>441</v>
      </c>
      <c r="T488" s="148" t="s">
        <v>915</v>
      </c>
      <c r="U488" s="147">
        <v>1</v>
      </c>
      <c r="V488" s="121">
        <v>2326</v>
      </c>
      <c r="W488" s="121">
        <v>880</v>
      </c>
      <c r="X488" s="114" t="s">
        <v>84</v>
      </c>
      <c r="Y488" s="115" t="s">
        <v>85</v>
      </c>
      <c r="Z488" s="115" t="s">
        <v>1208</v>
      </c>
      <c r="AA488" s="113" t="s">
        <v>87</v>
      </c>
      <c r="AB488" s="122">
        <v>237.89</v>
      </c>
      <c r="AC488" s="122">
        <f>IF(C488="DENALI", AB488*0.495, IF(C488="SCHNEIDER ELECTRIC", AB488*1.136, IF(C488="WWT", AB488*1.2, AC488)))+AB488</f>
        <v>355.64554999999996</v>
      </c>
      <c r="AD488" s="129">
        <f>AC488-AB488</f>
        <v>117.75554999999997</v>
      </c>
      <c r="AE488" s="122">
        <v>486224.71</v>
      </c>
      <c r="AF488" s="130">
        <f>AB488/U488</f>
        <v>237.89</v>
      </c>
      <c r="AG488" s="130">
        <f>AB488/V488</f>
        <v>0.10227429062768702</v>
      </c>
      <c r="AH488" s="123">
        <f>AB488/S488</f>
        <v>0.53943310657596366</v>
      </c>
      <c r="AI488" s="124" t="s">
        <v>147</v>
      </c>
      <c r="AJ488" s="125" t="s">
        <v>343</v>
      </c>
      <c r="AK488"/>
      <c r="AM488" s="80"/>
    </row>
    <row r="489" spans="1:39" ht="28.5" customHeight="1">
      <c r="A489" s="113" t="s">
        <v>73</v>
      </c>
      <c r="B489" s="114" t="s">
        <v>74</v>
      </c>
      <c r="C489" s="113" t="s">
        <v>35</v>
      </c>
      <c r="D489" s="113" t="s">
        <v>218</v>
      </c>
      <c r="E489" s="115" t="s">
        <v>1331</v>
      </c>
      <c r="F489" s="113" t="s">
        <v>396</v>
      </c>
      <c r="G489" s="116" t="s">
        <v>1894</v>
      </c>
      <c r="H489" s="79">
        <v>46204</v>
      </c>
      <c r="I489" s="114" t="s">
        <v>79</v>
      </c>
      <c r="J489" s="117" t="s">
        <v>1895</v>
      </c>
      <c r="K489" s="118">
        <v>46196</v>
      </c>
      <c r="L489" s="114" t="s">
        <v>81</v>
      </c>
      <c r="M489" s="119">
        <v>46198</v>
      </c>
      <c r="N489" s="128">
        <v>46198</v>
      </c>
      <c r="O489" s="120">
        <f>NETWORKDAYS.INTL(K489,N489,1,$AM$2:$AM$10)-1</f>
        <v>2</v>
      </c>
      <c r="P489" s="114" t="s">
        <v>81</v>
      </c>
      <c r="Q489" s="114" t="s">
        <v>79</v>
      </c>
      <c r="R489" s="115"/>
      <c r="S489" s="145">
        <v>636</v>
      </c>
      <c r="T489" s="148" t="s">
        <v>1593</v>
      </c>
      <c r="U489" s="147">
        <v>1</v>
      </c>
      <c r="V489" s="121">
        <v>70</v>
      </c>
      <c r="W489" s="121">
        <v>230</v>
      </c>
      <c r="X489" s="114" t="s">
        <v>84</v>
      </c>
      <c r="Y489" s="115" t="s">
        <v>85</v>
      </c>
      <c r="Z489" s="115" t="s">
        <v>86</v>
      </c>
      <c r="AA489" s="113" t="s">
        <v>87</v>
      </c>
      <c r="AB489" s="122">
        <v>214.54</v>
      </c>
      <c r="AC489" s="122">
        <f>IF(C489="DENALI", AB489*0.495, IF(C489="SCHNEIDER ELECTRIC", AB489*1.136, IF(C489="WWT", AB489*1.2, AC489)))+AB489</f>
        <v>320.7373</v>
      </c>
      <c r="AD489" s="129">
        <f>AC489-AB489</f>
        <v>106.19730000000001</v>
      </c>
      <c r="AE489" s="122">
        <v>8913.1</v>
      </c>
      <c r="AF489" s="130">
        <f>AB489/U489</f>
        <v>214.54</v>
      </c>
      <c r="AG489" s="130">
        <f>AB489/V489</f>
        <v>3.0648571428571429</v>
      </c>
      <c r="AH489" s="123">
        <f>AB489/S489</f>
        <v>0.33732704402515723</v>
      </c>
      <c r="AI489" s="124" t="s">
        <v>1044</v>
      </c>
      <c r="AJ489" s="125" t="s">
        <v>349</v>
      </c>
      <c r="AK489"/>
      <c r="AM489" s="80"/>
    </row>
    <row r="490" spans="1:39" ht="28.5" customHeight="1">
      <c r="A490" s="113" t="s">
        <v>73</v>
      </c>
      <c r="B490" s="114" t="s">
        <v>74</v>
      </c>
      <c r="C490" s="113" t="s">
        <v>35</v>
      </c>
      <c r="D490" s="113" t="s">
        <v>218</v>
      </c>
      <c r="E490" s="115" t="s">
        <v>498</v>
      </c>
      <c r="F490" s="113" t="s">
        <v>228</v>
      </c>
      <c r="G490" s="116" t="s">
        <v>1896</v>
      </c>
      <c r="H490" s="79">
        <v>46203</v>
      </c>
      <c r="I490" s="114" t="s">
        <v>79</v>
      </c>
      <c r="J490" s="117"/>
      <c r="K490" s="118">
        <v>46195</v>
      </c>
      <c r="L490" s="114" t="s">
        <v>79</v>
      </c>
      <c r="M490" s="119">
        <v>46196</v>
      </c>
      <c r="N490" s="128" t="s">
        <v>95</v>
      </c>
      <c r="O490" s="120" t="e">
        <f>NETWORKDAYS.INTL(K490,N490,1,$AM$2:$AM$10)-1</f>
        <v>#VALUE!</v>
      </c>
      <c r="P490" s="114" t="s">
        <v>976</v>
      </c>
      <c r="Q490" s="114" t="s">
        <v>81</v>
      </c>
      <c r="R490" s="115" t="s">
        <v>976</v>
      </c>
      <c r="S490" s="145"/>
      <c r="T490" s="148" t="s">
        <v>1897</v>
      </c>
      <c r="U490" s="147">
        <v>3</v>
      </c>
      <c r="V490" s="121">
        <v>439</v>
      </c>
      <c r="W490" s="121">
        <v>2065</v>
      </c>
      <c r="X490" s="114" t="s">
        <v>84</v>
      </c>
      <c r="Y490" s="115" t="s">
        <v>85</v>
      </c>
      <c r="Z490" s="115" t="s">
        <v>1898</v>
      </c>
      <c r="AA490" s="113" t="s">
        <v>87</v>
      </c>
      <c r="AB490" s="122">
        <v>267.85000000000002</v>
      </c>
      <c r="AC490" s="122">
        <f>IF(C490="DENALI", AB490*0.495, IF(C490="SCHNEIDER ELECTRIC", AB490*1.136, IF(C490="WWT", AB490*1.2, AC490)))+AB490</f>
        <v>400.43575000000004</v>
      </c>
      <c r="AD490" s="129">
        <f>AC490-AB490</f>
        <v>132.58575000000002</v>
      </c>
      <c r="AE490" s="122">
        <v>265270.14</v>
      </c>
      <c r="AF490" s="130">
        <f>AB490/U490</f>
        <v>89.283333333333346</v>
      </c>
      <c r="AG490" s="130">
        <f>AB490/V490</f>
        <v>0.6101366742596811</v>
      </c>
      <c r="AH490" s="123" t="e">
        <f>AB490/S490</f>
        <v>#DIV/0!</v>
      </c>
      <c r="AI490" s="124" t="s">
        <v>97</v>
      </c>
      <c r="AJ490" s="125" t="s">
        <v>1665</v>
      </c>
      <c r="AK490"/>
      <c r="AM490" s="80"/>
    </row>
    <row r="491" spans="1:39" ht="28.5" customHeight="1">
      <c r="A491" s="113" t="s">
        <v>73</v>
      </c>
      <c r="B491" s="114" t="s">
        <v>74</v>
      </c>
      <c r="C491" s="113" t="s">
        <v>35</v>
      </c>
      <c r="D491" s="113" t="s">
        <v>218</v>
      </c>
      <c r="E491" s="115" t="s">
        <v>1320</v>
      </c>
      <c r="F491" s="113" t="s">
        <v>1321</v>
      </c>
      <c r="G491" s="116" t="s">
        <v>1899</v>
      </c>
      <c r="H491" s="79">
        <v>46204</v>
      </c>
      <c r="I491" s="114" t="s">
        <v>79</v>
      </c>
      <c r="J491" s="117" t="s">
        <v>1900</v>
      </c>
      <c r="K491" s="118">
        <v>46196</v>
      </c>
      <c r="L491" s="114" t="s">
        <v>79</v>
      </c>
      <c r="M491" s="119"/>
      <c r="N491" s="128">
        <v>46202</v>
      </c>
      <c r="O491" s="120">
        <f>NETWORKDAYS.INTL(K491,N491,1,$AM$2:$AM$10)-1</f>
        <v>4</v>
      </c>
      <c r="P491" s="114" t="s">
        <v>81</v>
      </c>
      <c r="Q491" s="114" t="s">
        <v>79</v>
      </c>
      <c r="R491" s="115"/>
      <c r="S491" s="145">
        <v>683</v>
      </c>
      <c r="T491" s="148" t="s">
        <v>1901</v>
      </c>
      <c r="U491" s="147">
        <v>3</v>
      </c>
      <c r="V491" s="121">
        <v>3</v>
      </c>
      <c r="W491" s="121">
        <v>1190</v>
      </c>
      <c r="X491" s="114" t="s">
        <v>84</v>
      </c>
      <c r="Y491" s="115" t="s">
        <v>85</v>
      </c>
      <c r="Z491" s="115" t="s">
        <v>935</v>
      </c>
      <c r="AA491" s="113" t="s">
        <v>87</v>
      </c>
      <c r="AB491" s="122">
        <v>804.7</v>
      </c>
      <c r="AC491" s="122">
        <f>IF(C491="DENALI", AB491*0.495, IF(C491="SCHNEIDER ELECTRIC", AB491*1.136, IF(C491="WWT", AB491*1.2, AC491)))+AB491</f>
        <v>1203.0264999999999</v>
      </c>
      <c r="AD491" s="129">
        <f>AC491-AB491</f>
        <v>398.3264999999999</v>
      </c>
      <c r="AE491" s="122">
        <v>8312.2199999999993</v>
      </c>
      <c r="AF491" s="130">
        <f>AB491/U491</f>
        <v>268.23333333333335</v>
      </c>
      <c r="AG491" s="130">
        <f>AB491/V491</f>
        <v>268.23333333333335</v>
      </c>
      <c r="AH491" s="123">
        <f>AB491/S491</f>
        <v>1.1781844802342607</v>
      </c>
      <c r="AI491" s="124" t="s">
        <v>97</v>
      </c>
      <c r="AJ491" s="125" t="s">
        <v>349</v>
      </c>
      <c r="AK491"/>
      <c r="AM491" s="80"/>
    </row>
    <row r="492" spans="1:39" ht="28.5" customHeight="1">
      <c r="A492" s="113" t="s">
        <v>73</v>
      </c>
      <c r="B492" s="114" t="s">
        <v>140</v>
      </c>
      <c r="C492" s="113" t="s">
        <v>35</v>
      </c>
      <c r="D492" s="113" t="s">
        <v>99</v>
      </c>
      <c r="E492" s="115" t="s">
        <v>141</v>
      </c>
      <c r="F492" s="113" t="s">
        <v>142</v>
      </c>
      <c r="G492" s="116">
        <v>23394046</v>
      </c>
      <c r="H492" s="79">
        <v>46204</v>
      </c>
      <c r="I492" s="114" t="s">
        <v>79</v>
      </c>
      <c r="J492" s="117" t="s">
        <v>1902</v>
      </c>
      <c r="K492" s="118">
        <v>46199</v>
      </c>
      <c r="L492" s="114" t="s">
        <v>81</v>
      </c>
      <c r="M492" s="119">
        <v>46202</v>
      </c>
      <c r="N492" s="128">
        <v>46202</v>
      </c>
      <c r="O492" s="120">
        <f>NETWORKDAYS.INTL(K492,N492,1,$AM$2:$AM$10)-1</f>
        <v>1</v>
      </c>
      <c r="P492" s="114" t="s">
        <v>81</v>
      </c>
      <c r="Q492" s="114" t="s">
        <v>79</v>
      </c>
      <c r="R492" s="115"/>
      <c r="S492" s="145">
        <v>1218</v>
      </c>
      <c r="T492" s="148" t="s">
        <v>1903</v>
      </c>
      <c r="U492" s="147">
        <v>20</v>
      </c>
      <c r="V492" s="121">
        <v>12</v>
      </c>
      <c r="W492" s="121">
        <v>9600</v>
      </c>
      <c r="X492" s="114" t="s">
        <v>113</v>
      </c>
      <c r="Y492" s="115" t="s">
        <v>85</v>
      </c>
      <c r="Z492" s="115" t="s">
        <v>1904</v>
      </c>
      <c r="AA492" s="113" t="s">
        <v>87</v>
      </c>
      <c r="AB492" s="122">
        <v>7493.55</v>
      </c>
      <c r="AC492" s="122">
        <f>IF(C492="DENALI", AB492*0.495, IF(C492="SCHNEIDER ELECTRIC", AB492*1.136, IF(C492="WWT", AB492*1.2, AC492)))+AB492</f>
        <v>11202.857250000001</v>
      </c>
      <c r="AD492" s="129">
        <f>AC492-AB492</f>
        <v>3709.3072500000007</v>
      </c>
      <c r="AE492" s="122">
        <v>27829.919999999998</v>
      </c>
      <c r="AF492" s="130">
        <f>AB492/U492</f>
        <v>374.67750000000001</v>
      </c>
      <c r="AG492" s="130">
        <f>AB492/V492</f>
        <v>624.46249999999998</v>
      </c>
      <c r="AH492" s="123">
        <f>AB492/S492</f>
        <v>6.1523399014778324</v>
      </c>
      <c r="AI492" s="124" t="s">
        <v>155</v>
      </c>
      <c r="AJ492" s="125" t="s">
        <v>89</v>
      </c>
      <c r="AK492"/>
      <c r="AM492" s="80"/>
    </row>
    <row r="493" spans="1:39" ht="28.5" customHeight="1">
      <c r="A493" s="113" t="s">
        <v>73</v>
      </c>
      <c r="B493" s="114" t="s">
        <v>140</v>
      </c>
      <c r="C493" s="113" t="s">
        <v>35</v>
      </c>
      <c r="D493" s="113" t="s">
        <v>99</v>
      </c>
      <c r="E493" s="115" t="s">
        <v>1905</v>
      </c>
      <c r="F493" s="113" t="s">
        <v>75</v>
      </c>
      <c r="G493" s="116">
        <v>23395106</v>
      </c>
      <c r="H493" s="79">
        <v>46204</v>
      </c>
      <c r="I493" s="114" t="s">
        <v>79</v>
      </c>
      <c r="J493" s="117" t="s">
        <v>1906</v>
      </c>
      <c r="K493" s="118">
        <v>46197</v>
      </c>
      <c r="L493" s="114" t="s">
        <v>81</v>
      </c>
      <c r="M493" s="119">
        <v>46202</v>
      </c>
      <c r="N493" s="128">
        <v>46202</v>
      </c>
      <c r="O493" s="120">
        <f>NETWORKDAYS.INTL(K493,N493,1,$AM$2:$AM$10)-1</f>
        <v>3</v>
      </c>
      <c r="P493" s="114" t="s">
        <v>81</v>
      </c>
      <c r="Q493" s="114" t="s">
        <v>79</v>
      </c>
      <c r="R493" s="115"/>
      <c r="S493" s="145">
        <v>2784.6</v>
      </c>
      <c r="T493" s="148" t="s">
        <v>1907</v>
      </c>
      <c r="U493" s="147">
        <v>15</v>
      </c>
      <c r="V493" s="121">
        <v>15</v>
      </c>
      <c r="W493" s="121">
        <v>7200</v>
      </c>
      <c r="X493" s="114" t="s">
        <v>113</v>
      </c>
      <c r="Y493" s="115" t="s">
        <v>85</v>
      </c>
      <c r="Z493" s="115" t="s">
        <v>1908</v>
      </c>
      <c r="AA493" s="113" t="s">
        <v>87</v>
      </c>
      <c r="AB493" s="122">
        <v>6982.27</v>
      </c>
      <c r="AC493" s="122">
        <f>IF(C493="DENALI", AB493*0.495, IF(C493="SCHNEIDER ELECTRIC", AB493*1.136, IF(C493="WWT", AB493*1.2, AC493)))+AB493</f>
        <v>10438.49365</v>
      </c>
      <c r="AD493" s="129">
        <f>AC493-AB493</f>
        <v>3456.2236499999999</v>
      </c>
      <c r="AE493" s="122">
        <v>34787.4</v>
      </c>
      <c r="AF493" s="130">
        <f>AB493/U493</f>
        <v>465.48466666666667</v>
      </c>
      <c r="AG493" s="130">
        <f>AB493/V493</f>
        <v>465.48466666666667</v>
      </c>
      <c r="AH493" s="123">
        <f>AB493/S493</f>
        <v>2.5074588809882932</v>
      </c>
      <c r="AI493" s="124" t="s">
        <v>155</v>
      </c>
      <c r="AJ493" s="125" t="s">
        <v>89</v>
      </c>
      <c r="AK493"/>
      <c r="AM493" s="80"/>
    </row>
    <row r="494" spans="1:39" ht="28.5" customHeight="1">
      <c r="A494" s="113" t="s">
        <v>73</v>
      </c>
      <c r="B494" s="114" t="s">
        <v>74</v>
      </c>
      <c r="C494" s="113" t="s">
        <v>35</v>
      </c>
      <c r="D494" s="113" t="s">
        <v>99</v>
      </c>
      <c r="E494" s="115" t="s">
        <v>1909</v>
      </c>
      <c r="F494" s="113" t="s">
        <v>401</v>
      </c>
      <c r="G494" s="116">
        <v>23398709</v>
      </c>
      <c r="H494" s="79">
        <v>46204</v>
      </c>
      <c r="I494" s="114" t="s">
        <v>79</v>
      </c>
      <c r="J494" s="117" t="s">
        <v>1910</v>
      </c>
      <c r="K494" s="118">
        <v>46199</v>
      </c>
      <c r="L494" s="114" t="s">
        <v>81</v>
      </c>
      <c r="M494" s="119">
        <v>46202</v>
      </c>
      <c r="N494" s="128">
        <v>46202</v>
      </c>
      <c r="O494" s="120">
        <f>NETWORKDAYS.INTL(K494,N494,1,$AM$2:$AM$10)-1</f>
        <v>1</v>
      </c>
      <c r="P494" s="114" t="s">
        <v>81</v>
      </c>
      <c r="Q494" s="114" t="s">
        <v>79</v>
      </c>
      <c r="R494" s="115"/>
      <c r="S494" s="145">
        <v>242</v>
      </c>
      <c r="T494" s="148" t="s">
        <v>1911</v>
      </c>
      <c r="U494" s="147">
        <v>5</v>
      </c>
      <c r="V494" s="121">
        <v>5</v>
      </c>
      <c r="W494" s="121">
        <v>2400</v>
      </c>
      <c r="X494" s="114" t="s">
        <v>113</v>
      </c>
      <c r="Y494" s="115" t="s">
        <v>85</v>
      </c>
      <c r="Z494" s="115" t="s">
        <v>1904</v>
      </c>
      <c r="AA494" s="113" t="s">
        <v>87</v>
      </c>
      <c r="AB494" s="122">
        <v>8435.83</v>
      </c>
      <c r="AC494" s="122">
        <f>IF(C494="DENALI", AB494*0.495, IF(C494="SCHNEIDER ELECTRIC", AB494*1.136, IF(C494="WWT", AB494*1.2, AC494)))+AB494</f>
        <v>12611.565849999999</v>
      </c>
      <c r="AD494" s="129">
        <f>AC494-AB494</f>
        <v>4175.7358499999991</v>
      </c>
      <c r="AE494" s="122">
        <v>11595.8</v>
      </c>
      <c r="AF494" s="130">
        <f>AB494/U494</f>
        <v>1687.1659999999999</v>
      </c>
      <c r="AG494" s="130">
        <f>AB494/V494</f>
        <v>1687.1659999999999</v>
      </c>
      <c r="AH494" s="123">
        <f>AB494/S494</f>
        <v>34.858801652892559</v>
      </c>
      <c r="AI494" s="124" t="s">
        <v>155</v>
      </c>
      <c r="AJ494" s="125" t="s">
        <v>89</v>
      </c>
      <c r="AK494"/>
      <c r="AM494" s="80"/>
    </row>
    <row r="495" spans="1:39" ht="28.5" customHeight="1">
      <c r="A495" s="113" t="s">
        <v>73</v>
      </c>
      <c r="B495" s="114" t="s">
        <v>74</v>
      </c>
      <c r="C495" s="113" t="s">
        <v>35</v>
      </c>
      <c r="D495" s="113" t="s">
        <v>218</v>
      </c>
      <c r="E495" s="115" t="s">
        <v>302</v>
      </c>
      <c r="F495" s="113" t="s">
        <v>303</v>
      </c>
      <c r="G495" s="116" t="s">
        <v>1912</v>
      </c>
      <c r="H495" s="79">
        <v>46204</v>
      </c>
      <c r="I495" s="114" t="s">
        <v>79</v>
      </c>
      <c r="J495" s="117" t="s">
        <v>1913</v>
      </c>
      <c r="K495" s="118">
        <v>46197</v>
      </c>
      <c r="L495" s="114" t="s">
        <v>81</v>
      </c>
      <c r="M495" s="119">
        <v>46198</v>
      </c>
      <c r="N495" s="128">
        <v>46198</v>
      </c>
      <c r="O495" s="120">
        <f>NETWORKDAYS.INTL(K495,N495,1,$AM$2:$AM$10)-1</f>
        <v>1</v>
      </c>
      <c r="P495" s="114" t="s">
        <v>81</v>
      </c>
      <c r="Q495" s="114" t="s">
        <v>79</v>
      </c>
      <c r="R495" s="115"/>
      <c r="S495" s="145">
        <v>602</v>
      </c>
      <c r="T495" s="148" t="s">
        <v>1914</v>
      </c>
      <c r="U495" s="147">
        <v>1</v>
      </c>
      <c r="V495" s="121">
        <v>1624</v>
      </c>
      <c r="W495" s="121">
        <v>300</v>
      </c>
      <c r="X495" s="114" t="s">
        <v>84</v>
      </c>
      <c r="Y495" s="115" t="s">
        <v>85</v>
      </c>
      <c r="Z495" s="115" t="s">
        <v>1774</v>
      </c>
      <c r="AA495" s="113" t="s">
        <v>87</v>
      </c>
      <c r="AB495" s="122">
        <v>192.59</v>
      </c>
      <c r="AC495" s="122">
        <f>IF(C495="DENALI", AB495*0.495, IF(C495="SCHNEIDER ELECTRIC", AB495*1.136, IF(C495="WWT", AB495*1.2, AC495)))+AB495</f>
        <v>287.92205000000001</v>
      </c>
      <c r="AD495" s="129">
        <f>AC495-AB495</f>
        <v>95.33205000000001</v>
      </c>
      <c r="AE495" s="122">
        <v>29330.28</v>
      </c>
      <c r="AF495" s="130">
        <f>AB495/U495</f>
        <v>192.59</v>
      </c>
      <c r="AG495" s="130">
        <f>AB495/V495</f>
        <v>0.11858990147783252</v>
      </c>
      <c r="AH495" s="123">
        <f>AB495/S495</f>
        <v>0.31991694352159467</v>
      </c>
      <c r="AI495" s="124" t="s">
        <v>97</v>
      </c>
      <c r="AJ495" s="125" t="s">
        <v>349</v>
      </c>
      <c r="AK495"/>
      <c r="AM495" s="80"/>
    </row>
    <row r="496" spans="1:39" ht="28.5" customHeight="1">
      <c r="A496" s="113" t="s">
        <v>73</v>
      </c>
      <c r="B496" s="114" t="s">
        <v>74</v>
      </c>
      <c r="C496" s="113" t="s">
        <v>35</v>
      </c>
      <c r="D496" s="113" t="s">
        <v>218</v>
      </c>
      <c r="E496" s="115" t="s">
        <v>657</v>
      </c>
      <c r="F496" s="113" t="s">
        <v>644</v>
      </c>
      <c r="G496" s="116">
        <v>23403365</v>
      </c>
      <c r="H496" s="79">
        <v>46204</v>
      </c>
      <c r="I496" s="114" t="s">
        <v>79</v>
      </c>
      <c r="J496" s="117" t="s">
        <v>1915</v>
      </c>
      <c r="K496" s="118">
        <v>46198</v>
      </c>
      <c r="L496" s="114" t="s">
        <v>81</v>
      </c>
      <c r="M496" s="119">
        <v>46198</v>
      </c>
      <c r="N496" s="128">
        <v>46199</v>
      </c>
      <c r="O496" s="120">
        <f>NETWORKDAYS.INTL(K496,N496,1,$AM$2:$AM$10)-1</f>
        <v>1</v>
      </c>
      <c r="P496" s="114" t="s">
        <v>81</v>
      </c>
      <c r="Q496" s="114" t="s">
        <v>79</v>
      </c>
      <c r="R496" s="115" t="s">
        <v>1916</v>
      </c>
      <c r="S496" s="145">
        <v>125</v>
      </c>
      <c r="T496" s="148" t="s">
        <v>1917</v>
      </c>
      <c r="U496" s="147">
        <v>10</v>
      </c>
      <c r="V496" s="121">
        <v>10</v>
      </c>
      <c r="W496" s="121">
        <v>7050</v>
      </c>
      <c r="X496" s="114" t="s">
        <v>113</v>
      </c>
      <c r="Y496" s="115" t="s">
        <v>85</v>
      </c>
      <c r="Z496" s="115" t="s">
        <v>1918</v>
      </c>
      <c r="AA496" s="113" t="s">
        <v>87</v>
      </c>
      <c r="AB496" s="122">
        <v>1867.96</v>
      </c>
      <c r="AC496" s="122">
        <f>IF(C496="DENALI", AB496*0.495, IF(C496="SCHNEIDER ELECTRIC", AB496*1.136, IF(C496="WWT", AB496*1.2, AC496)))+AB496</f>
        <v>2792.6001999999999</v>
      </c>
      <c r="AD496" s="129">
        <f>AC496-AB496</f>
        <v>924.64019999999982</v>
      </c>
      <c r="AE496" s="122">
        <v>249422.38</v>
      </c>
      <c r="AF496" s="130">
        <f>AB496/U496</f>
        <v>186.79599999999999</v>
      </c>
      <c r="AG496" s="130">
        <f>AB496/V496</f>
        <v>186.79599999999999</v>
      </c>
      <c r="AH496" s="123">
        <f>AB496/S496</f>
        <v>14.943680000000001</v>
      </c>
      <c r="AI496" s="124" t="s">
        <v>97</v>
      </c>
      <c r="AJ496" s="125" t="s">
        <v>349</v>
      </c>
      <c r="AK496"/>
      <c r="AM496" s="80"/>
    </row>
    <row r="497" spans="1:39" ht="28.5" customHeight="1">
      <c r="A497" s="113" t="s">
        <v>73</v>
      </c>
      <c r="B497" s="114" t="s">
        <v>74</v>
      </c>
      <c r="C497" s="113" t="s">
        <v>36</v>
      </c>
      <c r="D497" s="113" t="s">
        <v>90</v>
      </c>
      <c r="E497" s="115" t="s">
        <v>438</v>
      </c>
      <c r="F497" s="113" t="s">
        <v>92</v>
      </c>
      <c r="G497" s="116" t="s">
        <v>1919</v>
      </c>
      <c r="H497" s="79">
        <v>46204</v>
      </c>
      <c r="I497" s="114" t="s">
        <v>79</v>
      </c>
      <c r="J497" s="117" t="s">
        <v>1920</v>
      </c>
      <c r="K497" s="118">
        <v>46197</v>
      </c>
      <c r="L497" s="114" t="s">
        <v>81</v>
      </c>
      <c r="M497" s="119">
        <v>46203</v>
      </c>
      <c r="N497" s="128">
        <v>46202</v>
      </c>
      <c r="O497" s="120">
        <f>NETWORKDAYS.INTL(K497,N497,1,$AM$2:$AM$10)-1</f>
        <v>3</v>
      </c>
      <c r="P497" s="114" t="s">
        <v>81</v>
      </c>
      <c r="Q497" s="114" t="s">
        <v>79</v>
      </c>
      <c r="R497" s="115"/>
      <c r="S497" s="145">
        <v>1523</v>
      </c>
      <c r="T497" s="148" t="s">
        <v>1921</v>
      </c>
      <c r="U497" s="147">
        <v>1</v>
      </c>
      <c r="V497" s="121">
        <v>2</v>
      </c>
      <c r="W497" s="121">
        <v>194</v>
      </c>
      <c r="X497" s="114" t="s">
        <v>84</v>
      </c>
      <c r="Y497" s="115" t="s">
        <v>85</v>
      </c>
      <c r="Z497" s="115" t="s">
        <v>86</v>
      </c>
      <c r="AA497" s="113" t="s">
        <v>87</v>
      </c>
      <c r="AB497" s="122">
        <v>251.49</v>
      </c>
      <c r="AC497" s="122">
        <f>IF(C497="DENALI", AB497*0.495, IF(C497="SCHNEIDER ELECTRIC", AB497*1.136, IF(C497="WWT", AB497*1.2, AC497)))+AB497</f>
        <v>537.18263999999999</v>
      </c>
      <c r="AD497" s="129">
        <f>AC497-AB497</f>
        <v>285.69263999999998</v>
      </c>
      <c r="AE497" s="122">
        <v>993.2</v>
      </c>
      <c r="AF497" s="130">
        <f>AB497/U497</f>
        <v>251.49</v>
      </c>
      <c r="AG497" s="130">
        <f>AB497/V497</f>
        <v>125.745</v>
      </c>
      <c r="AH497" s="123">
        <f>AB497/S497</f>
        <v>0.16512803676953383</v>
      </c>
      <c r="AI497" s="124" t="s">
        <v>97</v>
      </c>
      <c r="AJ497" s="125" t="s">
        <v>98</v>
      </c>
      <c r="AK497"/>
      <c r="AM497" s="80"/>
    </row>
    <row r="498" spans="1:39" ht="28.5" customHeight="1">
      <c r="A498" s="113" t="s">
        <v>73</v>
      </c>
      <c r="B498" s="114" t="s">
        <v>74</v>
      </c>
      <c r="C498" s="113" t="s">
        <v>36</v>
      </c>
      <c r="D498" s="113" t="s">
        <v>90</v>
      </c>
      <c r="E498" s="115" t="s">
        <v>1766</v>
      </c>
      <c r="F498" s="113" t="s">
        <v>92</v>
      </c>
      <c r="G498" s="116" t="s">
        <v>1922</v>
      </c>
      <c r="H498" s="79">
        <v>46204</v>
      </c>
      <c r="I498" s="114" t="s">
        <v>79</v>
      </c>
      <c r="J498" s="117" t="s">
        <v>1923</v>
      </c>
      <c r="K498" s="118">
        <v>46197</v>
      </c>
      <c r="L498" s="114" t="s">
        <v>81</v>
      </c>
      <c r="M498" s="119">
        <v>46202</v>
      </c>
      <c r="N498" s="128">
        <v>46204</v>
      </c>
      <c r="O498" s="120">
        <f>NETWORKDAYS.INTL(K498,N498,1,$AM$2:$AM$10)-1</f>
        <v>5</v>
      </c>
      <c r="P498" s="114" t="s">
        <v>81</v>
      </c>
      <c r="Q498" s="114" t="s">
        <v>79</v>
      </c>
      <c r="R498" s="115"/>
      <c r="S498" s="145">
        <v>1393</v>
      </c>
      <c r="T498" s="148" t="s">
        <v>1924</v>
      </c>
      <c r="U498" s="147">
        <v>1</v>
      </c>
      <c r="V498" s="121">
        <v>16</v>
      </c>
      <c r="W498" s="121">
        <v>59</v>
      </c>
      <c r="X498" s="114" t="s">
        <v>84</v>
      </c>
      <c r="Y498" s="115" t="s">
        <v>85</v>
      </c>
      <c r="Z498" s="115" t="s">
        <v>86</v>
      </c>
      <c r="AA498" s="113" t="s">
        <v>87</v>
      </c>
      <c r="AB498" s="122">
        <v>238.03</v>
      </c>
      <c r="AC498" s="122">
        <f>IF(C498="DENALI", AB498*0.495, IF(C498="SCHNEIDER ELECTRIC", AB498*1.136, IF(C498="WWT", AB498*1.2, AC498)))+AB498</f>
        <v>508.43207999999993</v>
      </c>
      <c r="AD498" s="129">
        <f>AC498-AB498</f>
        <v>270.40207999999996</v>
      </c>
      <c r="AE498" s="122">
        <v>2198.64</v>
      </c>
      <c r="AF498" s="130">
        <f>AB498/U498</f>
        <v>238.03</v>
      </c>
      <c r="AG498" s="130">
        <f>AB498/V498</f>
        <v>14.876875</v>
      </c>
      <c r="AH498" s="123">
        <f>AB498/S498</f>
        <v>0.17087580760947596</v>
      </c>
      <c r="AI498" s="124" t="s">
        <v>97</v>
      </c>
      <c r="AJ498" s="125" t="s">
        <v>98</v>
      </c>
      <c r="AK498"/>
      <c r="AM498" s="80"/>
    </row>
    <row r="499" spans="1:39" ht="28.5" customHeight="1">
      <c r="A499" s="113" t="s">
        <v>73</v>
      </c>
      <c r="B499" s="114" t="s">
        <v>74</v>
      </c>
      <c r="C499" s="113" t="s">
        <v>36</v>
      </c>
      <c r="D499" s="113" t="s">
        <v>90</v>
      </c>
      <c r="E499" s="115" t="s">
        <v>1925</v>
      </c>
      <c r="F499" s="113" t="s">
        <v>1926</v>
      </c>
      <c r="G499" s="116" t="s">
        <v>1927</v>
      </c>
      <c r="H499" s="79">
        <v>46204</v>
      </c>
      <c r="I499" s="114" t="s">
        <v>79</v>
      </c>
      <c r="J499" s="117" t="s">
        <v>1928</v>
      </c>
      <c r="K499" s="118">
        <v>46197</v>
      </c>
      <c r="L499" s="114" t="s">
        <v>81</v>
      </c>
      <c r="M499" s="119">
        <v>46199</v>
      </c>
      <c r="N499" s="128">
        <v>46199</v>
      </c>
      <c r="O499" s="120">
        <f>NETWORKDAYS.INTL(K499,N499,1,$AM$2:$AM$10)-1</f>
        <v>2</v>
      </c>
      <c r="P499" s="114" t="s">
        <v>81</v>
      </c>
      <c r="Q499" s="114" t="s">
        <v>79</v>
      </c>
      <c r="R499" s="115"/>
      <c r="S499" s="145">
        <v>760</v>
      </c>
      <c r="T499" s="148" t="s">
        <v>1929</v>
      </c>
      <c r="U499" s="147">
        <v>1</v>
      </c>
      <c r="V499" s="121">
        <v>2</v>
      </c>
      <c r="W499" s="121">
        <v>194</v>
      </c>
      <c r="X499" s="114" t="s">
        <v>84</v>
      </c>
      <c r="Y499" s="115" t="s">
        <v>85</v>
      </c>
      <c r="Z499" s="115" t="s">
        <v>86</v>
      </c>
      <c r="AA499" s="113" t="s">
        <v>87</v>
      </c>
      <c r="AB499" s="122">
        <v>280.70999999999998</v>
      </c>
      <c r="AC499" s="122">
        <f>IF(C499="DENALI", AB499*0.495, IF(C499="SCHNEIDER ELECTRIC", AB499*1.136, IF(C499="WWT", AB499*1.2, AC499)))+AB499</f>
        <v>599.59655999999995</v>
      </c>
      <c r="AD499" s="129">
        <f>AC499-AB499</f>
        <v>318.88655999999997</v>
      </c>
      <c r="AE499" s="122">
        <v>993.2</v>
      </c>
      <c r="AF499" s="130">
        <f>AB499/U499</f>
        <v>280.70999999999998</v>
      </c>
      <c r="AG499" s="130">
        <f>AB499/V499</f>
        <v>140.35499999999999</v>
      </c>
      <c r="AH499" s="123">
        <f>AB499/S499</f>
        <v>0.36935526315789469</v>
      </c>
      <c r="AI499" s="124" t="s">
        <v>97</v>
      </c>
      <c r="AJ499" s="125" t="s">
        <v>98</v>
      </c>
      <c r="AK499"/>
      <c r="AM499" s="80"/>
    </row>
    <row r="500" spans="1:39" ht="28.5" customHeight="1">
      <c r="A500" s="113" t="s">
        <v>73</v>
      </c>
      <c r="B500" s="114" t="s">
        <v>74</v>
      </c>
      <c r="C500" s="113" t="s">
        <v>36</v>
      </c>
      <c r="D500" s="113" t="s">
        <v>90</v>
      </c>
      <c r="E500" s="115" t="s">
        <v>1930</v>
      </c>
      <c r="F500" s="113" t="s">
        <v>92</v>
      </c>
      <c r="G500" s="116" t="s">
        <v>1931</v>
      </c>
      <c r="H500" s="79">
        <v>46204</v>
      </c>
      <c r="I500" s="114" t="s">
        <v>79</v>
      </c>
      <c r="J500" s="117" t="s">
        <v>1932</v>
      </c>
      <c r="K500" s="118">
        <v>46197</v>
      </c>
      <c r="L500" s="114" t="s">
        <v>81</v>
      </c>
      <c r="M500" s="119">
        <v>46203</v>
      </c>
      <c r="N500" s="128">
        <v>46204</v>
      </c>
      <c r="O500" s="120">
        <f>NETWORKDAYS.INTL(K500,N500,1,$AM$2:$AM$10)-1</f>
        <v>5</v>
      </c>
      <c r="P500" s="114" t="s">
        <v>81</v>
      </c>
      <c r="Q500" s="114" t="s">
        <v>79</v>
      </c>
      <c r="R500" s="115"/>
      <c r="S500" s="145">
        <v>1545</v>
      </c>
      <c r="T500" s="148" t="s">
        <v>1933</v>
      </c>
      <c r="U500" s="147">
        <v>1</v>
      </c>
      <c r="V500" s="121">
        <v>6</v>
      </c>
      <c r="W500" s="121">
        <v>272</v>
      </c>
      <c r="X500" s="114" t="s">
        <v>84</v>
      </c>
      <c r="Y500" s="115" t="s">
        <v>85</v>
      </c>
      <c r="Z500" s="115" t="s">
        <v>86</v>
      </c>
      <c r="AA500" s="113" t="s">
        <v>87</v>
      </c>
      <c r="AB500" s="122">
        <v>251.49</v>
      </c>
      <c r="AC500" s="122">
        <f>IF(C500="DENALI", AB500*0.495, IF(C500="SCHNEIDER ELECTRIC", AB500*1.136, IF(C500="WWT", AB500*1.2, AC500)))+AB500</f>
        <v>537.18263999999999</v>
      </c>
      <c r="AD500" s="129">
        <f>AC500-AB500</f>
        <v>285.69263999999998</v>
      </c>
      <c r="AE500" s="122">
        <v>1616.28</v>
      </c>
      <c r="AF500" s="130">
        <f>AB500/U500</f>
        <v>251.49</v>
      </c>
      <c r="AG500" s="130">
        <f>AB500/V500</f>
        <v>41.914999999999999</v>
      </c>
      <c r="AH500" s="123">
        <f>AB500/S500</f>
        <v>0.16277669902912623</v>
      </c>
      <c r="AI500" s="124" t="s">
        <v>155</v>
      </c>
      <c r="AJ500" s="125" t="s">
        <v>98</v>
      </c>
      <c r="AK500"/>
      <c r="AM500" s="80"/>
    </row>
    <row r="501" spans="1:39" ht="28.5" customHeight="1">
      <c r="A501" s="113" t="s">
        <v>73</v>
      </c>
      <c r="B501" s="114" t="s">
        <v>74</v>
      </c>
      <c r="C501" s="113" t="s">
        <v>36</v>
      </c>
      <c r="D501" s="113" t="s">
        <v>90</v>
      </c>
      <c r="E501" s="115" t="s">
        <v>1934</v>
      </c>
      <c r="F501" s="113" t="s">
        <v>292</v>
      </c>
      <c r="G501" s="116" t="s">
        <v>1935</v>
      </c>
      <c r="H501" s="79">
        <v>46204</v>
      </c>
      <c r="I501" s="114" t="s">
        <v>79</v>
      </c>
      <c r="J501" s="117" t="s">
        <v>1936</v>
      </c>
      <c r="K501" s="118">
        <v>46197</v>
      </c>
      <c r="L501" s="114" t="s">
        <v>81</v>
      </c>
      <c r="M501" s="119">
        <v>46199</v>
      </c>
      <c r="N501" s="128">
        <v>46199</v>
      </c>
      <c r="O501" s="120">
        <f>NETWORKDAYS.INTL(K501,N501,1,$AM$2:$AM$10)-1</f>
        <v>2</v>
      </c>
      <c r="P501" s="114" t="s">
        <v>81</v>
      </c>
      <c r="Q501" s="114" t="s">
        <v>79</v>
      </c>
      <c r="R501" s="115"/>
      <c r="S501" s="145">
        <v>994</v>
      </c>
      <c r="T501" s="148" t="s">
        <v>1937</v>
      </c>
      <c r="U501" s="147">
        <v>1</v>
      </c>
      <c r="V501" s="121">
        <v>6</v>
      </c>
      <c r="W501" s="121">
        <v>502</v>
      </c>
      <c r="X501" s="114" t="s">
        <v>84</v>
      </c>
      <c r="Y501" s="115" t="s">
        <v>85</v>
      </c>
      <c r="Z501" s="115" t="s">
        <v>86</v>
      </c>
      <c r="AA501" s="113" t="s">
        <v>87</v>
      </c>
      <c r="AB501" s="122">
        <v>266.10000000000002</v>
      </c>
      <c r="AC501" s="122">
        <f>IF(C501="DENALI", AB501*0.495, IF(C501="SCHNEIDER ELECTRIC", AB501*1.136, IF(C501="WWT", AB501*1.2, AC501)))+AB501</f>
        <v>568.38959999999997</v>
      </c>
      <c r="AD501" s="129">
        <f>AC501-AB501</f>
        <v>302.28959999999995</v>
      </c>
      <c r="AE501" s="122">
        <v>11918.4</v>
      </c>
      <c r="AF501" s="130">
        <f>AB501/U501</f>
        <v>266.10000000000002</v>
      </c>
      <c r="AG501" s="130">
        <f>AB501/V501</f>
        <v>44.35</v>
      </c>
      <c r="AH501" s="123">
        <f>AB501/S501</f>
        <v>0.2677062374245473</v>
      </c>
      <c r="AI501" s="124" t="s">
        <v>97</v>
      </c>
      <c r="AJ501" s="125" t="s">
        <v>98</v>
      </c>
      <c r="AK501"/>
      <c r="AM501" s="80"/>
    </row>
    <row r="502" spans="1:39" ht="28.5" customHeight="1">
      <c r="A502" s="113" t="s">
        <v>73</v>
      </c>
      <c r="B502" s="114" t="s">
        <v>74</v>
      </c>
      <c r="C502" s="113" t="s">
        <v>35</v>
      </c>
      <c r="D502" s="113" t="s">
        <v>218</v>
      </c>
      <c r="E502" s="115" t="s">
        <v>988</v>
      </c>
      <c r="F502" s="113" t="s">
        <v>75</v>
      </c>
      <c r="G502" s="116" t="s">
        <v>1938</v>
      </c>
      <c r="H502" s="79">
        <v>46205</v>
      </c>
      <c r="I502" s="114" t="s">
        <v>79</v>
      </c>
      <c r="J502" s="117" t="s">
        <v>1939</v>
      </c>
      <c r="K502" s="118">
        <v>46198</v>
      </c>
      <c r="L502" s="114" t="s">
        <v>81</v>
      </c>
      <c r="M502" s="119">
        <v>46199</v>
      </c>
      <c r="N502" s="128">
        <v>46199</v>
      </c>
      <c r="O502" s="120">
        <f>NETWORKDAYS.INTL(K502,N502,1,$AM$2:$AM$10)-1</f>
        <v>1</v>
      </c>
      <c r="P502" s="114" t="s">
        <v>81</v>
      </c>
      <c r="Q502" s="114" t="s">
        <v>79</v>
      </c>
      <c r="R502" s="115"/>
      <c r="S502" s="145">
        <v>534</v>
      </c>
      <c r="T502" s="148" t="s">
        <v>1830</v>
      </c>
      <c r="U502" s="147">
        <v>1</v>
      </c>
      <c r="V502" s="121">
        <v>150</v>
      </c>
      <c r="W502" s="121">
        <v>357</v>
      </c>
      <c r="X502" s="114" t="s">
        <v>84</v>
      </c>
      <c r="Y502" s="115" t="s">
        <v>85</v>
      </c>
      <c r="Z502" s="115" t="s">
        <v>1774</v>
      </c>
      <c r="AA502" s="113" t="s">
        <v>87</v>
      </c>
      <c r="AB502" s="122">
        <v>236.93</v>
      </c>
      <c r="AC502" s="122">
        <f>IF(C502="DENALI", AB502*0.495, IF(C502="SCHNEIDER ELECTRIC", AB502*1.136, IF(C502="WWT", AB502*1.2, AC502)))+AB502</f>
        <v>354.21035000000001</v>
      </c>
      <c r="AD502" s="129">
        <f>AC502-AB502</f>
        <v>117.28035</v>
      </c>
      <c r="AE502" s="122">
        <v>13558.43</v>
      </c>
      <c r="AF502" s="130">
        <f>AB502/U502</f>
        <v>236.93</v>
      </c>
      <c r="AG502" s="130">
        <f>AB502/V502</f>
        <v>1.5795333333333335</v>
      </c>
      <c r="AH502" s="123">
        <f>AB502/S502</f>
        <v>0.44368913857677905</v>
      </c>
      <c r="AI502" s="124" t="s">
        <v>97</v>
      </c>
      <c r="AJ502" s="125" t="s">
        <v>349</v>
      </c>
      <c r="AK502"/>
      <c r="AM502" s="80"/>
    </row>
    <row r="503" spans="1:39" ht="28.5" customHeight="1">
      <c r="A503" s="113" t="s">
        <v>73</v>
      </c>
      <c r="B503" s="114" t="s">
        <v>74</v>
      </c>
      <c r="C503" s="113" t="s">
        <v>35</v>
      </c>
      <c r="D503" s="113" t="s">
        <v>218</v>
      </c>
      <c r="E503" s="115" t="s">
        <v>1940</v>
      </c>
      <c r="F503" s="113" t="s">
        <v>218</v>
      </c>
      <c r="G503" s="116" t="s">
        <v>1941</v>
      </c>
      <c r="H503" s="79">
        <v>46205</v>
      </c>
      <c r="I503" s="114" t="s">
        <v>79</v>
      </c>
      <c r="J503" s="117" t="s">
        <v>1942</v>
      </c>
      <c r="K503" s="118">
        <v>46198</v>
      </c>
      <c r="L503" s="114" t="s">
        <v>81</v>
      </c>
      <c r="M503" s="119">
        <v>46199</v>
      </c>
      <c r="N503" s="128">
        <v>46199</v>
      </c>
      <c r="O503" s="120">
        <f>NETWORKDAYS.INTL(K503,N503,1,$AM$2:$AM$10)-1</f>
        <v>1</v>
      </c>
      <c r="P503" s="114" t="s">
        <v>81</v>
      </c>
      <c r="Q503" s="114" t="s">
        <v>79</v>
      </c>
      <c r="R503" s="115"/>
      <c r="S503" s="145">
        <v>130.4</v>
      </c>
      <c r="T503" s="148" t="s">
        <v>1943</v>
      </c>
      <c r="U503" s="147">
        <v>2</v>
      </c>
      <c r="V503" s="121">
        <v>110</v>
      </c>
      <c r="W503" s="121">
        <v>1080</v>
      </c>
      <c r="X503" s="114" t="s">
        <v>84</v>
      </c>
      <c r="Y503" s="115" t="s">
        <v>85</v>
      </c>
      <c r="Z503" s="115" t="s">
        <v>1540</v>
      </c>
      <c r="AA503" s="113" t="s">
        <v>87</v>
      </c>
      <c r="AB503" s="122">
        <v>140.83000000000001</v>
      </c>
      <c r="AC503" s="122">
        <f>IF(C503="DENALI", AB503*0.495, IF(C503="SCHNEIDER ELECTRIC", AB503*1.136, IF(C503="WWT", AB503*1.2, AC503)))+AB503</f>
        <v>210.54085000000003</v>
      </c>
      <c r="AD503" s="129">
        <f>AC503-AB503</f>
        <v>69.710850000000022</v>
      </c>
      <c r="AE503" s="122">
        <v>134809.4</v>
      </c>
      <c r="AF503" s="130">
        <f>AB503/U503</f>
        <v>70.415000000000006</v>
      </c>
      <c r="AG503" s="130">
        <f>AB503/V503</f>
        <v>1.2802727272727275</v>
      </c>
      <c r="AH503" s="123">
        <f>AB503/S503</f>
        <v>1.0799846625766871</v>
      </c>
      <c r="AI503" s="124" t="s">
        <v>97</v>
      </c>
      <c r="AJ503" s="125" t="s">
        <v>349</v>
      </c>
      <c r="AK503"/>
      <c r="AM503" s="80"/>
    </row>
    <row r="504" spans="1:39" ht="28.5" customHeight="1">
      <c r="A504" s="113" t="s">
        <v>73</v>
      </c>
      <c r="B504" s="114" t="s">
        <v>74</v>
      </c>
      <c r="C504" s="113" t="s">
        <v>35</v>
      </c>
      <c r="D504" s="113" t="s">
        <v>218</v>
      </c>
      <c r="E504" s="115" t="s">
        <v>287</v>
      </c>
      <c r="F504" s="113" t="s">
        <v>90</v>
      </c>
      <c r="G504" s="116" t="s">
        <v>1944</v>
      </c>
      <c r="H504" s="79">
        <v>46205</v>
      </c>
      <c r="I504" s="114" t="s">
        <v>79</v>
      </c>
      <c r="J504" s="117" t="s">
        <v>1945</v>
      </c>
      <c r="K504" s="118">
        <v>46198</v>
      </c>
      <c r="L504" s="114" t="s">
        <v>81</v>
      </c>
      <c r="M504" s="119">
        <v>46205</v>
      </c>
      <c r="N504" s="128">
        <v>46204</v>
      </c>
      <c r="O504" s="120">
        <f>NETWORKDAYS.INTL(K504,N504,1,$AM$2:$AM$10)-1</f>
        <v>4</v>
      </c>
      <c r="P504" s="114" t="s">
        <v>81</v>
      </c>
      <c r="Q504" s="114" t="s">
        <v>79</v>
      </c>
      <c r="R504" s="115"/>
      <c r="S504" s="145">
        <v>2089</v>
      </c>
      <c r="T504" s="148" t="s">
        <v>1946</v>
      </c>
      <c r="U504" s="147">
        <v>1</v>
      </c>
      <c r="V504" s="121">
        <v>120</v>
      </c>
      <c r="W504" s="121">
        <v>375</v>
      </c>
      <c r="X504" s="114" t="s">
        <v>84</v>
      </c>
      <c r="Y504" s="115" t="s">
        <v>85</v>
      </c>
      <c r="Z504" s="115" t="s">
        <v>86</v>
      </c>
      <c r="AA504" s="113" t="s">
        <v>87</v>
      </c>
      <c r="AB504" s="122">
        <v>401.82</v>
      </c>
      <c r="AC504" s="122">
        <f>IF(C504="DENALI", AB504*0.495, IF(C504="SCHNEIDER ELECTRIC", AB504*1.136, IF(C504="WWT", AB504*1.2, AC504)))+AB504</f>
        <v>600.72090000000003</v>
      </c>
      <c r="AD504" s="129">
        <f>AC504-AB504</f>
        <v>198.90090000000004</v>
      </c>
      <c r="AE504" s="122">
        <v>13694.88</v>
      </c>
      <c r="AF504" s="130">
        <f>AB504/U504</f>
        <v>401.82</v>
      </c>
      <c r="AG504" s="130">
        <f>AB504/V504</f>
        <v>3.3485</v>
      </c>
      <c r="AH504" s="123">
        <f>AB504/S504</f>
        <v>0.19235040689325036</v>
      </c>
      <c r="AI504" s="124" t="s">
        <v>115</v>
      </c>
      <c r="AJ504" s="125" t="s">
        <v>107</v>
      </c>
      <c r="AK504"/>
      <c r="AM504" s="80"/>
    </row>
    <row r="505" spans="1:39" ht="28.5" customHeight="1">
      <c r="A505" s="113" t="s">
        <v>73</v>
      </c>
      <c r="B505" s="114" t="s">
        <v>74</v>
      </c>
      <c r="C505" s="113" t="s">
        <v>35</v>
      </c>
      <c r="D505" s="113" t="s">
        <v>218</v>
      </c>
      <c r="E505" s="115" t="s">
        <v>1831</v>
      </c>
      <c r="F505" s="113" t="s">
        <v>370</v>
      </c>
      <c r="G505" s="116" t="s">
        <v>1947</v>
      </c>
      <c r="H505" s="79">
        <v>46205</v>
      </c>
      <c r="I505" s="114" t="s">
        <v>79</v>
      </c>
      <c r="J505" s="117" t="s">
        <v>1948</v>
      </c>
      <c r="K505" s="118">
        <v>46198</v>
      </c>
      <c r="L505" s="114" t="s">
        <v>81</v>
      </c>
      <c r="M505" s="119">
        <v>46202</v>
      </c>
      <c r="N505" s="128">
        <v>46202</v>
      </c>
      <c r="O505" s="120">
        <f>NETWORKDAYS.INTL(K505,N505,1,$AM$2:$AM$10)-1</f>
        <v>2</v>
      </c>
      <c r="P505" s="114" t="s">
        <v>81</v>
      </c>
      <c r="Q505" s="114" t="s">
        <v>79</v>
      </c>
      <c r="R505" s="115"/>
      <c r="S505" s="145">
        <v>622</v>
      </c>
      <c r="T505" s="148" t="s">
        <v>1834</v>
      </c>
      <c r="U505" s="147">
        <v>1</v>
      </c>
      <c r="V505" s="121">
        <v>150</v>
      </c>
      <c r="W505" s="121">
        <v>375</v>
      </c>
      <c r="X505" s="114" t="s">
        <v>84</v>
      </c>
      <c r="Y505" s="115" t="s">
        <v>85</v>
      </c>
      <c r="Z505" s="115" t="s">
        <v>86</v>
      </c>
      <c r="AA505" s="113" t="s">
        <v>87</v>
      </c>
      <c r="AB505" s="122">
        <v>340.06</v>
      </c>
      <c r="AC505" s="122">
        <f>IF(C505="DENALI", AB505*0.495, IF(C505="SCHNEIDER ELECTRIC", AB505*1.136, IF(C505="WWT", AB505*1.2, AC505)))+AB505</f>
        <v>508.3897</v>
      </c>
      <c r="AD505" s="129">
        <f>AC505-AB505</f>
        <v>168.3297</v>
      </c>
      <c r="AE505" s="122">
        <v>13558.43</v>
      </c>
      <c r="AF505" s="130">
        <f>AB505/U505</f>
        <v>340.06</v>
      </c>
      <c r="AG505" s="130">
        <f>AB505/V505</f>
        <v>2.2670666666666666</v>
      </c>
      <c r="AH505" s="123">
        <f>AB505/S505</f>
        <v>0.54672025723472673</v>
      </c>
      <c r="AI505" s="124" t="s">
        <v>1044</v>
      </c>
      <c r="AJ505" s="125" t="s">
        <v>349</v>
      </c>
      <c r="AK505"/>
      <c r="AM505" s="80"/>
    </row>
    <row r="506" spans="1:39" ht="28.5" customHeight="1">
      <c r="A506" s="113" t="s">
        <v>73</v>
      </c>
      <c r="B506" s="114" t="s">
        <v>74</v>
      </c>
      <c r="C506" s="113" t="s">
        <v>35</v>
      </c>
      <c r="D506" s="113" t="s">
        <v>218</v>
      </c>
      <c r="E506" s="115" t="s">
        <v>866</v>
      </c>
      <c r="F506" s="113" t="s">
        <v>90</v>
      </c>
      <c r="G506" s="116" t="s">
        <v>1949</v>
      </c>
      <c r="H506" s="79">
        <v>46205</v>
      </c>
      <c r="I506" s="114" t="s">
        <v>79</v>
      </c>
      <c r="J506" s="117" t="s">
        <v>1950</v>
      </c>
      <c r="K506" s="118">
        <v>46198</v>
      </c>
      <c r="L506" s="114" t="s">
        <v>81</v>
      </c>
      <c r="M506" s="119">
        <v>46204</v>
      </c>
      <c r="N506" s="128">
        <v>46204</v>
      </c>
      <c r="O506" s="120">
        <f>NETWORKDAYS.INTL(K506,N506,1,$AM$2:$AM$10)-1</f>
        <v>4</v>
      </c>
      <c r="P506" s="114" t="s">
        <v>81</v>
      </c>
      <c r="Q506" s="114" t="s">
        <v>79</v>
      </c>
      <c r="R506" s="115"/>
      <c r="S506" s="145">
        <v>2261</v>
      </c>
      <c r="T506" s="148" t="s">
        <v>1951</v>
      </c>
      <c r="U506" s="147">
        <v>2</v>
      </c>
      <c r="V506" s="121">
        <v>300</v>
      </c>
      <c r="W506" s="121">
        <v>750</v>
      </c>
      <c r="X506" s="114" t="s">
        <v>84</v>
      </c>
      <c r="Y506" s="115" t="s">
        <v>85</v>
      </c>
      <c r="Z506" s="115" t="s">
        <v>86</v>
      </c>
      <c r="AA506" s="113" t="s">
        <v>87</v>
      </c>
      <c r="AB506" s="122">
        <v>1129.6199999999999</v>
      </c>
      <c r="AC506" s="122">
        <f>IF(C506="DENALI", AB506*0.495, IF(C506="SCHNEIDER ELECTRIC", AB506*1.136, IF(C506="WWT", AB506*1.2, AC506)))+AB506</f>
        <v>1688.7819</v>
      </c>
      <c r="AD506" s="129">
        <f>AC506-AB506</f>
        <v>559.16190000000006</v>
      </c>
      <c r="AE506" s="122">
        <v>63709.21</v>
      </c>
      <c r="AF506" s="130">
        <f>AB506/U506</f>
        <v>564.80999999999995</v>
      </c>
      <c r="AG506" s="130">
        <f>AB506/V506</f>
        <v>3.7653999999999996</v>
      </c>
      <c r="AH506" s="123">
        <f>AB506/S506</f>
        <v>0.49961079168509503</v>
      </c>
      <c r="AI506" s="124" t="s">
        <v>1044</v>
      </c>
      <c r="AJ506" s="125" t="s">
        <v>349</v>
      </c>
      <c r="AK506"/>
      <c r="AM506" s="80"/>
    </row>
    <row r="507" spans="1:39" ht="28.5" customHeight="1">
      <c r="A507" s="113" t="s">
        <v>73</v>
      </c>
      <c r="B507" s="114" t="s">
        <v>74</v>
      </c>
      <c r="C507" s="113" t="s">
        <v>35</v>
      </c>
      <c r="D507" s="113" t="s">
        <v>218</v>
      </c>
      <c r="E507" s="115" t="s">
        <v>356</v>
      </c>
      <c r="F507" s="113" t="s">
        <v>142</v>
      </c>
      <c r="G507" s="116" t="s">
        <v>1952</v>
      </c>
      <c r="H507" s="79">
        <v>46205</v>
      </c>
      <c r="I507" s="114" t="s">
        <v>79</v>
      </c>
      <c r="J507" s="117" t="s">
        <v>1953</v>
      </c>
      <c r="K507" s="118">
        <v>46198</v>
      </c>
      <c r="L507" s="114" t="s">
        <v>81</v>
      </c>
      <c r="M507" s="119">
        <v>46199</v>
      </c>
      <c r="N507" s="128">
        <v>46202</v>
      </c>
      <c r="O507" s="120">
        <f>NETWORKDAYS.INTL(K507,N507,1,$AM$2:$AM$10)-1</f>
        <v>2</v>
      </c>
      <c r="P507" s="114" t="s">
        <v>81</v>
      </c>
      <c r="Q507" s="114" t="s">
        <v>79</v>
      </c>
      <c r="R507" s="115"/>
      <c r="S507" s="145">
        <v>414</v>
      </c>
      <c r="T507" s="148" t="s">
        <v>1863</v>
      </c>
      <c r="U507" s="147">
        <v>1</v>
      </c>
      <c r="V507" s="121">
        <v>150</v>
      </c>
      <c r="W507" s="121">
        <v>375</v>
      </c>
      <c r="X507" s="114" t="s">
        <v>84</v>
      </c>
      <c r="Y507" s="115" t="s">
        <v>85</v>
      </c>
      <c r="Z507" s="115" t="s">
        <v>86</v>
      </c>
      <c r="AA507" s="113" t="s">
        <v>87</v>
      </c>
      <c r="AB507" s="122">
        <v>281.95999999999998</v>
      </c>
      <c r="AC507" s="122">
        <f>IF(C507="DENALI", AB507*0.495, IF(C507="SCHNEIDER ELECTRIC", AB507*1.136, IF(C507="WWT", AB507*1.2, AC507)))+AB507</f>
        <v>421.53019999999998</v>
      </c>
      <c r="AD507" s="129">
        <f>AC507-AB507</f>
        <v>139.5702</v>
      </c>
      <c r="AE507" s="122">
        <v>15979.31</v>
      </c>
      <c r="AF507" s="130">
        <f>AB507/U507</f>
        <v>281.95999999999998</v>
      </c>
      <c r="AG507" s="130">
        <f>AB507/V507</f>
        <v>1.8797333333333333</v>
      </c>
      <c r="AH507" s="123">
        <f>AB507/S507</f>
        <v>0.68106280193236712</v>
      </c>
      <c r="AI507" s="124" t="s">
        <v>1044</v>
      </c>
      <c r="AJ507" s="125" t="s">
        <v>349</v>
      </c>
      <c r="AK507"/>
      <c r="AM507" s="80"/>
    </row>
    <row r="508" spans="1:39" ht="28.5" customHeight="1">
      <c r="A508" s="113" t="s">
        <v>73</v>
      </c>
      <c r="B508" s="114" t="s">
        <v>778</v>
      </c>
      <c r="C508" s="155" t="s">
        <v>141</v>
      </c>
      <c r="D508" s="113" t="s">
        <v>142</v>
      </c>
      <c r="E508" s="115" t="s">
        <v>405</v>
      </c>
      <c r="F508" s="113" t="s">
        <v>109</v>
      </c>
      <c r="G508" s="116">
        <v>23406818</v>
      </c>
      <c r="H508" s="79">
        <v>46199</v>
      </c>
      <c r="I508" s="114" t="s">
        <v>79</v>
      </c>
      <c r="J508" s="277">
        <v>23406818</v>
      </c>
      <c r="K508" s="118">
        <v>46198</v>
      </c>
      <c r="L508" s="114" t="s">
        <v>81</v>
      </c>
      <c r="M508" s="119">
        <v>46199</v>
      </c>
      <c r="N508" s="128">
        <v>46199</v>
      </c>
      <c r="O508" s="120">
        <f>NETWORKDAYS.INTL(K508,N508,1,$AM$2:$AM$10)-1</f>
        <v>1</v>
      </c>
      <c r="P508" s="114" t="s">
        <v>81</v>
      </c>
      <c r="Q508" s="114" t="s">
        <v>79</v>
      </c>
      <c r="R508" s="115"/>
      <c r="S508" s="145">
        <v>598</v>
      </c>
      <c r="T508" s="148" t="s">
        <v>1954</v>
      </c>
      <c r="U508" s="147">
        <v>3</v>
      </c>
      <c r="V508" s="121">
        <v>3</v>
      </c>
      <c r="W508" s="121">
        <v>2400</v>
      </c>
      <c r="X508" s="114" t="s">
        <v>113</v>
      </c>
      <c r="Y508" s="115" t="s">
        <v>85</v>
      </c>
      <c r="Z508" s="115" t="s">
        <v>1955</v>
      </c>
      <c r="AA508" s="113" t="s">
        <v>87</v>
      </c>
      <c r="AB508" s="122">
        <v>2936</v>
      </c>
      <c r="AC508" s="122">
        <v>24309.86</v>
      </c>
      <c r="AD508" s="129">
        <f>AC508-AB508</f>
        <v>21373.86</v>
      </c>
      <c r="AE508" s="122">
        <v>308234.55</v>
      </c>
      <c r="AF508" s="130">
        <f>AB508/U508</f>
        <v>978.66666666666663</v>
      </c>
      <c r="AG508" s="130">
        <f>AB508/V508</f>
        <v>978.66666666666663</v>
      </c>
      <c r="AH508" s="123">
        <f>AB508/S508</f>
        <v>4.9096989966555187</v>
      </c>
      <c r="AI508" s="124">
        <v>1060</v>
      </c>
      <c r="AJ508" s="125" t="s">
        <v>1956</v>
      </c>
      <c r="AK508"/>
      <c r="AM508" s="80"/>
    </row>
    <row r="509" spans="1:39" ht="28.5" customHeight="1">
      <c r="A509" s="113" t="s">
        <v>73</v>
      </c>
      <c r="B509" s="114" t="s">
        <v>74</v>
      </c>
      <c r="C509" s="113" t="s">
        <v>35</v>
      </c>
      <c r="D509" s="113" t="s">
        <v>99</v>
      </c>
      <c r="E509" s="115" t="s">
        <v>1957</v>
      </c>
      <c r="F509" s="113" t="s">
        <v>109</v>
      </c>
      <c r="G509" s="116">
        <v>23411967</v>
      </c>
      <c r="H509" s="79">
        <v>46206</v>
      </c>
      <c r="I509" s="114" t="s">
        <v>79</v>
      </c>
      <c r="J509" s="117" t="s">
        <v>1958</v>
      </c>
      <c r="K509" s="118">
        <v>46199</v>
      </c>
      <c r="L509" s="114" t="s">
        <v>81</v>
      </c>
      <c r="M509" s="119">
        <v>46202</v>
      </c>
      <c r="N509" s="128">
        <v>46202</v>
      </c>
      <c r="O509" s="120">
        <f>NETWORKDAYS.INTL(K509,N509,1,$AM$2:$AM$10)-1</f>
        <v>1</v>
      </c>
      <c r="P509" s="114" t="s">
        <v>81</v>
      </c>
      <c r="Q509" s="114" t="s">
        <v>79</v>
      </c>
      <c r="R509" s="115"/>
      <c r="S509" s="145">
        <v>3318.4</v>
      </c>
      <c r="T509" s="148" t="s">
        <v>1959</v>
      </c>
      <c r="U509" s="147">
        <v>1</v>
      </c>
      <c r="V509" s="121">
        <v>1</v>
      </c>
      <c r="W509" s="121">
        <v>720</v>
      </c>
      <c r="X509" s="114" t="s">
        <v>113</v>
      </c>
      <c r="Y509" s="115" t="s">
        <v>85</v>
      </c>
      <c r="Z509" s="115" t="s">
        <v>1960</v>
      </c>
      <c r="AA509" s="113" t="s">
        <v>87</v>
      </c>
      <c r="AB509" s="122">
        <v>8561.6</v>
      </c>
      <c r="AC509" s="122">
        <f>IF(C509="DENALI", AB509*0.495, IF(C509="SCHNEIDER ELECTRIC", AB509*1.136, IF(C509="WWT", AB509*1.2, AC509)))+AB509</f>
        <v>12799.592000000001</v>
      </c>
      <c r="AD509" s="129">
        <f>AC509-AB509</f>
        <v>4237.9920000000002</v>
      </c>
      <c r="AE509" s="122">
        <v>8488.42</v>
      </c>
      <c r="AF509" s="130">
        <f>AB509/U509</f>
        <v>8561.6</v>
      </c>
      <c r="AG509" s="130">
        <f>AB509/V509</f>
        <v>8561.6</v>
      </c>
      <c r="AH509" s="123">
        <f>AB509/S509</f>
        <v>2.5800385728061719</v>
      </c>
      <c r="AI509" s="124" t="s">
        <v>147</v>
      </c>
      <c r="AJ509" s="125" t="s">
        <v>343</v>
      </c>
      <c r="AK509"/>
      <c r="AM509" s="80"/>
    </row>
    <row r="510" spans="1:39" ht="28.5" customHeight="1">
      <c r="A510" s="113" t="s">
        <v>73</v>
      </c>
      <c r="B510" s="114" t="s">
        <v>140</v>
      </c>
      <c r="C510" s="113" t="s">
        <v>35</v>
      </c>
      <c r="D510" s="113" t="s">
        <v>218</v>
      </c>
      <c r="E510" s="115" t="s">
        <v>141</v>
      </c>
      <c r="F510" s="113" t="s">
        <v>142</v>
      </c>
      <c r="G510" s="116" t="s">
        <v>1961</v>
      </c>
      <c r="H510" s="79">
        <v>46206</v>
      </c>
      <c r="I510" s="114" t="s">
        <v>79</v>
      </c>
      <c r="J510" s="117" t="s">
        <v>1962</v>
      </c>
      <c r="K510" s="118">
        <v>46199</v>
      </c>
      <c r="L510" s="114" t="s">
        <v>81</v>
      </c>
      <c r="M510" s="119">
        <v>46202</v>
      </c>
      <c r="N510" s="128">
        <v>46203</v>
      </c>
      <c r="O510" s="120">
        <f>NETWORKDAYS.INTL(K510,N510,1,$AM$2:$AM$10)-1</f>
        <v>2</v>
      </c>
      <c r="P510" s="114" t="s">
        <v>81</v>
      </c>
      <c r="Q510" s="114" t="s">
        <v>79</v>
      </c>
      <c r="R510" s="115"/>
      <c r="S510" s="145">
        <v>441</v>
      </c>
      <c r="T510" s="148" t="s">
        <v>1963</v>
      </c>
      <c r="U510" s="147">
        <v>4</v>
      </c>
      <c r="V510" s="121">
        <v>1273</v>
      </c>
      <c r="W510" s="121">
        <v>1995</v>
      </c>
      <c r="X510" s="114" t="s">
        <v>84</v>
      </c>
      <c r="Y510" s="115" t="s">
        <v>85</v>
      </c>
      <c r="Z510" s="115" t="s">
        <v>1898</v>
      </c>
      <c r="AA510" s="113" t="s">
        <v>87</v>
      </c>
      <c r="AB510" s="122">
        <v>395.74</v>
      </c>
      <c r="AC510" s="122">
        <f>IF(C510="DENALI", AB510*0.495, IF(C510="SCHNEIDER ELECTRIC", AB510*1.136, IF(C510="WWT", AB510*1.2, AC510)))+AB510</f>
        <v>591.63130000000001</v>
      </c>
      <c r="AD510" s="129">
        <f>AC510-AB510</f>
        <v>195.8913</v>
      </c>
      <c r="AE510" s="122">
        <v>197543.46</v>
      </c>
      <c r="AF510" s="130">
        <f>AB510/U510</f>
        <v>98.935000000000002</v>
      </c>
      <c r="AG510" s="130">
        <f>AB510/V510</f>
        <v>0.31087195600942658</v>
      </c>
      <c r="AH510" s="123">
        <f>AB510/S510</f>
        <v>0.89736961451247166</v>
      </c>
      <c r="AI510" s="124" t="s">
        <v>147</v>
      </c>
      <c r="AJ510" s="125" t="s">
        <v>343</v>
      </c>
      <c r="AK510"/>
      <c r="AM510" s="80"/>
    </row>
    <row r="511" spans="1:39" ht="28.5" customHeight="1">
      <c r="A511" s="113" t="s">
        <v>73</v>
      </c>
      <c r="B511" s="114" t="s">
        <v>74</v>
      </c>
      <c r="C511" s="113" t="s">
        <v>35</v>
      </c>
      <c r="D511" s="113" t="s">
        <v>99</v>
      </c>
      <c r="E511" s="115" t="s">
        <v>1736</v>
      </c>
      <c r="F511" s="113" t="s">
        <v>90</v>
      </c>
      <c r="G511" s="116" t="s">
        <v>1964</v>
      </c>
      <c r="H511" s="79">
        <v>46206</v>
      </c>
      <c r="I511" s="114" t="s">
        <v>79</v>
      </c>
      <c r="J511" s="117" t="s">
        <v>1965</v>
      </c>
      <c r="K511" s="118">
        <v>46199</v>
      </c>
      <c r="L511" s="114" t="s">
        <v>81</v>
      </c>
      <c r="M511" s="119">
        <v>46202</v>
      </c>
      <c r="N511" s="128">
        <v>46203</v>
      </c>
      <c r="O511" s="120">
        <f>NETWORKDAYS.INTL(K511,N511,1,$AM$2:$AM$10)-1</f>
        <v>2</v>
      </c>
      <c r="P511" s="114" t="s">
        <v>81</v>
      </c>
      <c r="Q511" s="114" t="s">
        <v>79</v>
      </c>
      <c r="R511" s="115"/>
      <c r="S511" s="145">
        <v>825</v>
      </c>
      <c r="T511" s="148" t="s">
        <v>1966</v>
      </c>
      <c r="U511" s="147">
        <v>1</v>
      </c>
      <c r="V511" s="121">
        <v>27</v>
      </c>
      <c r="W511" s="121">
        <v>570</v>
      </c>
      <c r="X511" s="114" t="s">
        <v>84</v>
      </c>
      <c r="Y511" s="115" t="s">
        <v>85</v>
      </c>
      <c r="Z511" s="115" t="s">
        <v>86</v>
      </c>
      <c r="AA511" s="113" t="s">
        <v>87</v>
      </c>
      <c r="AB511" s="122">
        <v>274.82</v>
      </c>
      <c r="AC511" s="122">
        <f>IF(C511="DENALI", AB511*0.495, IF(C511="SCHNEIDER ELECTRIC", AB511*1.136, IF(C511="WWT", AB511*1.2, AC511)))+AB511</f>
        <v>410.85590000000002</v>
      </c>
      <c r="AD511" s="129">
        <f>AC511-AB511</f>
        <v>136.03590000000003</v>
      </c>
      <c r="AE511" s="122">
        <v>62651.01</v>
      </c>
      <c r="AF511" s="130">
        <f>AB511/U511</f>
        <v>274.82</v>
      </c>
      <c r="AG511" s="130">
        <f>AB511/V511</f>
        <v>10.178518518518517</v>
      </c>
      <c r="AH511" s="123">
        <f>AB511/S511</f>
        <v>0.33311515151515153</v>
      </c>
      <c r="AI511" s="124" t="s">
        <v>147</v>
      </c>
      <c r="AJ511" s="125" t="s">
        <v>343</v>
      </c>
      <c r="AK511"/>
      <c r="AM511" s="80"/>
    </row>
    <row r="512" spans="1:39" ht="28.5" customHeight="1">
      <c r="A512" s="113" t="s">
        <v>73</v>
      </c>
      <c r="B512" s="114" t="s">
        <v>74</v>
      </c>
      <c r="C512" s="113" t="s">
        <v>35</v>
      </c>
      <c r="D512" s="113" t="s">
        <v>99</v>
      </c>
      <c r="E512" s="115" t="s">
        <v>1967</v>
      </c>
      <c r="F512" s="113" t="s">
        <v>92</v>
      </c>
      <c r="G512" s="116">
        <v>23432584</v>
      </c>
      <c r="H512" s="79">
        <v>46206</v>
      </c>
      <c r="I512" s="114" t="s">
        <v>79</v>
      </c>
      <c r="J512" s="117" t="s">
        <v>1968</v>
      </c>
      <c r="K512" s="118">
        <v>46199</v>
      </c>
      <c r="L512" s="114" t="s">
        <v>81</v>
      </c>
      <c r="M512" s="119">
        <v>46202</v>
      </c>
      <c r="N512" s="128">
        <v>46204</v>
      </c>
      <c r="O512" s="120">
        <f>NETWORKDAYS.INTL(K512,N512,1,$AM$2:$AM$10)-1</f>
        <v>3</v>
      </c>
      <c r="P512" s="114" t="s">
        <v>81</v>
      </c>
      <c r="Q512" s="114" t="s">
        <v>79</v>
      </c>
      <c r="R512" s="115"/>
      <c r="S512" s="145">
        <v>2326</v>
      </c>
      <c r="T512" s="148" t="s">
        <v>1969</v>
      </c>
      <c r="U512" s="147">
        <v>6</v>
      </c>
      <c r="V512" s="121">
        <v>6</v>
      </c>
      <c r="W512" s="121">
        <v>2920</v>
      </c>
      <c r="X512" s="114" t="s">
        <v>113</v>
      </c>
      <c r="Y512" s="115" t="s">
        <v>85</v>
      </c>
      <c r="Z512" s="115" t="s">
        <v>1970</v>
      </c>
      <c r="AA512" s="113" t="s">
        <v>87</v>
      </c>
      <c r="AB512" s="122">
        <v>6025.01</v>
      </c>
      <c r="AC512" s="122">
        <f>IF(C512="DENALI", AB512*0.495, IF(C512="SCHNEIDER ELECTRIC", AB512*1.136, IF(C512="WWT", AB512*1.2, AC512)))+AB512</f>
        <v>9007.3899500000007</v>
      </c>
      <c r="AD512" s="129">
        <f>AC512-AB512</f>
        <v>2982.3799500000005</v>
      </c>
      <c r="AE512" s="122">
        <v>13914.96</v>
      </c>
      <c r="AF512" s="130">
        <f>AB512/U512</f>
        <v>1004.1683333333334</v>
      </c>
      <c r="AG512" s="130">
        <f>AB512/V512</f>
        <v>1004.1683333333334</v>
      </c>
      <c r="AH512" s="123">
        <f>AB512/S512</f>
        <v>2.5902880481513328</v>
      </c>
      <c r="AI512" s="124" t="s">
        <v>155</v>
      </c>
      <c r="AJ512" s="125" t="s">
        <v>89</v>
      </c>
      <c r="AK512"/>
      <c r="AM512" s="80"/>
    </row>
    <row r="513" spans="1:39" ht="45.75">
      <c r="A513" s="113" t="s">
        <v>73</v>
      </c>
      <c r="B513" s="114" t="s">
        <v>140</v>
      </c>
      <c r="C513" s="113" t="s">
        <v>35</v>
      </c>
      <c r="D513" s="113" t="s">
        <v>99</v>
      </c>
      <c r="E513" s="115" t="s">
        <v>141</v>
      </c>
      <c r="F513" s="113" t="s">
        <v>142</v>
      </c>
      <c r="G513" s="116">
        <v>23438071</v>
      </c>
      <c r="H513" s="79">
        <v>46211</v>
      </c>
      <c r="I513" s="114" t="s">
        <v>79</v>
      </c>
      <c r="J513" s="117" t="s">
        <v>1971</v>
      </c>
      <c r="K513" s="118">
        <v>46203</v>
      </c>
      <c r="L513" s="114" t="s">
        <v>81</v>
      </c>
      <c r="M513" s="119">
        <v>46206</v>
      </c>
      <c r="N513" s="128">
        <v>46204</v>
      </c>
      <c r="O513" s="120">
        <f>NETWORKDAYS.INTL(K513,N513,1,$AM$2:$AM$10)-1</f>
        <v>1</v>
      </c>
      <c r="P513" s="114" t="s">
        <v>81</v>
      </c>
      <c r="Q513" s="114" t="s">
        <v>79</v>
      </c>
      <c r="R513" s="115"/>
      <c r="S513" s="145">
        <v>462</v>
      </c>
      <c r="T513" s="148" t="s">
        <v>1972</v>
      </c>
      <c r="U513" s="147">
        <v>19</v>
      </c>
      <c r="V513" s="121">
        <v>19</v>
      </c>
      <c r="W513" s="121">
        <v>9120</v>
      </c>
      <c r="X513" s="114" t="s">
        <v>113</v>
      </c>
      <c r="Y513" s="115" t="s">
        <v>85</v>
      </c>
      <c r="Z513" s="115" t="s">
        <v>1973</v>
      </c>
      <c r="AA513" s="113" t="s">
        <v>87</v>
      </c>
      <c r="AB513" s="122">
        <v>6831.25</v>
      </c>
      <c r="AC513" s="122">
        <f>IF(C513="DENALI", AB513*0.495, IF(C513="SCHNEIDER ELECTRIC", AB513*1.136, IF(C513="WWT", AB513*1.2, AC513)))+AB513</f>
        <v>10212.71875</v>
      </c>
      <c r="AD513" s="129">
        <f>AC513-AB513</f>
        <v>3381.46875</v>
      </c>
      <c r="AE513" s="122">
        <v>44064.04</v>
      </c>
      <c r="AF513" s="130">
        <f>AB513/U513</f>
        <v>359.53947368421052</v>
      </c>
      <c r="AG513" s="130">
        <f>AB513/V513</f>
        <v>359.53947368421052</v>
      </c>
      <c r="AH513" s="123">
        <f>AB513/S513</f>
        <v>14.786255411255411</v>
      </c>
      <c r="AI513" s="124" t="s">
        <v>155</v>
      </c>
      <c r="AJ513" s="125" t="s">
        <v>89</v>
      </c>
      <c r="AK513"/>
      <c r="AM513" s="80"/>
    </row>
    <row r="514" spans="1:39" ht="28.5" customHeight="1">
      <c r="A514" s="113" t="s">
        <v>73</v>
      </c>
      <c r="B514" s="114" t="s">
        <v>74</v>
      </c>
      <c r="C514" s="113" t="s">
        <v>35</v>
      </c>
      <c r="D514" s="113" t="s">
        <v>218</v>
      </c>
      <c r="E514" s="115" t="s">
        <v>302</v>
      </c>
      <c r="F514" s="113" t="s">
        <v>303</v>
      </c>
      <c r="G514" s="116">
        <v>23438279</v>
      </c>
      <c r="H514" s="79">
        <v>46211</v>
      </c>
      <c r="I514" s="114" t="s">
        <v>79</v>
      </c>
      <c r="J514" s="117" t="s">
        <v>1974</v>
      </c>
      <c r="K514" s="118">
        <v>46203</v>
      </c>
      <c r="L514" s="114" t="s">
        <v>81</v>
      </c>
      <c r="M514" s="119">
        <v>46206</v>
      </c>
      <c r="N514" s="128">
        <v>46204</v>
      </c>
      <c r="O514" s="120">
        <f>NETWORKDAYS.INTL(K514,N514,1,$AM$2:$AM$10)-1</f>
        <v>1</v>
      </c>
      <c r="P514" s="114" t="s">
        <v>81</v>
      </c>
      <c r="Q514" s="114" t="s">
        <v>79</v>
      </c>
      <c r="R514" s="115"/>
      <c r="S514" s="145">
        <v>602</v>
      </c>
      <c r="T514" s="148" t="s">
        <v>1975</v>
      </c>
      <c r="U514" s="147">
        <v>8</v>
      </c>
      <c r="V514" s="121">
        <v>8</v>
      </c>
      <c r="W514" s="121">
        <v>6900</v>
      </c>
      <c r="X514" s="114" t="s">
        <v>113</v>
      </c>
      <c r="Y514" s="115" t="s">
        <v>85</v>
      </c>
      <c r="Z514" s="115" t="s">
        <v>1976</v>
      </c>
      <c r="AA514" s="113" t="s">
        <v>87</v>
      </c>
      <c r="AB514" s="122">
        <v>4810</v>
      </c>
      <c r="AC514" s="122">
        <f>IF(C514="DENALI", AB514*0.495, IF(C514="SCHNEIDER ELECTRIC", AB514*1.136, IF(C514="WWT", AB514*1.2, AC514)))+AB514</f>
        <v>7190.95</v>
      </c>
      <c r="AD514" s="129">
        <f>AC514-AB514</f>
        <v>2380.9499999999998</v>
      </c>
      <c r="AE514" s="122">
        <v>767667.54</v>
      </c>
      <c r="AF514" s="130">
        <f>AB514/U514</f>
        <v>601.25</v>
      </c>
      <c r="AG514" s="130">
        <f>AB514/V514</f>
        <v>601.25</v>
      </c>
      <c r="AH514" s="123">
        <f>AB514/S514</f>
        <v>7.9900332225913617</v>
      </c>
      <c r="AI514" s="124" t="s">
        <v>97</v>
      </c>
      <c r="AJ514" s="125" t="s">
        <v>349</v>
      </c>
      <c r="AK514"/>
      <c r="AM514" s="80"/>
    </row>
    <row r="515" spans="1:39" ht="28.5" customHeight="1">
      <c r="A515" s="113" t="s">
        <v>73</v>
      </c>
      <c r="B515" s="114" t="s">
        <v>74</v>
      </c>
      <c r="C515" s="113" t="s">
        <v>35</v>
      </c>
      <c r="D515" s="113" t="s">
        <v>218</v>
      </c>
      <c r="E515" s="115" t="s">
        <v>1284</v>
      </c>
      <c r="F515" s="113" t="s">
        <v>207</v>
      </c>
      <c r="G515" s="116" t="s">
        <v>1977</v>
      </c>
      <c r="H515" s="79">
        <v>46211</v>
      </c>
      <c r="I515" s="114" t="s">
        <v>79</v>
      </c>
      <c r="J515" s="117" t="s">
        <v>1978</v>
      </c>
      <c r="K515" s="118">
        <v>46203</v>
      </c>
      <c r="L515" s="114" t="s">
        <v>81</v>
      </c>
      <c r="M515" s="119">
        <v>46206</v>
      </c>
      <c r="N515" s="128">
        <v>46204</v>
      </c>
      <c r="O515" s="120">
        <f>NETWORKDAYS.INTL(K515,N515,1,$AM$2:$AM$10)-1</f>
        <v>1</v>
      </c>
      <c r="P515" s="114" t="s">
        <v>81</v>
      </c>
      <c r="Q515" s="114" t="s">
        <v>79</v>
      </c>
      <c r="R515" s="115"/>
      <c r="S515" s="145">
        <v>169</v>
      </c>
      <c r="T515" s="148" t="s">
        <v>1979</v>
      </c>
      <c r="U515" s="147">
        <v>2</v>
      </c>
      <c r="V515" s="121">
        <v>194</v>
      </c>
      <c r="W515" s="121">
        <v>720</v>
      </c>
      <c r="X515" s="114" t="s">
        <v>84</v>
      </c>
      <c r="Y515" s="115" t="s">
        <v>85</v>
      </c>
      <c r="Z515" s="115" t="s">
        <v>86</v>
      </c>
      <c r="AA515" s="113" t="s">
        <v>87</v>
      </c>
      <c r="AB515" s="122">
        <v>293.56</v>
      </c>
      <c r="AC515" s="122">
        <f>IF(C515="DENALI", AB515*0.495, IF(C515="SCHNEIDER ELECTRIC", AB515*1.136, IF(C515="WWT", AB515*1.2, AC515)))+AB515</f>
        <v>438.87220000000002</v>
      </c>
      <c r="AD515" s="129">
        <f>AC515-AB515</f>
        <v>145.31220000000002</v>
      </c>
      <c r="AE515" s="122">
        <v>29973</v>
      </c>
      <c r="AF515" s="130">
        <f>AB515/U515</f>
        <v>146.78</v>
      </c>
      <c r="AG515" s="130">
        <f>AB515/V515</f>
        <v>1.5131958762886597</v>
      </c>
      <c r="AH515" s="123">
        <f>AB515/S515</f>
        <v>1.7370414201183433</v>
      </c>
      <c r="AI515" s="124" t="s">
        <v>97</v>
      </c>
      <c r="AJ515" s="125" t="s">
        <v>349</v>
      </c>
      <c r="AK515"/>
      <c r="AM515" s="80"/>
    </row>
    <row r="516" spans="1:39" ht="28.5" customHeight="1">
      <c r="A516" s="113" t="s">
        <v>73</v>
      </c>
      <c r="B516" s="114" t="s">
        <v>74</v>
      </c>
      <c r="C516" s="113" t="s">
        <v>35</v>
      </c>
      <c r="D516" s="113" t="s">
        <v>218</v>
      </c>
      <c r="E516" s="115" t="s">
        <v>1190</v>
      </c>
      <c r="F516" s="113" t="s">
        <v>90</v>
      </c>
      <c r="G516" s="116" t="s">
        <v>1980</v>
      </c>
      <c r="H516" s="79">
        <v>46211</v>
      </c>
      <c r="I516" s="114" t="s">
        <v>79</v>
      </c>
      <c r="J516" s="117" t="s">
        <v>1981</v>
      </c>
      <c r="K516" s="118">
        <v>46203</v>
      </c>
      <c r="L516" s="114" t="s">
        <v>81</v>
      </c>
      <c r="M516" s="119">
        <v>46206</v>
      </c>
      <c r="N516" s="128">
        <v>46210</v>
      </c>
      <c r="O516" s="120">
        <f>NETWORKDAYS.INTL(K516,N516,1,$AM$2:$AM$10)-1</f>
        <v>4</v>
      </c>
      <c r="P516" s="114" t="s">
        <v>81</v>
      </c>
      <c r="Q516" s="114" t="s">
        <v>79</v>
      </c>
      <c r="R516" s="115"/>
      <c r="S516" s="145">
        <v>2253</v>
      </c>
      <c r="T516" s="148" t="s">
        <v>1982</v>
      </c>
      <c r="U516" s="147">
        <v>2</v>
      </c>
      <c r="V516" s="121">
        <v>1073</v>
      </c>
      <c r="W516" s="121">
        <v>835</v>
      </c>
      <c r="X516" s="114" t="s">
        <v>84</v>
      </c>
      <c r="Y516" s="115" t="s">
        <v>85</v>
      </c>
      <c r="Z516" s="115" t="s">
        <v>86</v>
      </c>
      <c r="AA516" s="113" t="s">
        <v>87</v>
      </c>
      <c r="AB516" s="122">
        <v>387.28</v>
      </c>
      <c r="AC516" s="122">
        <f>IF(C516="DENALI", AB516*0.495, IF(C516="SCHNEIDER ELECTRIC", AB516*1.136, IF(C516="WWT", AB516*1.2, AC516)))+AB516</f>
        <v>578.98360000000002</v>
      </c>
      <c r="AD516" s="129">
        <f>AC516-AB516</f>
        <v>191.70360000000005</v>
      </c>
      <c r="AE516" s="122">
        <v>35998.5</v>
      </c>
      <c r="AF516" s="130">
        <f>AB516/U516</f>
        <v>193.64</v>
      </c>
      <c r="AG516" s="130">
        <f>AB516/V516</f>
        <v>0.36093196644920783</v>
      </c>
      <c r="AH516" s="123">
        <f>AB516/S516</f>
        <v>0.17189525077674211</v>
      </c>
      <c r="AI516" s="124" t="s">
        <v>97</v>
      </c>
      <c r="AJ516" s="125" t="s">
        <v>349</v>
      </c>
      <c r="AK516"/>
      <c r="AM516" s="80"/>
    </row>
    <row r="517" spans="1:39" ht="28.5" customHeight="1">
      <c r="A517" s="113" t="s">
        <v>73</v>
      </c>
      <c r="B517" s="114" t="s">
        <v>74</v>
      </c>
      <c r="C517" s="113" t="s">
        <v>35</v>
      </c>
      <c r="D517" s="113" t="s">
        <v>218</v>
      </c>
      <c r="E517" s="115" t="s">
        <v>1086</v>
      </c>
      <c r="F517" s="113" t="s">
        <v>218</v>
      </c>
      <c r="G517" s="116" t="s">
        <v>1983</v>
      </c>
      <c r="H517" s="79">
        <v>46211</v>
      </c>
      <c r="I517" s="114" t="s">
        <v>79</v>
      </c>
      <c r="J517" s="117" t="s">
        <v>1984</v>
      </c>
      <c r="K517" s="118">
        <v>46203</v>
      </c>
      <c r="L517" s="114" t="s">
        <v>81</v>
      </c>
      <c r="M517" s="119">
        <v>46204</v>
      </c>
      <c r="N517" s="128">
        <v>46204</v>
      </c>
      <c r="O517" s="120">
        <f>NETWORKDAYS.INTL(K517,N517,1,$AM$2:$AM$10)-1</f>
        <v>1</v>
      </c>
      <c r="P517" s="114" t="s">
        <v>81</v>
      </c>
      <c r="Q517" s="114" t="s">
        <v>79</v>
      </c>
      <c r="R517" s="115"/>
      <c r="S517" s="145">
        <v>123.7</v>
      </c>
      <c r="T517" s="148" t="s">
        <v>1985</v>
      </c>
      <c r="U517" s="147">
        <v>2</v>
      </c>
      <c r="V517" s="121">
        <v>194</v>
      </c>
      <c r="W517" s="121">
        <v>720</v>
      </c>
      <c r="X517" s="114" t="s">
        <v>84</v>
      </c>
      <c r="Y517" s="115" t="s">
        <v>85</v>
      </c>
      <c r="Z517" s="115" t="s">
        <v>1540</v>
      </c>
      <c r="AA517" s="113" t="s">
        <v>87</v>
      </c>
      <c r="AB517" s="122">
        <v>179.91</v>
      </c>
      <c r="AC517" s="122">
        <f>IF(C517="DENALI", AB517*0.495, IF(C517="SCHNEIDER ELECTRIC", AB517*1.136, IF(C517="WWT", AB517*1.2, AC517)))+AB517</f>
        <v>268.96544999999998</v>
      </c>
      <c r="AD517" s="129">
        <f>AC517-AB517</f>
        <v>89.055449999999979</v>
      </c>
      <c r="AE517" s="122">
        <v>29973</v>
      </c>
      <c r="AF517" s="130">
        <f>AB517/U517</f>
        <v>89.954999999999998</v>
      </c>
      <c r="AG517" s="130">
        <f>AB517/V517</f>
        <v>0.92737113402061855</v>
      </c>
      <c r="AH517" s="123">
        <f>AB517/S517</f>
        <v>1.4544058205335488</v>
      </c>
      <c r="AI517" s="124" t="s">
        <v>97</v>
      </c>
      <c r="AJ517" s="125" t="s">
        <v>349</v>
      </c>
      <c r="AK517"/>
      <c r="AM517" s="80"/>
    </row>
    <row r="518" spans="1:39" ht="91.5">
      <c r="A518" s="113" t="s">
        <v>73</v>
      </c>
      <c r="B518" s="114" t="s">
        <v>140</v>
      </c>
      <c r="C518" s="113" t="s">
        <v>35</v>
      </c>
      <c r="D518" s="113" t="s">
        <v>99</v>
      </c>
      <c r="E518" s="115" t="s">
        <v>141</v>
      </c>
      <c r="F518" s="113" t="s">
        <v>142</v>
      </c>
      <c r="G518" s="116">
        <v>23446838</v>
      </c>
      <c r="H518" s="79">
        <v>46211</v>
      </c>
      <c r="I518" s="114" t="s">
        <v>79</v>
      </c>
      <c r="J518" s="117" t="s">
        <v>1986</v>
      </c>
      <c r="K518" s="118">
        <v>46203</v>
      </c>
      <c r="L518" s="114" t="s">
        <v>81</v>
      </c>
      <c r="M518" s="119">
        <v>46206</v>
      </c>
      <c r="N518" s="128">
        <v>46206</v>
      </c>
      <c r="O518" s="120">
        <f>NETWORKDAYS.INTL(K518,N518,1,$AM$2:$AM$10)-1</f>
        <v>2</v>
      </c>
      <c r="P518" s="114" t="s">
        <v>81</v>
      </c>
      <c r="Q518" s="114" t="s">
        <v>79</v>
      </c>
      <c r="R518" s="115"/>
      <c r="S518" s="145">
        <v>2435</v>
      </c>
      <c r="T518" s="148" t="s">
        <v>1987</v>
      </c>
      <c r="U518" s="147">
        <v>15</v>
      </c>
      <c r="V518" s="121">
        <v>15</v>
      </c>
      <c r="W518" s="121">
        <v>7200</v>
      </c>
      <c r="X518" s="114" t="s">
        <v>113</v>
      </c>
      <c r="Y518" s="115" t="s">
        <v>85</v>
      </c>
      <c r="Z518" s="115" t="s">
        <v>1988</v>
      </c>
      <c r="AA518" s="113" t="s">
        <v>87</v>
      </c>
      <c r="AB518" s="122">
        <v>6715.06</v>
      </c>
      <c r="AC518" s="122">
        <f>IF(C518="DENALI", AB518*0.495, IF(C518="SCHNEIDER ELECTRIC", AB518*1.136, IF(C518="WWT", AB518*1.2, AC518)))+AB518</f>
        <v>10039.0147</v>
      </c>
      <c r="AD518" s="129">
        <f>AC518-AB518</f>
        <v>3323.9546999999993</v>
      </c>
      <c r="AE518" s="122">
        <v>9276.64</v>
      </c>
      <c r="AF518" s="130">
        <f>AB518/U518</f>
        <v>447.6706666666667</v>
      </c>
      <c r="AG518" s="130">
        <f>AB518/V518</f>
        <v>447.6706666666667</v>
      </c>
      <c r="AH518" s="123">
        <f>AB518/S518</f>
        <v>2.7577248459958934</v>
      </c>
      <c r="AI518" s="124" t="s">
        <v>183</v>
      </c>
      <c r="AJ518" s="125" t="s">
        <v>89</v>
      </c>
      <c r="AK518"/>
      <c r="AM518" s="80"/>
    </row>
    <row r="519" spans="1:39" ht="28.5" customHeight="1">
      <c r="A519" s="113" t="s">
        <v>73</v>
      </c>
      <c r="B519" s="114" t="s">
        <v>74</v>
      </c>
      <c r="C519" s="113" t="s">
        <v>35</v>
      </c>
      <c r="D519" s="113" t="s">
        <v>99</v>
      </c>
      <c r="E519" s="115" t="s">
        <v>1989</v>
      </c>
      <c r="F519" s="113" t="s">
        <v>92</v>
      </c>
      <c r="G519" s="116">
        <v>23450170</v>
      </c>
      <c r="H519" s="79">
        <v>46211</v>
      </c>
      <c r="I519" s="114" t="s">
        <v>79</v>
      </c>
      <c r="J519" s="117" t="s">
        <v>1990</v>
      </c>
      <c r="K519" s="118">
        <v>46203</v>
      </c>
      <c r="L519" s="114" t="s">
        <v>81</v>
      </c>
      <c r="M519" s="119">
        <v>46206</v>
      </c>
      <c r="N519" s="128">
        <v>46209</v>
      </c>
      <c r="O519" s="120">
        <f>NETWORKDAYS.INTL(K519,N519,1,$AM$2:$AM$10)-1</f>
        <v>3</v>
      </c>
      <c r="P519" s="114" t="s">
        <v>81</v>
      </c>
      <c r="Q519" s="114" t="s">
        <v>79</v>
      </c>
      <c r="R519" s="115"/>
      <c r="S519" s="145">
        <v>2452</v>
      </c>
      <c r="T519" s="148" t="s">
        <v>1991</v>
      </c>
      <c r="U519" s="147">
        <v>10</v>
      </c>
      <c r="V519" s="121">
        <v>10</v>
      </c>
      <c r="W519" s="121">
        <v>8360</v>
      </c>
      <c r="X519" s="114" t="s">
        <v>113</v>
      </c>
      <c r="Y519" s="115" t="s">
        <v>85</v>
      </c>
      <c r="Z519" s="115" t="s">
        <v>1992</v>
      </c>
      <c r="AA519" s="113" t="s">
        <v>87</v>
      </c>
      <c r="AB519" s="122">
        <v>6305</v>
      </c>
      <c r="AC519" s="122">
        <f>IF(C519="DENALI", AB519*0.495, IF(C519="SCHNEIDER ELECTRIC", AB519*1.136, IF(C519="WWT", AB519*1.2, AC519)))+AB519</f>
        <v>9425.9750000000004</v>
      </c>
      <c r="AD519" s="129">
        <f>AC519-AB519</f>
        <v>3120.9750000000004</v>
      </c>
      <c r="AE519" s="122">
        <v>142596.85999999999</v>
      </c>
      <c r="AF519" s="130">
        <f>AB519/U519</f>
        <v>630.5</v>
      </c>
      <c r="AG519" s="130">
        <f>AB519/V519</f>
        <v>630.5</v>
      </c>
      <c r="AH519" s="123">
        <f>AB519/S519</f>
        <v>2.5713703099510603</v>
      </c>
      <c r="AI519" s="124" t="s">
        <v>147</v>
      </c>
      <c r="AJ519" s="125" t="s">
        <v>343</v>
      </c>
      <c r="AK519"/>
      <c r="AM519" s="80"/>
    </row>
    <row r="520" spans="1:39" ht="28.5" customHeight="1">
      <c r="A520" s="113" t="s">
        <v>73</v>
      </c>
      <c r="B520" s="114" t="s">
        <v>74</v>
      </c>
      <c r="C520" s="113" t="s">
        <v>35</v>
      </c>
      <c r="D520" s="113" t="s">
        <v>99</v>
      </c>
      <c r="E520" s="115" t="s">
        <v>1066</v>
      </c>
      <c r="F520" s="113" t="s">
        <v>370</v>
      </c>
      <c r="G520" s="116">
        <v>23446037</v>
      </c>
      <c r="H520" s="79">
        <v>46211</v>
      </c>
      <c r="I520" s="114" t="s">
        <v>79</v>
      </c>
      <c r="J520" s="117" t="s">
        <v>1993</v>
      </c>
      <c r="K520" s="118">
        <v>46203</v>
      </c>
      <c r="L520" s="114" t="s">
        <v>81</v>
      </c>
      <c r="M520" s="119">
        <v>46206</v>
      </c>
      <c r="N520" s="128">
        <v>46206</v>
      </c>
      <c r="O520" s="120">
        <f>NETWORKDAYS.INTL(K520,N520,1,$AM$2:$AM$10)-1</f>
        <v>2</v>
      </c>
      <c r="P520" s="114" t="s">
        <v>81</v>
      </c>
      <c r="Q520" s="114" t="s">
        <v>79</v>
      </c>
      <c r="R520" s="115"/>
      <c r="S520" s="145">
        <v>2717</v>
      </c>
      <c r="T520" s="148" t="s">
        <v>1994</v>
      </c>
      <c r="U520" s="147">
        <v>1</v>
      </c>
      <c r="V520" s="121">
        <v>1</v>
      </c>
      <c r="W520" s="121">
        <v>720</v>
      </c>
      <c r="X520" s="114" t="s">
        <v>113</v>
      </c>
      <c r="Y520" s="115" t="s">
        <v>85</v>
      </c>
      <c r="Z520" s="115" t="s">
        <v>1995</v>
      </c>
      <c r="AA520" s="113" t="s">
        <v>87</v>
      </c>
      <c r="AB520" s="122">
        <v>6461.5</v>
      </c>
      <c r="AC520" s="122">
        <f>IF(C520="DENALI", AB520*0.495, IF(C520="SCHNEIDER ELECTRIC", AB520*1.136, IF(C520="WWT", AB520*1.2, AC520)))+AB520</f>
        <v>9659.942500000001</v>
      </c>
      <c r="AD520" s="129">
        <f>AC520-AB520</f>
        <v>3198.442500000001</v>
      </c>
      <c r="AE520" s="122">
        <v>9407.68</v>
      </c>
      <c r="AF520" s="130">
        <f>AB520/U520</f>
        <v>6461.5</v>
      </c>
      <c r="AG520" s="130">
        <f>AB520/V520</f>
        <v>6461.5</v>
      </c>
      <c r="AH520" s="123">
        <f>AB520/S520</f>
        <v>2.3781744571218257</v>
      </c>
      <c r="AI520" s="124" t="s">
        <v>97</v>
      </c>
      <c r="AJ520" s="125" t="s">
        <v>349</v>
      </c>
      <c r="AK520"/>
      <c r="AM520" s="80"/>
    </row>
    <row r="521" spans="1:39" ht="28.5" customHeight="1">
      <c r="A521" s="113" t="s">
        <v>73</v>
      </c>
      <c r="B521" s="114" t="s">
        <v>74</v>
      </c>
      <c r="C521" s="113" t="s">
        <v>35</v>
      </c>
      <c r="D521" s="113" t="s">
        <v>99</v>
      </c>
      <c r="E521" s="115" t="s">
        <v>1259</v>
      </c>
      <c r="F521" s="113" t="s">
        <v>99</v>
      </c>
      <c r="G521" s="116">
        <v>23446193</v>
      </c>
      <c r="H521" s="79">
        <v>46211</v>
      </c>
      <c r="I521" s="114" t="s">
        <v>79</v>
      </c>
      <c r="J521" s="117" t="s">
        <v>1996</v>
      </c>
      <c r="K521" s="118">
        <v>46203</v>
      </c>
      <c r="L521" s="114" t="s">
        <v>81</v>
      </c>
      <c r="M521" s="119">
        <v>46203</v>
      </c>
      <c r="N521" s="128">
        <v>46203</v>
      </c>
      <c r="O521" s="120">
        <f>NETWORKDAYS.INTL(K521,N521,1,$AM$2:$AM$10)-1</f>
        <v>0</v>
      </c>
      <c r="P521" s="114" t="s">
        <v>81</v>
      </c>
      <c r="Q521" s="114" t="s">
        <v>79</v>
      </c>
      <c r="R521" s="115"/>
      <c r="S521" s="145">
        <v>167</v>
      </c>
      <c r="T521" s="148" t="s">
        <v>1997</v>
      </c>
      <c r="U521" s="147">
        <v>1</v>
      </c>
      <c r="V521" s="121">
        <v>1</v>
      </c>
      <c r="W521" s="121">
        <v>720</v>
      </c>
      <c r="X521" s="114" t="s">
        <v>113</v>
      </c>
      <c r="Y521" s="115" t="s">
        <v>85</v>
      </c>
      <c r="Z521" s="115" t="s">
        <v>1998</v>
      </c>
      <c r="AA521" s="113" t="s">
        <v>87</v>
      </c>
      <c r="AB521" s="122">
        <v>1356.26</v>
      </c>
      <c r="AC521" s="122">
        <f>IF(C521="DENALI", AB521*0.495, IF(C521="SCHNEIDER ELECTRIC", AB521*1.136, IF(C521="WWT", AB521*1.2, AC521)))+AB521</f>
        <v>2027.6087</v>
      </c>
      <c r="AD521" s="129">
        <f>AC521-AB521</f>
        <v>671.34870000000001</v>
      </c>
      <c r="AE521" s="122">
        <v>9407.68</v>
      </c>
      <c r="AF521" s="130">
        <f>AB521/U521</f>
        <v>1356.26</v>
      </c>
      <c r="AG521" s="130">
        <f>AB521/V521</f>
        <v>1356.26</v>
      </c>
      <c r="AH521" s="123">
        <f>AB521/S521</f>
        <v>8.1213173652694604</v>
      </c>
      <c r="AI521" s="124" t="s">
        <v>97</v>
      </c>
      <c r="AJ521" s="125" t="s">
        <v>349</v>
      </c>
      <c r="AK521"/>
      <c r="AM521" s="80"/>
    </row>
    <row r="522" spans="1:39" ht="28.5" customHeight="1">
      <c r="A522" s="113" t="s">
        <v>73</v>
      </c>
      <c r="B522" s="114" t="s">
        <v>74</v>
      </c>
      <c r="C522" s="113" t="s">
        <v>35</v>
      </c>
      <c r="D522" s="113" t="s">
        <v>99</v>
      </c>
      <c r="E522" s="115" t="s">
        <v>1086</v>
      </c>
      <c r="F522" s="113" t="s">
        <v>218</v>
      </c>
      <c r="G522" s="116">
        <v>23446324</v>
      </c>
      <c r="H522" s="79">
        <v>46211</v>
      </c>
      <c r="I522" s="114" t="s">
        <v>79</v>
      </c>
      <c r="J522" s="117" t="s">
        <v>1999</v>
      </c>
      <c r="K522" s="118">
        <v>46203</v>
      </c>
      <c r="L522" s="114" t="s">
        <v>81</v>
      </c>
      <c r="M522" s="119">
        <v>46205</v>
      </c>
      <c r="N522" s="128">
        <v>46206</v>
      </c>
      <c r="O522" s="120">
        <f>NETWORKDAYS.INTL(K522,N522,1,$AM$2:$AM$10)-1</f>
        <v>2</v>
      </c>
      <c r="P522" s="114" t="s">
        <v>81</v>
      </c>
      <c r="Q522" s="114" t="s">
        <v>79</v>
      </c>
      <c r="R522" s="115"/>
      <c r="S522" s="145">
        <v>2256</v>
      </c>
      <c r="T522" s="148" t="s">
        <v>2000</v>
      </c>
      <c r="U522" s="147">
        <v>2</v>
      </c>
      <c r="V522" s="121">
        <v>2</v>
      </c>
      <c r="W522" s="121">
        <v>1700</v>
      </c>
      <c r="X522" s="114" t="s">
        <v>113</v>
      </c>
      <c r="Y522" s="115" t="s">
        <v>85</v>
      </c>
      <c r="Z522" s="115" t="s">
        <v>2001</v>
      </c>
      <c r="AA522" s="113" t="s">
        <v>87</v>
      </c>
      <c r="AB522" s="122">
        <v>5633.23</v>
      </c>
      <c r="AC522" s="122">
        <f>IF(C522="DENALI", AB522*0.495, IF(C522="SCHNEIDER ELECTRIC", AB522*1.136, IF(C522="WWT", AB522*1.2, AC522)))+AB522</f>
        <v>8421.6788500000002</v>
      </c>
      <c r="AD522" s="129">
        <f>AC522-AB522</f>
        <v>2788.4488500000007</v>
      </c>
      <c r="AE522" s="122">
        <v>37630.720000000001</v>
      </c>
      <c r="AF522" s="130">
        <f>AB522/U522</f>
        <v>2816.6149999999998</v>
      </c>
      <c r="AG522" s="130">
        <f>AB522/V522</f>
        <v>2816.6149999999998</v>
      </c>
      <c r="AH522" s="123">
        <f>AB522/S522</f>
        <v>2.496999113475177</v>
      </c>
      <c r="AI522" s="124" t="s">
        <v>97</v>
      </c>
      <c r="AJ522" s="125" t="s">
        <v>349</v>
      </c>
      <c r="AK522"/>
      <c r="AM522" s="80"/>
    </row>
    <row r="523" spans="1:39" ht="28.5" customHeight="1">
      <c r="A523" s="113" t="s">
        <v>73</v>
      </c>
      <c r="B523" s="114" t="s">
        <v>74</v>
      </c>
      <c r="C523" s="113" t="s">
        <v>35</v>
      </c>
      <c r="D523" s="113" t="s">
        <v>99</v>
      </c>
      <c r="E523" s="115" t="s">
        <v>951</v>
      </c>
      <c r="F523" s="113" t="s">
        <v>109</v>
      </c>
      <c r="G523" s="116">
        <v>23446548</v>
      </c>
      <c r="H523" s="79">
        <v>46211</v>
      </c>
      <c r="I523" s="114" t="s">
        <v>79</v>
      </c>
      <c r="J523" s="117" t="s">
        <v>2002</v>
      </c>
      <c r="K523" s="118">
        <v>46203</v>
      </c>
      <c r="L523" s="114" t="s">
        <v>81</v>
      </c>
      <c r="M523" s="119">
        <v>46206</v>
      </c>
      <c r="N523" s="128">
        <v>46206</v>
      </c>
      <c r="O523" s="120">
        <f>NETWORKDAYS.INTL(K523,N523,1,$AM$2:$AM$10)-1</f>
        <v>2</v>
      </c>
      <c r="P523" s="114" t="s">
        <v>81</v>
      </c>
      <c r="Q523" s="114" t="s">
        <v>79</v>
      </c>
      <c r="R523" s="115"/>
      <c r="S523" s="145">
        <v>968</v>
      </c>
      <c r="T523" s="148" t="s">
        <v>2003</v>
      </c>
      <c r="U523" s="147">
        <v>5</v>
      </c>
      <c r="V523" s="121">
        <v>5</v>
      </c>
      <c r="W523" s="121">
        <v>2100</v>
      </c>
      <c r="X523" s="114" t="s">
        <v>113</v>
      </c>
      <c r="Y523" s="115" t="s">
        <v>85</v>
      </c>
      <c r="Z523" s="115" t="s">
        <v>2004</v>
      </c>
      <c r="AA523" s="113" t="s">
        <v>87</v>
      </c>
      <c r="AB523" s="122">
        <v>7919.34</v>
      </c>
      <c r="AC523" s="122">
        <f>IF(C523="DENALI", AB523*0.495, IF(C523="SCHNEIDER ELECTRIC", AB523*1.136, IF(C523="WWT", AB523*1.2, AC523)))+AB523</f>
        <v>11839.4133</v>
      </c>
      <c r="AD523" s="129">
        <f>AC523-AB523</f>
        <v>3920.0733</v>
      </c>
      <c r="AE523" s="122">
        <v>47038.400000000001</v>
      </c>
      <c r="AF523" s="130">
        <f>AB523/U523</f>
        <v>1583.8679999999999</v>
      </c>
      <c r="AG523" s="130">
        <f>AB523/V523</f>
        <v>1583.8679999999999</v>
      </c>
      <c r="AH523" s="123">
        <f>AB523/S523</f>
        <v>8.1811363636363641</v>
      </c>
      <c r="AI523" s="124" t="s">
        <v>97</v>
      </c>
      <c r="AJ523" s="125" t="s">
        <v>349</v>
      </c>
      <c r="AK523"/>
      <c r="AM523" s="80"/>
    </row>
    <row r="524" spans="1:39" ht="28.5" customHeight="1">
      <c r="A524" s="113" t="s">
        <v>73</v>
      </c>
      <c r="B524" s="114" t="s">
        <v>74</v>
      </c>
      <c r="C524" s="113" t="s">
        <v>35</v>
      </c>
      <c r="D524" s="113" t="s">
        <v>99</v>
      </c>
      <c r="E524" s="115" t="s">
        <v>1190</v>
      </c>
      <c r="F524" s="113" t="s">
        <v>90</v>
      </c>
      <c r="G524" s="116">
        <v>23446856</v>
      </c>
      <c r="H524" s="79">
        <v>46211</v>
      </c>
      <c r="I524" s="114" t="s">
        <v>79</v>
      </c>
      <c r="J524" s="117" t="s">
        <v>2005</v>
      </c>
      <c r="K524" s="118">
        <v>46203</v>
      </c>
      <c r="L524" s="114" t="s">
        <v>81</v>
      </c>
      <c r="M524" s="119">
        <v>46204</v>
      </c>
      <c r="N524" s="128">
        <v>46204</v>
      </c>
      <c r="O524" s="120">
        <f>NETWORKDAYS.INTL(K524,N524,1,$AM$2:$AM$10)-1</f>
        <v>1</v>
      </c>
      <c r="P524" s="114" t="s">
        <v>81</v>
      </c>
      <c r="Q524" s="114" t="s">
        <v>79</v>
      </c>
      <c r="R524" s="115"/>
      <c r="S524" s="145">
        <v>973</v>
      </c>
      <c r="T524" s="148" t="s">
        <v>2006</v>
      </c>
      <c r="U524" s="147">
        <v>2</v>
      </c>
      <c r="V524" s="121">
        <v>2</v>
      </c>
      <c r="W524" s="121">
        <v>1700</v>
      </c>
      <c r="X524" s="114" t="s">
        <v>113</v>
      </c>
      <c r="Y524" s="115" t="s">
        <v>85</v>
      </c>
      <c r="Z524" s="115" t="s">
        <v>782</v>
      </c>
      <c r="AA524" s="113" t="s">
        <v>87</v>
      </c>
      <c r="AB524" s="122">
        <v>2409.19</v>
      </c>
      <c r="AC524" s="122">
        <f>IF(C524="DENALI", AB524*0.495, IF(C524="SCHNEIDER ELECTRIC", AB524*1.136, IF(C524="WWT", AB524*1.2, AC524)))+AB524</f>
        <v>3601.7390500000001</v>
      </c>
      <c r="AD524" s="129">
        <f>AC524-AB524</f>
        <v>1192.5490500000001</v>
      </c>
      <c r="AE524" s="122">
        <v>47038.400000000001</v>
      </c>
      <c r="AF524" s="130">
        <f>AB524/U524</f>
        <v>1204.595</v>
      </c>
      <c r="AG524" s="130">
        <f>AB524/V524</f>
        <v>1204.595</v>
      </c>
      <c r="AH524" s="123">
        <f>AB524/S524</f>
        <v>2.476043165467626</v>
      </c>
      <c r="AI524" s="124" t="s">
        <v>97</v>
      </c>
      <c r="AJ524" s="125" t="s">
        <v>349</v>
      </c>
      <c r="AK524"/>
      <c r="AM524" s="80"/>
    </row>
    <row r="525" spans="1:39" ht="28.5" customHeight="1">
      <c r="A525" s="113" t="s">
        <v>73</v>
      </c>
      <c r="B525" s="114" t="s">
        <v>74</v>
      </c>
      <c r="C525" s="113" t="s">
        <v>35</v>
      </c>
      <c r="D525" s="113" t="s">
        <v>99</v>
      </c>
      <c r="E525" s="115" t="s">
        <v>1194</v>
      </c>
      <c r="F525" s="113" t="s">
        <v>90</v>
      </c>
      <c r="G525" s="116">
        <v>23447024</v>
      </c>
      <c r="H525" s="79">
        <v>46211</v>
      </c>
      <c r="I525" s="114" t="s">
        <v>79</v>
      </c>
      <c r="J525" s="117" t="s">
        <v>2007</v>
      </c>
      <c r="K525" s="118">
        <v>46203</v>
      </c>
      <c r="L525" s="114" t="s">
        <v>81</v>
      </c>
      <c r="M525" s="119">
        <v>46205</v>
      </c>
      <c r="N525" s="128">
        <v>46205</v>
      </c>
      <c r="O525" s="120">
        <f>NETWORKDAYS.INTL(K525,N525,1,$AM$2:$AM$10)-1</f>
        <v>2</v>
      </c>
      <c r="P525" s="114" t="s">
        <v>81</v>
      </c>
      <c r="Q525" s="114" t="s">
        <v>79</v>
      </c>
      <c r="R525" s="115"/>
      <c r="S525" s="145">
        <v>1874</v>
      </c>
      <c r="T525" s="148" t="s">
        <v>2008</v>
      </c>
      <c r="U525" s="147">
        <v>2</v>
      </c>
      <c r="V525" s="121">
        <v>2</v>
      </c>
      <c r="W525" s="121">
        <v>1700</v>
      </c>
      <c r="X525" s="114" t="s">
        <v>113</v>
      </c>
      <c r="Y525" s="115" t="s">
        <v>85</v>
      </c>
      <c r="Z525" s="115" t="s">
        <v>2009</v>
      </c>
      <c r="AA525" s="113" t="s">
        <v>87</v>
      </c>
      <c r="AB525" s="122">
        <v>5640.68</v>
      </c>
      <c r="AC525" s="122">
        <f>IF(C525="DENALI", AB525*0.495, IF(C525="SCHNEIDER ELECTRIC", AB525*1.136, IF(C525="WWT", AB525*1.2, AC525)))+AB525</f>
        <v>8432.8166000000001</v>
      </c>
      <c r="AD525" s="129">
        <f>AC525-AB525</f>
        <v>2792.1365999999998</v>
      </c>
      <c r="AE525" s="122">
        <v>18815.36</v>
      </c>
      <c r="AF525" s="130">
        <f>AB525/U525</f>
        <v>2820.34</v>
      </c>
      <c r="AG525" s="130">
        <f>AB525/V525</f>
        <v>2820.34</v>
      </c>
      <c r="AH525" s="123">
        <f>AB525/S525</f>
        <v>3.0099679829242265</v>
      </c>
      <c r="AI525" s="124" t="s">
        <v>97</v>
      </c>
      <c r="AJ525" s="125" t="s">
        <v>349</v>
      </c>
      <c r="AK525"/>
      <c r="AM525" s="80"/>
    </row>
    <row r="526" spans="1:39" ht="28.5" customHeight="1">
      <c r="A526" s="113" t="s">
        <v>73</v>
      </c>
      <c r="B526" s="114" t="s">
        <v>74</v>
      </c>
      <c r="C526" s="113" t="s">
        <v>35</v>
      </c>
      <c r="D526" s="113" t="s">
        <v>99</v>
      </c>
      <c r="E526" s="115" t="s">
        <v>2010</v>
      </c>
      <c r="F526" s="113" t="s">
        <v>75</v>
      </c>
      <c r="G526" s="116">
        <v>23447031</v>
      </c>
      <c r="H526" s="79">
        <v>46211</v>
      </c>
      <c r="I526" s="114" t="s">
        <v>79</v>
      </c>
      <c r="J526" s="117" t="s">
        <v>2011</v>
      </c>
      <c r="K526" s="118">
        <v>46203</v>
      </c>
      <c r="L526" s="114" t="s">
        <v>81</v>
      </c>
      <c r="M526" s="119">
        <v>46206</v>
      </c>
      <c r="N526" s="128">
        <v>46209</v>
      </c>
      <c r="O526" s="120">
        <f>NETWORKDAYS.INTL(K526,N526,1,$AM$2:$AM$10)-1</f>
        <v>3</v>
      </c>
      <c r="P526" s="114" t="s">
        <v>81</v>
      </c>
      <c r="Q526" s="114" t="s">
        <v>79</v>
      </c>
      <c r="R526" s="115"/>
      <c r="S526" s="145">
        <v>2737</v>
      </c>
      <c r="T526" s="148" t="s">
        <v>2012</v>
      </c>
      <c r="U526" s="147">
        <v>1</v>
      </c>
      <c r="V526" s="121">
        <v>1</v>
      </c>
      <c r="W526" s="121">
        <v>720</v>
      </c>
      <c r="X526" s="114" t="s">
        <v>113</v>
      </c>
      <c r="Y526" s="169" t="s">
        <v>85</v>
      </c>
      <c r="Z526" s="169" t="s">
        <v>2013</v>
      </c>
      <c r="AA526" s="202" t="s">
        <v>87</v>
      </c>
      <c r="AB526" s="179">
        <v>7053.69</v>
      </c>
      <c r="AC526" s="179">
        <f>IF(C526="DENALI", AB526*0.495, IF(C526="SCHNEIDER ELECTRIC", AB526*1.136, IF(C526="WWT", AB526*1.2, AC526)))+AB526</f>
        <v>10545.26655</v>
      </c>
      <c r="AD526" s="288">
        <f>AC526-AB526</f>
        <v>3491.5765500000007</v>
      </c>
      <c r="AE526" s="179">
        <v>9407.68</v>
      </c>
      <c r="AF526" s="235">
        <f>AB526/U526</f>
        <v>7053.69</v>
      </c>
      <c r="AG526" s="235">
        <f>AB526/V526</f>
        <v>7053.69</v>
      </c>
      <c r="AH526" s="236">
        <f>AB526/S526</f>
        <v>2.5771611253196931</v>
      </c>
      <c r="AI526" s="237" t="s">
        <v>97</v>
      </c>
      <c r="AJ526" s="125" t="s">
        <v>349</v>
      </c>
      <c r="AK526"/>
      <c r="AM526" s="80"/>
    </row>
    <row r="527" spans="1:39" ht="28.5" customHeight="1">
      <c r="A527" s="113" t="s">
        <v>73</v>
      </c>
      <c r="B527" s="114" t="s">
        <v>74</v>
      </c>
      <c r="C527" s="113" t="s">
        <v>35</v>
      </c>
      <c r="D527" s="113" t="s">
        <v>99</v>
      </c>
      <c r="E527" s="115" t="s">
        <v>1284</v>
      </c>
      <c r="F527" s="113" t="s">
        <v>207</v>
      </c>
      <c r="G527" s="116">
        <v>23447124</v>
      </c>
      <c r="H527" s="79">
        <v>46211</v>
      </c>
      <c r="I527" s="114" t="s">
        <v>79</v>
      </c>
      <c r="J527" s="117" t="s">
        <v>2014</v>
      </c>
      <c r="K527" s="118">
        <v>46203</v>
      </c>
      <c r="L527" s="114" t="s">
        <v>81</v>
      </c>
      <c r="M527" s="119">
        <v>46206</v>
      </c>
      <c r="N527" s="128">
        <v>46206</v>
      </c>
      <c r="O527" s="120">
        <f>NETWORKDAYS.INTL(K527,N527,1,$AM$2:$AM$10)-1</f>
        <v>2</v>
      </c>
      <c r="P527" s="114" t="s">
        <v>81</v>
      </c>
      <c r="Q527" s="114" t="s">
        <v>79</v>
      </c>
      <c r="R527" s="115"/>
      <c r="S527" s="145">
        <v>2401</v>
      </c>
      <c r="T527" s="148" t="s">
        <v>2015</v>
      </c>
      <c r="U527" s="147">
        <v>3</v>
      </c>
      <c r="V527" s="121">
        <v>3</v>
      </c>
      <c r="W527" s="121">
        <v>2250</v>
      </c>
      <c r="X527" s="167" t="s">
        <v>113</v>
      </c>
      <c r="Y527" s="175" t="s">
        <v>85</v>
      </c>
      <c r="Z527" s="175" t="s">
        <v>2016</v>
      </c>
      <c r="AA527" s="148" t="s">
        <v>87</v>
      </c>
      <c r="AB527" s="283">
        <v>6480.5</v>
      </c>
      <c r="AC527" s="283">
        <f>IF(C527="DENALI", AB527*0.495, IF(C527="SCHNEIDER ELECTRIC", AB527*1.136, IF(C527="WWT", AB527*1.2, AC527)))+AB527</f>
        <v>9688.3474999999999</v>
      </c>
      <c r="AD527" s="284">
        <f>AC527-AB527</f>
        <v>3207.8474999999999</v>
      </c>
      <c r="AE527" s="283">
        <v>28223.040000000001</v>
      </c>
      <c r="AF527" s="232">
        <f>AB527/U527</f>
        <v>2160.1666666666665</v>
      </c>
      <c r="AG527" s="232">
        <f>AB527/V527</f>
        <v>2160.1666666666665</v>
      </c>
      <c r="AH527" s="233">
        <f>AB527/S527</f>
        <v>2.6990837151187006</v>
      </c>
      <c r="AI527" s="76" t="s">
        <v>97</v>
      </c>
      <c r="AJ527" s="349" t="s">
        <v>349</v>
      </c>
      <c r="AK527"/>
      <c r="AM527" s="80"/>
    </row>
    <row r="528" spans="1:39" ht="28.5" customHeight="1">
      <c r="A528" s="113" t="s">
        <v>73</v>
      </c>
      <c r="B528" s="114" t="s">
        <v>74</v>
      </c>
      <c r="C528" s="113" t="s">
        <v>35</v>
      </c>
      <c r="D528" s="113" t="s">
        <v>218</v>
      </c>
      <c r="E528" s="115" t="s">
        <v>1541</v>
      </c>
      <c r="F528" s="113" t="s">
        <v>92</v>
      </c>
      <c r="G528" s="116" t="s">
        <v>2017</v>
      </c>
      <c r="H528" s="79">
        <v>46211</v>
      </c>
      <c r="I528" s="114" t="s">
        <v>81</v>
      </c>
      <c r="J528" s="117" t="s">
        <v>2018</v>
      </c>
      <c r="K528" s="118">
        <v>46203</v>
      </c>
      <c r="L528" s="114" t="s">
        <v>81</v>
      </c>
      <c r="M528" s="119">
        <v>46209</v>
      </c>
      <c r="N528" s="128">
        <v>46209</v>
      </c>
      <c r="O528" s="120">
        <f>NETWORKDAYS.INTL(K528,N528,1,$AM$2:$AM$10)-1</f>
        <v>3</v>
      </c>
      <c r="P528" s="114" t="s">
        <v>81</v>
      </c>
      <c r="Q528" s="114" t="s">
        <v>79</v>
      </c>
      <c r="R528" s="115"/>
      <c r="S528" s="145">
        <v>1148</v>
      </c>
      <c r="T528" s="148" t="s">
        <v>2019</v>
      </c>
      <c r="U528" s="147">
        <v>3</v>
      </c>
      <c r="V528" s="121">
        <v>610</v>
      </c>
      <c r="W528" s="121">
        <v>1750</v>
      </c>
      <c r="X528" s="114" t="s">
        <v>84</v>
      </c>
      <c r="Y528" s="176" t="s">
        <v>85</v>
      </c>
      <c r="Z528" s="176" t="s">
        <v>86</v>
      </c>
      <c r="AA528" s="307" t="s">
        <v>87</v>
      </c>
      <c r="AB528" s="351">
        <v>896.21</v>
      </c>
      <c r="AC528" s="351">
        <v>7057.67</v>
      </c>
      <c r="AD528" s="352">
        <f>AC528-AB528</f>
        <v>6161.46</v>
      </c>
      <c r="AE528" s="351">
        <v>204963.1</v>
      </c>
      <c r="AF528" s="353">
        <f>AB528/U528</f>
        <v>298.73666666666668</v>
      </c>
      <c r="AG528" s="353">
        <f>AB528/V528</f>
        <v>1.4691967213114754</v>
      </c>
      <c r="AH528" s="354">
        <f>AB528/S528</f>
        <v>0.78067073170731716</v>
      </c>
      <c r="AI528" s="154" t="s">
        <v>1044</v>
      </c>
      <c r="AJ528" s="125" t="s">
        <v>349</v>
      </c>
      <c r="AK528"/>
      <c r="AM528" s="80"/>
    </row>
    <row r="529" spans="1:39" ht="28.5" customHeight="1">
      <c r="A529" s="113" t="s">
        <v>73</v>
      </c>
      <c r="B529" s="114" t="s">
        <v>74</v>
      </c>
      <c r="C529" s="113" t="s">
        <v>35</v>
      </c>
      <c r="D529" s="113" t="s">
        <v>218</v>
      </c>
      <c r="E529" s="115" t="s">
        <v>1552</v>
      </c>
      <c r="F529" s="113" t="s">
        <v>142</v>
      </c>
      <c r="G529" s="116" t="s">
        <v>2020</v>
      </c>
      <c r="H529" s="79">
        <v>46211</v>
      </c>
      <c r="I529" s="114" t="s">
        <v>81</v>
      </c>
      <c r="J529" s="117" t="s">
        <v>2021</v>
      </c>
      <c r="K529" s="118">
        <v>46203</v>
      </c>
      <c r="L529" s="114" t="s">
        <v>81</v>
      </c>
      <c r="M529" s="119">
        <v>46205</v>
      </c>
      <c r="N529" s="128">
        <v>46205</v>
      </c>
      <c r="O529" s="120">
        <f>NETWORKDAYS.INTL(K529,N529,1,$AM$2:$AM$10)-1</f>
        <v>2</v>
      </c>
      <c r="P529" s="114" t="s">
        <v>81</v>
      </c>
      <c r="Q529" s="114" t="s">
        <v>79</v>
      </c>
      <c r="R529" s="115" t="s">
        <v>2022</v>
      </c>
      <c r="S529" s="145">
        <v>615</v>
      </c>
      <c r="T529" s="148" t="s">
        <v>2023</v>
      </c>
      <c r="U529" s="147">
        <v>2</v>
      </c>
      <c r="V529" s="121">
        <v>410</v>
      </c>
      <c r="W529" s="121">
        <v>1155</v>
      </c>
      <c r="X529" s="114" t="s">
        <v>84</v>
      </c>
      <c r="Y529" s="115" t="s">
        <v>85</v>
      </c>
      <c r="Z529" s="115" t="s">
        <v>1208</v>
      </c>
      <c r="AA529" s="113" t="s">
        <v>87</v>
      </c>
      <c r="AB529" s="122">
        <v>410.39</v>
      </c>
      <c r="AC529" s="122">
        <v>3379.72</v>
      </c>
      <c r="AD529" s="129">
        <f>AC529-AB529</f>
        <v>2969.33</v>
      </c>
      <c r="AE529" s="122">
        <v>133405.1</v>
      </c>
      <c r="AF529" s="130">
        <f>AB529/U529</f>
        <v>205.19499999999999</v>
      </c>
      <c r="AG529" s="130">
        <f>AB529/V529</f>
        <v>1.000951219512195</v>
      </c>
      <c r="AH529" s="123">
        <f>AB529/S529</f>
        <v>0.66730081300813004</v>
      </c>
      <c r="AI529" s="124" t="s">
        <v>1044</v>
      </c>
      <c r="AJ529" s="125" t="s">
        <v>349</v>
      </c>
      <c r="AK529"/>
      <c r="AM529" s="80"/>
    </row>
    <row r="530" spans="1:39" ht="28.5" customHeight="1">
      <c r="A530" s="113" t="s">
        <v>73</v>
      </c>
      <c r="B530" s="114" t="s">
        <v>140</v>
      </c>
      <c r="C530" s="113" t="s">
        <v>35</v>
      </c>
      <c r="D530" s="113" t="s">
        <v>218</v>
      </c>
      <c r="E530" s="115" t="s">
        <v>992</v>
      </c>
      <c r="F530" s="113" t="s">
        <v>75</v>
      </c>
      <c r="G530" s="116" t="s">
        <v>2024</v>
      </c>
      <c r="H530" s="79">
        <v>46211</v>
      </c>
      <c r="I530" s="114" t="s">
        <v>79</v>
      </c>
      <c r="J530" s="117" t="s">
        <v>2025</v>
      </c>
      <c r="K530" s="118">
        <v>46203</v>
      </c>
      <c r="L530" s="114" t="s">
        <v>79</v>
      </c>
      <c r="M530" s="119">
        <v>46205</v>
      </c>
      <c r="N530" s="128">
        <v>46210</v>
      </c>
      <c r="O530" s="120">
        <f>NETWORKDAYS.INTL(K530,N530,1,$AM$2:$AM$10)-1</f>
        <v>4</v>
      </c>
      <c r="P530" s="114" t="s">
        <v>81</v>
      </c>
      <c r="Q530" s="114" t="s">
        <v>79</v>
      </c>
      <c r="R530" s="115"/>
      <c r="S530" s="145">
        <v>1098.2</v>
      </c>
      <c r="T530" s="148" t="s">
        <v>2026</v>
      </c>
      <c r="U530" s="147">
        <v>3</v>
      </c>
      <c r="V530" s="121">
        <v>700</v>
      </c>
      <c r="W530" s="121">
        <v>1790</v>
      </c>
      <c r="X530" s="114" t="s">
        <v>84</v>
      </c>
      <c r="Y530" s="115" t="s">
        <v>85</v>
      </c>
      <c r="Z530" s="115" t="s">
        <v>1774</v>
      </c>
      <c r="AA530" s="113" t="s">
        <v>87</v>
      </c>
      <c r="AB530" s="122">
        <v>430.22</v>
      </c>
      <c r="AC530" s="122">
        <f>IF(C530="DENALI", AB530*0.495, IF(C530="SCHNEIDER ELECTRIC", AB530*1.136, IF(C530="WWT", AB530*1.2, AC530)))+AB530</f>
        <v>643.1789</v>
      </c>
      <c r="AD530" s="129">
        <f>AC530-AB530</f>
        <v>212.95889999999997</v>
      </c>
      <c r="AE530" s="122">
        <v>153879.6</v>
      </c>
      <c r="AF530" s="130">
        <f>AB530/U530</f>
        <v>143.40666666666667</v>
      </c>
      <c r="AG530" s="130">
        <f>AB530/V530</f>
        <v>0.61460000000000004</v>
      </c>
      <c r="AH530" s="123">
        <f>AB530/S530</f>
        <v>0.39175013658714258</v>
      </c>
      <c r="AI530" s="124" t="s">
        <v>147</v>
      </c>
      <c r="AJ530" s="125" t="s">
        <v>343</v>
      </c>
      <c r="AK530"/>
      <c r="AM530" s="80"/>
    </row>
    <row r="531" spans="1:39" ht="28.5" customHeight="1">
      <c r="A531" s="113" t="s">
        <v>73</v>
      </c>
      <c r="B531" s="114" t="s">
        <v>74</v>
      </c>
      <c r="C531" s="113" t="s">
        <v>35</v>
      </c>
      <c r="D531" s="113" t="s">
        <v>218</v>
      </c>
      <c r="E531" s="115" t="s">
        <v>2027</v>
      </c>
      <c r="F531" s="113" t="s">
        <v>272</v>
      </c>
      <c r="G531" s="116" t="s">
        <v>2028</v>
      </c>
      <c r="H531" s="79">
        <v>46211</v>
      </c>
      <c r="I531" s="114" t="s">
        <v>81</v>
      </c>
      <c r="J531" s="117" t="s">
        <v>2029</v>
      </c>
      <c r="K531" s="118">
        <v>46203</v>
      </c>
      <c r="L531" s="114" t="s">
        <v>79</v>
      </c>
      <c r="M531" s="119">
        <v>46209</v>
      </c>
      <c r="N531" s="128">
        <v>46205</v>
      </c>
      <c r="O531" s="120">
        <f>NETWORKDAYS.INTL(K531,N531,1,$AM$2:$AM$10)-1</f>
        <v>2</v>
      </c>
      <c r="P531" s="114" t="s">
        <v>81</v>
      </c>
      <c r="Q531" s="114" t="s">
        <v>79</v>
      </c>
      <c r="R531" s="115"/>
      <c r="S531" s="145">
        <v>112</v>
      </c>
      <c r="T531" s="148" t="s">
        <v>2030</v>
      </c>
      <c r="U531" s="147">
        <v>4</v>
      </c>
      <c r="V531" s="121">
        <v>1110</v>
      </c>
      <c r="W531" s="121">
        <v>2775</v>
      </c>
      <c r="X531" s="114" t="s">
        <v>84</v>
      </c>
      <c r="Y531" s="115" t="s">
        <v>85</v>
      </c>
      <c r="Z531" s="115" t="s">
        <v>1774</v>
      </c>
      <c r="AA531" s="113" t="s">
        <v>87</v>
      </c>
      <c r="AB531" s="122">
        <v>315.45999999999998</v>
      </c>
      <c r="AC531" s="122">
        <v>1823</v>
      </c>
      <c r="AD531" s="129">
        <f>AC531-AB531</f>
        <v>1507.54</v>
      </c>
      <c r="AE531" s="122">
        <v>330659.09999999998</v>
      </c>
      <c r="AF531" s="130">
        <f>AB531/U531</f>
        <v>78.864999999999995</v>
      </c>
      <c r="AG531" s="130">
        <f>AB531/V531</f>
        <v>0.28419819819819819</v>
      </c>
      <c r="AH531" s="123">
        <f>AB531/S531</f>
        <v>2.8166071428571429</v>
      </c>
      <c r="AI531" s="124" t="s">
        <v>1044</v>
      </c>
      <c r="AJ531" s="125" t="s">
        <v>349</v>
      </c>
      <c r="AK531"/>
      <c r="AM531" s="80"/>
    </row>
    <row r="532" spans="1:39" ht="28.5" customHeight="1">
      <c r="A532" s="113" t="s">
        <v>73</v>
      </c>
      <c r="B532" s="114" t="s">
        <v>74</v>
      </c>
      <c r="C532" s="113" t="s">
        <v>35</v>
      </c>
      <c r="D532" s="113" t="s">
        <v>218</v>
      </c>
      <c r="E532" s="115" t="s">
        <v>1335</v>
      </c>
      <c r="F532" s="113" t="s">
        <v>585</v>
      </c>
      <c r="G532" s="116">
        <v>23456099</v>
      </c>
      <c r="H532" s="79">
        <v>46212</v>
      </c>
      <c r="I532" s="114" t="s">
        <v>81</v>
      </c>
      <c r="J532" s="117" t="s">
        <v>2031</v>
      </c>
      <c r="K532" s="118">
        <v>46204</v>
      </c>
      <c r="L532" s="114" t="s">
        <v>81</v>
      </c>
      <c r="M532" s="119">
        <v>46209</v>
      </c>
      <c r="N532" s="128">
        <v>46209</v>
      </c>
      <c r="O532" s="120">
        <f>NETWORKDAYS.INTL(K532,N532,1,$AM$2:$AM$10)-1</f>
        <v>2</v>
      </c>
      <c r="P532" s="114" t="s">
        <v>81</v>
      </c>
      <c r="Q532" s="114" t="s">
        <v>79</v>
      </c>
      <c r="R532" s="115"/>
      <c r="S532" s="145">
        <v>1916.8</v>
      </c>
      <c r="T532" s="148" t="s">
        <v>2032</v>
      </c>
      <c r="U532" s="147">
        <v>4</v>
      </c>
      <c r="V532" s="121">
        <v>4</v>
      </c>
      <c r="W532" s="121">
        <v>2850</v>
      </c>
      <c r="X532" s="114" t="s">
        <v>113</v>
      </c>
      <c r="Y532" s="115" t="s">
        <v>85</v>
      </c>
      <c r="Z532" s="115" t="s">
        <v>2033</v>
      </c>
      <c r="AA532" s="113" t="s">
        <v>87</v>
      </c>
      <c r="AB532" s="122">
        <v>6105.83</v>
      </c>
      <c r="AC532" s="122">
        <v>9128.2158500000005</v>
      </c>
      <c r="AD532" s="129">
        <f>AC532-AB532</f>
        <v>3022.3858500000006</v>
      </c>
      <c r="AE532" s="122">
        <v>330659.09999999998</v>
      </c>
      <c r="AF532" s="130">
        <f>AB532/U532</f>
        <v>1526.4575</v>
      </c>
      <c r="AG532" s="130">
        <f>AB532/V532</f>
        <v>1526.4575</v>
      </c>
      <c r="AH532" s="123">
        <f>AB532/S532</f>
        <v>3.185428839732888</v>
      </c>
      <c r="AI532" s="124" t="s">
        <v>97</v>
      </c>
      <c r="AJ532" s="125" t="s">
        <v>349</v>
      </c>
      <c r="AK532"/>
      <c r="AM532" s="80"/>
    </row>
    <row r="533" spans="1:39" ht="28.5" customHeight="1">
      <c r="A533" s="113" t="s">
        <v>73</v>
      </c>
      <c r="B533" s="114" t="s">
        <v>74</v>
      </c>
      <c r="C533" s="113" t="s">
        <v>35</v>
      </c>
      <c r="D533" s="113" t="s">
        <v>218</v>
      </c>
      <c r="E533" s="115" t="s">
        <v>2034</v>
      </c>
      <c r="F533" s="113" t="s">
        <v>213</v>
      </c>
      <c r="G533" s="116" t="s">
        <v>2035</v>
      </c>
      <c r="H533" s="79">
        <v>46213</v>
      </c>
      <c r="I533" s="114" t="s">
        <v>81</v>
      </c>
      <c r="J533" s="117" t="s">
        <v>2036</v>
      </c>
      <c r="K533" s="118">
        <v>46204</v>
      </c>
      <c r="L533" s="114" t="s">
        <v>81</v>
      </c>
      <c r="M533" s="119">
        <v>46209</v>
      </c>
      <c r="N533" s="128">
        <v>46209</v>
      </c>
      <c r="O533" s="120">
        <f>NETWORKDAYS.INTL(K533,N533,1,$AM$2:$AM$10)-1</f>
        <v>2</v>
      </c>
      <c r="P533" s="114" t="s">
        <v>81</v>
      </c>
      <c r="Q533" s="114" t="s">
        <v>79</v>
      </c>
      <c r="R533" s="115"/>
      <c r="S533" s="145">
        <v>655</v>
      </c>
      <c r="T533" s="148" t="s">
        <v>2037</v>
      </c>
      <c r="U533" s="147">
        <v>3</v>
      </c>
      <c r="V533" s="121">
        <v>1010</v>
      </c>
      <c r="W533" s="121">
        <v>2281</v>
      </c>
      <c r="X533" s="114" t="s">
        <v>84</v>
      </c>
      <c r="Y533" s="115" t="s">
        <v>85</v>
      </c>
      <c r="Z533" s="115" t="s">
        <v>86</v>
      </c>
      <c r="AA533" s="113" t="s">
        <v>87</v>
      </c>
      <c r="AB533" s="122">
        <v>657.87</v>
      </c>
      <c r="AC533" s="122">
        <v>7667.02</v>
      </c>
      <c r="AD533" s="129">
        <f>AC533-AB533</f>
        <v>7009.1500000000005</v>
      </c>
      <c r="AE533" s="122">
        <v>266805.09999999998</v>
      </c>
      <c r="AF533" s="130">
        <f>AB533/U533</f>
        <v>219.29</v>
      </c>
      <c r="AG533" s="130">
        <f>AB533/V533</f>
        <v>0.65135643564356438</v>
      </c>
      <c r="AH533" s="123">
        <f>AB533/S533</f>
        <v>1.004381679389313</v>
      </c>
      <c r="AI533" s="124" t="s">
        <v>1044</v>
      </c>
      <c r="AJ533" s="125" t="s">
        <v>349</v>
      </c>
      <c r="AK533"/>
      <c r="AM533" s="80"/>
    </row>
    <row r="534" spans="1:39" ht="28.5" customHeight="1">
      <c r="A534" s="113" t="s">
        <v>73</v>
      </c>
      <c r="B534" s="114" t="s">
        <v>74</v>
      </c>
      <c r="C534" s="113" t="s">
        <v>35</v>
      </c>
      <c r="D534" s="113" t="s">
        <v>218</v>
      </c>
      <c r="E534" s="115" t="s">
        <v>2038</v>
      </c>
      <c r="F534" s="113" t="s">
        <v>75</v>
      </c>
      <c r="G534" s="116" t="s">
        <v>2039</v>
      </c>
      <c r="H534" s="79">
        <v>46213</v>
      </c>
      <c r="I534" s="114" t="s">
        <v>81</v>
      </c>
      <c r="J534" s="117" t="s">
        <v>2040</v>
      </c>
      <c r="K534" s="118">
        <v>46204</v>
      </c>
      <c r="L534" s="114" t="s">
        <v>81</v>
      </c>
      <c r="M534" s="119">
        <v>46209</v>
      </c>
      <c r="N534" s="128">
        <v>46209</v>
      </c>
      <c r="O534" s="120">
        <f>NETWORKDAYS.INTL(K534,N534,1,$AM$2:$AM$10)-1</f>
        <v>2</v>
      </c>
      <c r="P534" s="114" t="s">
        <v>81</v>
      </c>
      <c r="Q534" s="114" t="s">
        <v>79</v>
      </c>
      <c r="R534" s="115"/>
      <c r="S534" s="145">
        <v>573.6</v>
      </c>
      <c r="T534" s="148" t="s">
        <v>2041</v>
      </c>
      <c r="U534" s="147">
        <v>4</v>
      </c>
      <c r="V534" s="121">
        <v>1094</v>
      </c>
      <c r="W534" s="121">
        <v>2800</v>
      </c>
      <c r="X534" s="114" t="s">
        <v>84</v>
      </c>
      <c r="Y534" s="115" t="s">
        <v>85</v>
      </c>
      <c r="Z534" s="115" t="s">
        <v>86</v>
      </c>
      <c r="AA534" s="113" t="s">
        <v>87</v>
      </c>
      <c r="AB534" s="122">
        <v>1049.68</v>
      </c>
      <c r="AC534" s="122">
        <v>8448.9699999999993</v>
      </c>
      <c r="AD534" s="129">
        <f>AC534-AB534</f>
        <v>7399.2899999999991</v>
      </c>
      <c r="AE534" s="122">
        <v>312163.58</v>
      </c>
      <c r="AF534" s="130">
        <f>AB534/U534</f>
        <v>262.42</v>
      </c>
      <c r="AG534" s="130">
        <f>AB534/V534</f>
        <v>0.95948811700182823</v>
      </c>
      <c r="AH534" s="123">
        <f>AB534/S534</f>
        <v>1.8299860529986054</v>
      </c>
      <c r="AI534" s="124" t="s">
        <v>1044</v>
      </c>
      <c r="AJ534" s="125" t="s">
        <v>349</v>
      </c>
      <c r="AK534"/>
      <c r="AM534" s="80"/>
    </row>
    <row r="535" spans="1:39" ht="28.5" customHeight="1">
      <c r="A535" s="113" t="s">
        <v>73</v>
      </c>
      <c r="B535" s="114" t="s">
        <v>74</v>
      </c>
      <c r="C535" s="113" t="s">
        <v>35</v>
      </c>
      <c r="D535" s="113" t="s">
        <v>99</v>
      </c>
      <c r="E535" s="115" t="s">
        <v>2042</v>
      </c>
      <c r="F535" s="113" t="s">
        <v>2043</v>
      </c>
      <c r="G535" s="116" t="s">
        <v>2044</v>
      </c>
      <c r="H535" s="79">
        <v>46213</v>
      </c>
      <c r="I535" s="114" t="s">
        <v>79</v>
      </c>
      <c r="J535" s="117" t="s">
        <v>2045</v>
      </c>
      <c r="K535" s="118">
        <v>46204</v>
      </c>
      <c r="L535" s="114" t="s">
        <v>79</v>
      </c>
      <c r="M535" s="119">
        <v>46206</v>
      </c>
      <c r="N535" s="128">
        <v>46211</v>
      </c>
      <c r="O535" s="120">
        <f>NETWORKDAYS.INTL(K535,N535,1,$AM$2:$AM$10)-1</f>
        <v>4</v>
      </c>
      <c r="P535" s="114" t="s">
        <v>81</v>
      </c>
      <c r="Q535" s="114" t="s">
        <v>79</v>
      </c>
      <c r="R535" s="115"/>
      <c r="S535" s="145">
        <v>127.6</v>
      </c>
      <c r="T535" s="148" t="s">
        <v>2046</v>
      </c>
      <c r="U535" s="147">
        <v>1</v>
      </c>
      <c r="V535" s="121">
        <v>14</v>
      </c>
      <c r="W535" s="121">
        <v>480</v>
      </c>
      <c r="X535" s="114" t="s">
        <v>84</v>
      </c>
      <c r="Y535" s="115" t="s">
        <v>85</v>
      </c>
      <c r="Z535" s="115" t="s">
        <v>935</v>
      </c>
      <c r="AA535" s="113" t="s">
        <v>87</v>
      </c>
      <c r="AB535" s="122">
        <v>338.15</v>
      </c>
      <c r="AC535" s="122">
        <f>IF(C535="DENALI", AB535*0.495, IF(C535="SCHNEIDER ELECTRIC", AB535*1.136, IF(C535="WWT", AB535*1.2, AC535)))+AB535</f>
        <v>505.53424999999993</v>
      </c>
      <c r="AD535" s="129">
        <f>AC535-AB535</f>
        <v>167.38424999999995</v>
      </c>
      <c r="AE535" s="122">
        <v>36285.06</v>
      </c>
      <c r="AF535" s="130">
        <f>AB535/U535</f>
        <v>338.15</v>
      </c>
      <c r="AG535" s="130">
        <f>AB535/V535</f>
        <v>24.153571428571428</v>
      </c>
      <c r="AH535" s="123">
        <f>AB535/S535</f>
        <v>2.6500783699059562</v>
      </c>
      <c r="AI535" s="124" t="s">
        <v>97</v>
      </c>
      <c r="AJ535" s="125" t="s">
        <v>349</v>
      </c>
      <c r="AK535"/>
      <c r="AM535" s="80"/>
    </row>
    <row r="536" spans="1:39" ht="28.5" customHeight="1">
      <c r="A536" s="113" t="s">
        <v>73</v>
      </c>
      <c r="B536" s="114" t="s">
        <v>74</v>
      </c>
      <c r="C536" s="113" t="s">
        <v>35</v>
      </c>
      <c r="D536" s="113" t="s">
        <v>99</v>
      </c>
      <c r="E536" s="115" t="s">
        <v>1259</v>
      </c>
      <c r="F536" s="113" t="s">
        <v>99</v>
      </c>
      <c r="G536" s="116" t="s">
        <v>2047</v>
      </c>
      <c r="H536" s="79">
        <v>46213</v>
      </c>
      <c r="I536" s="114" t="s">
        <v>79</v>
      </c>
      <c r="J536" s="117" t="s">
        <v>2048</v>
      </c>
      <c r="K536" s="118">
        <v>46204</v>
      </c>
      <c r="L536" s="114" t="s">
        <v>81</v>
      </c>
      <c r="M536" s="119">
        <v>46205</v>
      </c>
      <c r="N536" s="128">
        <v>46205</v>
      </c>
      <c r="O536" s="120">
        <f>NETWORKDAYS.INTL(K536,N536,1,$AM$2:$AM$10)-1</f>
        <v>1</v>
      </c>
      <c r="P536" s="114" t="s">
        <v>81</v>
      </c>
      <c r="Q536" s="114" t="s">
        <v>79</v>
      </c>
      <c r="R536" s="115"/>
      <c r="S536" s="145">
        <v>139.5</v>
      </c>
      <c r="T536" s="148" t="s">
        <v>2049</v>
      </c>
      <c r="U536" s="147">
        <v>1</v>
      </c>
      <c r="V536" s="121">
        <v>13</v>
      </c>
      <c r="W536" s="121">
        <v>420</v>
      </c>
      <c r="X536" s="114" t="s">
        <v>84</v>
      </c>
      <c r="Y536" s="115" t="s">
        <v>85</v>
      </c>
      <c r="Z536" s="115" t="s">
        <v>871</v>
      </c>
      <c r="AA536" s="113" t="s">
        <v>87</v>
      </c>
      <c r="AB536" s="122">
        <v>169.45</v>
      </c>
      <c r="AC536" s="122">
        <f>IF(C536="DENALI", AB536*0.495, IF(C536="SCHNEIDER ELECTRIC", AB536*1.136, IF(C536="WWT", AB536*1.2, AC536)))+AB536</f>
        <v>253.32774999999998</v>
      </c>
      <c r="AD536" s="129">
        <f>AC536-AB536</f>
        <v>83.877749999999992</v>
      </c>
      <c r="AE536" s="122">
        <v>31471.08</v>
      </c>
      <c r="AF536" s="130">
        <f>AB536/U536</f>
        <v>169.45</v>
      </c>
      <c r="AG536" s="130">
        <f>AB536/V536</f>
        <v>13.034615384615384</v>
      </c>
      <c r="AH536" s="123">
        <f>AB536/S536</f>
        <v>1.214695340501792</v>
      </c>
      <c r="AI536" s="124" t="s">
        <v>97</v>
      </c>
      <c r="AJ536" s="125" t="s">
        <v>349</v>
      </c>
      <c r="AK536"/>
      <c r="AM536" s="80"/>
    </row>
    <row r="537" spans="1:39" ht="28.5" customHeight="1">
      <c r="A537" s="113" t="s">
        <v>73</v>
      </c>
      <c r="B537" s="114" t="s">
        <v>74</v>
      </c>
      <c r="C537" s="113" t="s">
        <v>35</v>
      </c>
      <c r="D537" s="113" t="s">
        <v>218</v>
      </c>
      <c r="E537" s="115" t="s">
        <v>1831</v>
      </c>
      <c r="F537" s="113" t="s">
        <v>370</v>
      </c>
      <c r="G537" s="116" t="s">
        <v>2050</v>
      </c>
      <c r="H537" s="79">
        <v>46213</v>
      </c>
      <c r="I537" s="114" t="s">
        <v>79</v>
      </c>
      <c r="J537" s="117" t="s">
        <v>2051</v>
      </c>
      <c r="K537" s="118">
        <v>46204</v>
      </c>
      <c r="L537" s="114" t="s">
        <v>81</v>
      </c>
      <c r="M537" s="119">
        <v>46206</v>
      </c>
      <c r="N537" s="128">
        <v>46209</v>
      </c>
      <c r="O537" s="120">
        <f>NETWORKDAYS.INTL(K537,N537,1,$AM$2:$AM$10)-1</f>
        <v>2</v>
      </c>
      <c r="P537" s="114" t="s">
        <v>81</v>
      </c>
      <c r="Q537" s="114" t="s">
        <v>79</v>
      </c>
      <c r="R537" s="115"/>
      <c r="S537" s="145">
        <v>688</v>
      </c>
      <c r="T537" s="148" t="s">
        <v>2052</v>
      </c>
      <c r="U537" s="147">
        <v>1</v>
      </c>
      <c r="V537" s="121">
        <v>820</v>
      </c>
      <c r="W537" s="121">
        <v>455</v>
      </c>
      <c r="X537" s="114" t="s">
        <v>84</v>
      </c>
      <c r="Y537" s="115" t="s">
        <v>85</v>
      </c>
      <c r="Z537" s="115" t="s">
        <v>86</v>
      </c>
      <c r="AA537" s="113" t="s">
        <v>87</v>
      </c>
      <c r="AB537" s="122">
        <v>248.88</v>
      </c>
      <c r="AC537" s="122">
        <f>IF(C537="DENALI", AB537*0.495, IF(C537="SCHNEIDER ELECTRIC", AB537*1.136, IF(C537="WWT", AB537*1.2, AC537)))+AB537</f>
        <v>372.07560000000001</v>
      </c>
      <c r="AD537" s="129">
        <f>AC537-AB537</f>
        <v>123.19560000000001</v>
      </c>
      <c r="AE537" s="122">
        <v>12471.6</v>
      </c>
      <c r="AF537" s="130">
        <f>AB537/U537</f>
        <v>248.88</v>
      </c>
      <c r="AG537" s="130">
        <f>AB537/V537</f>
        <v>0.30351219512195121</v>
      </c>
      <c r="AH537" s="123">
        <f>AB537/S537</f>
        <v>0.3617441860465116</v>
      </c>
      <c r="AI537" s="124" t="s">
        <v>1044</v>
      </c>
      <c r="AJ537" s="125" t="s">
        <v>349</v>
      </c>
      <c r="AK537"/>
      <c r="AM537" s="80"/>
    </row>
    <row r="538" spans="1:39" ht="28.5" customHeight="1">
      <c r="A538" s="113" t="s">
        <v>73</v>
      </c>
      <c r="B538" s="114" t="s">
        <v>74</v>
      </c>
      <c r="C538" s="113" t="s">
        <v>35</v>
      </c>
      <c r="D538" s="113" t="s">
        <v>99</v>
      </c>
      <c r="E538" s="115" t="s">
        <v>566</v>
      </c>
      <c r="F538" s="113" t="s">
        <v>131</v>
      </c>
      <c r="G538" s="116">
        <v>23467322</v>
      </c>
      <c r="H538" s="79">
        <v>46216</v>
      </c>
      <c r="I538" s="114" t="s">
        <v>79</v>
      </c>
      <c r="J538" s="117" t="s">
        <v>2053</v>
      </c>
      <c r="K538" s="118">
        <v>46205</v>
      </c>
      <c r="L538" s="114" t="s">
        <v>81</v>
      </c>
      <c r="M538" s="119">
        <v>46209</v>
      </c>
      <c r="N538" s="128">
        <v>46209</v>
      </c>
      <c r="O538" s="120">
        <f>NETWORKDAYS.INTL(K538,N538,1,$AM$2:$AM$10)-1</f>
        <v>1</v>
      </c>
      <c r="P538" s="114" t="s">
        <v>81</v>
      </c>
      <c r="Q538" s="114" t="s">
        <v>79</v>
      </c>
      <c r="R538" s="115"/>
      <c r="S538" s="145">
        <v>3026</v>
      </c>
      <c r="T538" s="148" t="s">
        <v>2054</v>
      </c>
      <c r="U538" s="147">
        <v>4</v>
      </c>
      <c r="V538" s="121">
        <v>4</v>
      </c>
      <c r="W538" s="121">
        <v>3400</v>
      </c>
      <c r="X538" s="114" t="s">
        <v>113</v>
      </c>
      <c r="Y538" s="115" t="s">
        <v>85</v>
      </c>
      <c r="Z538" s="115" t="s">
        <v>2055</v>
      </c>
      <c r="AA538" s="113" t="s">
        <v>87</v>
      </c>
      <c r="AB538" s="122">
        <v>8043.82</v>
      </c>
      <c r="AC538" s="122">
        <f>IF(C538="DENALI", AB538*0.495, IF(C538="SCHNEIDER ELECTRIC", AB538*1.136, IF(C538="WWT", AB538*1.2, AC538)))+AB538</f>
        <v>12025.510899999999</v>
      </c>
      <c r="AD538" s="129">
        <f>AC538-AB538</f>
        <v>3981.6908999999996</v>
      </c>
      <c r="AE538" s="122">
        <v>42998.080000000002</v>
      </c>
      <c r="AF538" s="130">
        <f>AB538/U538</f>
        <v>2010.9549999999999</v>
      </c>
      <c r="AG538" s="130">
        <f>AB538/V538</f>
        <v>2010.9549999999999</v>
      </c>
      <c r="AH538" s="123">
        <f>AB538/S538</f>
        <v>2.658235294117647</v>
      </c>
      <c r="AI538" s="124" t="s">
        <v>2056</v>
      </c>
      <c r="AJ538" s="125" t="s">
        <v>2057</v>
      </c>
      <c r="AK538"/>
      <c r="AM538" s="80"/>
    </row>
    <row r="539" spans="1:39" ht="28.5" customHeight="1">
      <c r="A539" s="113" t="s">
        <v>73</v>
      </c>
      <c r="B539" s="114" t="s">
        <v>74</v>
      </c>
      <c r="C539" s="113" t="s">
        <v>35</v>
      </c>
      <c r="D539" s="113" t="s">
        <v>218</v>
      </c>
      <c r="E539" s="115" t="s">
        <v>2058</v>
      </c>
      <c r="F539" s="113" t="s">
        <v>365</v>
      </c>
      <c r="G539" s="116" t="s">
        <v>2059</v>
      </c>
      <c r="H539" s="79">
        <v>46216</v>
      </c>
      <c r="I539" s="114" t="s">
        <v>79</v>
      </c>
      <c r="J539" s="117" t="s">
        <v>2060</v>
      </c>
      <c r="K539" s="118">
        <v>46205</v>
      </c>
      <c r="L539" s="114" t="s">
        <v>81</v>
      </c>
      <c r="M539" s="119">
        <v>46209</v>
      </c>
      <c r="N539" s="128">
        <v>46211</v>
      </c>
      <c r="O539" s="120">
        <f>NETWORKDAYS.INTL(K539,N539,1,$AM$2:$AM$10)-1</f>
        <v>3</v>
      </c>
      <c r="P539" s="114" t="s">
        <v>81</v>
      </c>
      <c r="Q539" s="114" t="s">
        <v>79</v>
      </c>
      <c r="R539" s="115"/>
      <c r="S539" s="145">
        <v>413</v>
      </c>
      <c r="T539" s="148" t="s">
        <v>394</v>
      </c>
      <c r="U539" s="147">
        <v>1</v>
      </c>
      <c r="V539" s="121">
        <v>773</v>
      </c>
      <c r="W539" s="121">
        <v>885</v>
      </c>
      <c r="X539" s="114" t="s">
        <v>84</v>
      </c>
      <c r="Y539" s="115" t="s">
        <v>85</v>
      </c>
      <c r="Z539" s="115" t="s">
        <v>86</v>
      </c>
      <c r="AA539" s="113" t="s">
        <v>87</v>
      </c>
      <c r="AB539" s="122">
        <v>198.06</v>
      </c>
      <c r="AC539" s="122">
        <f>IF(C539="DENALI", AB539*0.495, IF(C539="SCHNEIDER ELECTRIC", AB539*1.136, IF(C539="WWT", AB539*1.2, AC539)))+AB539</f>
        <v>296.09969999999998</v>
      </c>
      <c r="AD539" s="129">
        <f>AC539-AB539</f>
        <v>98.039699999999982</v>
      </c>
      <c r="AE539" s="122">
        <v>137295.15</v>
      </c>
      <c r="AF539" s="130">
        <f>AB539/U539</f>
        <v>198.06</v>
      </c>
      <c r="AG539" s="130">
        <f>AB539/V539</f>
        <v>0.25622250970245797</v>
      </c>
      <c r="AH539" s="123">
        <f>AB539/S539</f>
        <v>0.47956416464891044</v>
      </c>
      <c r="AI539" s="124" t="s">
        <v>97</v>
      </c>
      <c r="AJ539" s="125" t="s">
        <v>349</v>
      </c>
      <c r="AK539"/>
      <c r="AM539" s="80"/>
    </row>
    <row r="540" spans="1:39" ht="28.5" customHeight="1">
      <c r="A540" s="113" t="s">
        <v>73</v>
      </c>
      <c r="B540" s="114" t="s">
        <v>74</v>
      </c>
      <c r="C540" s="113" t="s">
        <v>35</v>
      </c>
      <c r="D540" s="113" t="s">
        <v>218</v>
      </c>
      <c r="E540" s="115" t="s">
        <v>2061</v>
      </c>
      <c r="F540" s="113" t="s">
        <v>90</v>
      </c>
      <c r="G540" s="116" t="s">
        <v>2062</v>
      </c>
      <c r="H540" s="79">
        <v>46216</v>
      </c>
      <c r="I540" s="114" t="s">
        <v>79</v>
      </c>
      <c r="J540" s="117" t="s">
        <v>2063</v>
      </c>
      <c r="K540" s="118">
        <v>46205</v>
      </c>
      <c r="L540" s="114" t="s">
        <v>81</v>
      </c>
      <c r="M540" s="119">
        <v>46211</v>
      </c>
      <c r="N540" s="128">
        <v>46212</v>
      </c>
      <c r="O540" s="120">
        <f>NETWORKDAYS.INTL(K540,N540,1,$AM$2:$AM$10)-1</f>
        <v>4</v>
      </c>
      <c r="P540" s="114" t="s">
        <v>81</v>
      </c>
      <c r="Q540" s="114" t="s">
        <v>79</v>
      </c>
      <c r="R540" s="115"/>
      <c r="S540" s="145">
        <v>2121</v>
      </c>
      <c r="T540" s="148" t="s">
        <v>2064</v>
      </c>
      <c r="U540" s="147">
        <v>1</v>
      </c>
      <c r="V540" s="121">
        <v>110</v>
      </c>
      <c r="W540" s="121">
        <v>320</v>
      </c>
      <c r="X540" s="114" t="s">
        <v>84</v>
      </c>
      <c r="Y540" s="115" t="s">
        <v>85</v>
      </c>
      <c r="Z540" s="115" t="s">
        <v>86</v>
      </c>
      <c r="AA540" s="113" t="s">
        <v>87</v>
      </c>
      <c r="AB540" s="122">
        <v>270.06</v>
      </c>
      <c r="AC540" s="122">
        <f>IF(C540="DENALI", AB540*0.495, IF(C540="SCHNEIDER ELECTRIC", AB540*1.136, IF(C540="WWT", AB540*1.2, AC540)))+AB540</f>
        <v>403.73969999999997</v>
      </c>
      <c r="AD540" s="129">
        <f>AC540-AB540</f>
        <v>133.67969999999997</v>
      </c>
      <c r="AE540" s="122">
        <v>13982.1</v>
      </c>
      <c r="AF540" s="130">
        <f>AB540/U540</f>
        <v>270.06</v>
      </c>
      <c r="AG540" s="130">
        <f>AB540/V540</f>
        <v>2.455090909090909</v>
      </c>
      <c r="AH540" s="123">
        <f>AB540/S540</f>
        <v>0.12732673267326733</v>
      </c>
      <c r="AI540" s="124" t="s">
        <v>97</v>
      </c>
      <c r="AJ540" s="125" t="s">
        <v>349</v>
      </c>
      <c r="AK540"/>
      <c r="AM540" s="80"/>
    </row>
    <row r="541" spans="1:39" ht="28.5" customHeight="1">
      <c r="A541" s="113" t="s">
        <v>73</v>
      </c>
      <c r="B541" s="114" t="s">
        <v>74</v>
      </c>
      <c r="C541" s="113" t="s">
        <v>35</v>
      </c>
      <c r="D541" s="113" t="s">
        <v>218</v>
      </c>
      <c r="E541" s="115" t="s">
        <v>589</v>
      </c>
      <c r="F541" s="113" t="s">
        <v>292</v>
      </c>
      <c r="G541" s="116" t="s">
        <v>2065</v>
      </c>
      <c r="H541" s="79">
        <v>46216</v>
      </c>
      <c r="I541" s="114" t="s">
        <v>79</v>
      </c>
      <c r="J541" s="117" t="s">
        <v>2066</v>
      </c>
      <c r="K541" s="118">
        <v>46205</v>
      </c>
      <c r="L541" s="114" t="s">
        <v>81</v>
      </c>
      <c r="M541" s="119">
        <v>46209</v>
      </c>
      <c r="N541" s="128">
        <v>46216</v>
      </c>
      <c r="O541" s="120">
        <f>NETWORKDAYS.INTL(K541,N541,1,$AM$2:$AM$10)-1</f>
        <v>6</v>
      </c>
      <c r="P541" s="114" t="s">
        <v>81</v>
      </c>
      <c r="Q541" s="114" t="s">
        <v>79</v>
      </c>
      <c r="R541" s="115"/>
      <c r="S541" s="145">
        <v>1141</v>
      </c>
      <c r="T541" s="148" t="s">
        <v>2067</v>
      </c>
      <c r="U541" s="147">
        <v>1</v>
      </c>
      <c r="V541" s="121">
        <v>648</v>
      </c>
      <c r="W541" s="121">
        <v>500</v>
      </c>
      <c r="X541" s="114" t="s">
        <v>84</v>
      </c>
      <c r="Y541" s="115" t="s">
        <v>85</v>
      </c>
      <c r="Z541" s="115" t="s">
        <v>86</v>
      </c>
      <c r="AA541" s="113" t="s">
        <v>87</v>
      </c>
      <c r="AB541" s="122">
        <v>495.25</v>
      </c>
      <c r="AC541" s="122">
        <f>IF(C541="DENALI", AB541*0.495, IF(C541="SCHNEIDER ELECTRIC", AB541*1.136, IF(C541="WWT", AB541*1.2, AC541)))+AB541</f>
        <v>740.39875000000006</v>
      </c>
      <c r="AD541" s="129">
        <f>AC541-AB541</f>
        <v>245.14875000000006</v>
      </c>
      <c r="AE541" s="122">
        <v>121370.4</v>
      </c>
      <c r="AF541" s="130">
        <f>AB541/U541</f>
        <v>495.25</v>
      </c>
      <c r="AG541" s="130">
        <f>AB541/V541</f>
        <v>0.76427469135802473</v>
      </c>
      <c r="AH541" s="123">
        <f>AB541/S541</f>
        <v>0.43404907975460122</v>
      </c>
      <c r="AI541" s="124" t="s">
        <v>97</v>
      </c>
      <c r="AJ541" s="125" t="s">
        <v>349</v>
      </c>
      <c r="AK541"/>
      <c r="AM541" s="80"/>
    </row>
    <row r="542" spans="1:39" ht="28.5" customHeight="1">
      <c r="A542" s="113" t="s">
        <v>73</v>
      </c>
      <c r="B542" s="114" t="s">
        <v>74</v>
      </c>
      <c r="C542" s="113" t="s">
        <v>35</v>
      </c>
      <c r="D542" s="113" t="s">
        <v>218</v>
      </c>
      <c r="E542" s="115" t="s">
        <v>248</v>
      </c>
      <c r="F542" s="113" t="s">
        <v>189</v>
      </c>
      <c r="G542" s="116" t="s">
        <v>2068</v>
      </c>
      <c r="H542" s="79">
        <v>46216</v>
      </c>
      <c r="I542" s="114" t="s">
        <v>79</v>
      </c>
      <c r="J542" s="117" t="s">
        <v>2069</v>
      </c>
      <c r="K542" s="118">
        <v>46205</v>
      </c>
      <c r="L542" s="114" t="s">
        <v>81</v>
      </c>
      <c r="M542" s="119">
        <v>46209</v>
      </c>
      <c r="N542" s="128">
        <v>46211</v>
      </c>
      <c r="O542" s="120">
        <f>NETWORKDAYS.INTL(K542,N542,1,$AM$2:$AM$10)-1</f>
        <v>3</v>
      </c>
      <c r="P542" s="114" t="s">
        <v>81</v>
      </c>
      <c r="Q542" s="114" t="s">
        <v>79</v>
      </c>
      <c r="R542" s="115"/>
      <c r="S542" s="145">
        <v>1549</v>
      </c>
      <c r="T542" s="148" t="s">
        <v>2070</v>
      </c>
      <c r="U542" s="147">
        <v>3</v>
      </c>
      <c r="V542" s="121">
        <v>1014</v>
      </c>
      <c r="W542" s="121">
        <v>2000</v>
      </c>
      <c r="X542" s="114" t="s">
        <v>84</v>
      </c>
      <c r="Y542" s="115" t="s">
        <v>85</v>
      </c>
      <c r="Z542" s="115" t="s">
        <v>86</v>
      </c>
      <c r="AA542" s="113" t="s">
        <v>87</v>
      </c>
      <c r="AB542" s="122">
        <v>782.05</v>
      </c>
      <c r="AC542" s="122">
        <f>IF(C542="DENALI", AB542*0.495, IF(C542="SCHNEIDER ELECTRIC", AB542*1.136, IF(C542="WWT", AB542*1.2, AC542)))+AB542</f>
        <v>1169.1647499999999</v>
      </c>
      <c r="AD542" s="129">
        <f>AC542-AB542</f>
        <v>387.11474999999996</v>
      </c>
      <c r="AE542" s="122">
        <v>64918.71</v>
      </c>
      <c r="AF542" s="130">
        <f>AB542/U542</f>
        <v>260.68333333333334</v>
      </c>
      <c r="AG542" s="130">
        <f>AB542/V542</f>
        <v>0.77125246548323467</v>
      </c>
      <c r="AH542" s="123">
        <f>AB542/S542</f>
        <v>0.50487411233053581</v>
      </c>
      <c r="AI542" s="124" t="s">
        <v>147</v>
      </c>
      <c r="AJ542" s="125" t="s">
        <v>343</v>
      </c>
      <c r="AK542"/>
      <c r="AM542" s="80"/>
    </row>
    <row r="543" spans="1:39" ht="28.5" customHeight="1">
      <c r="A543" s="113" t="s">
        <v>73</v>
      </c>
      <c r="B543" s="114" t="s">
        <v>140</v>
      </c>
      <c r="C543" s="113" t="s">
        <v>35</v>
      </c>
      <c r="D543" s="113" t="s">
        <v>99</v>
      </c>
      <c r="E543" s="115" t="s">
        <v>141</v>
      </c>
      <c r="F543" s="113" t="s">
        <v>142</v>
      </c>
      <c r="G543" s="116" t="s">
        <v>2071</v>
      </c>
      <c r="H543" s="79">
        <v>46216</v>
      </c>
      <c r="I543" s="114" t="s">
        <v>79</v>
      </c>
      <c r="J543" s="117" t="s">
        <v>2072</v>
      </c>
      <c r="K543" s="118">
        <v>46205</v>
      </c>
      <c r="L543" s="114" t="s">
        <v>81</v>
      </c>
      <c r="M543" s="119">
        <v>46212</v>
      </c>
      <c r="N543" s="128">
        <v>46213</v>
      </c>
      <c r="O543" s="120">
        <f>NETWORKDAYS.INTL(K543,N543,1,$AM$2:$AM$10)-1</f>
        <v>5</v>
      </c>
      <c r="P543" s="114" t="s">
        <v>81</v>
      </c>
      <c r="Q543" s="114" t="s">
        <v>79</v>
      </c>
      <c r="R543" s="115"/>
      <c r="S543" s="145">
        <v>2435</v>
      </c>
      <c r="T543" s="148" t="s">
        <v>2073</v>
      </c>
      <c r="U543" s="147">
        <v>3</v>
      </c>
      <c r="V543" s="121">
        <v>78</v>
      </c>
      <c r="W543" s="121">
        <v>780</v>
      </c>
      <c r="X543" s="114" t="s">
        <v>84</v>
      </c>
      <c r="Y543" s="115" t="s">
        <v>85</v>
      </c>
      <c r="Z543" s="115" t="s">
        <v>86</v>
      </c>
      <c r="AA543" s="113" t="s">
        <v>87</v>
      </c>
      <c r="AB543" s="122">
        <v>1021.01</v>
      </c>
      <c r="AC543" s="122">
        <f>IF(C543="DENALI", AB543*0.495, IF(C543="SCHNEIDER ELECTRIC", AB543*1.136, IF(C543="WWT", AB543*1.2, AC543)))+AB543</f>
        <v>1526.40995</v>
      </c>
      <c r="AD543" s="129">
        <f>AC543-AB543</f>
        <v>505.39994999999999</v>
      </c>
      <c r="AE543" s="122">
        <v>54291.59</v>
      </c>
      <c r="AF543" s="130">
        <f>AB543/U543</f>
        <v>340.33666666666664</v>
      </c>
      <c r="AG543" s="130">
        <f>AB543/V543</f>
        <v>13.089871794871796</v>
      </c>
      <c r="AH543" s="123">
        <f>AB543/S543</f>
        <v>0.41930595482546201</v>
      </c>
      <c r="AI543" s="124" t="s">
        <v>240</v>
      </c>
      <c r="AJ543" s="125" t="s">
        <v>343</v>
      </c>
      <c r="AK543"/>
      <c r="AM543" s="80"/>
    </row>
    <row r="544" spans="1:39" ht="28.5" customHeight="1">
      <c r="A544" s="113" t="s">
        <v>73</v>
      </c>
      <c r="B544" s="114" t="s">
        <v>140</v>
      </c>
      <c r="C544" s="113" t="s">
        <v>35</v>
      </c>
      <c r="D544" s="113" t="s">
        <v>99</v>
      </c>
      <c r="E544" s="115" t="s">
        <v>141</v>
      </c>
      <c r="F544" s="113" t="s">
        <v>142</v>
      </c>
      <c r="G544" s="116" t="s">
        <v>2074</v>
      </c>
      <c r="H544" s="79">
        <v>46216</v>
      </c>
      <c r="I544" s="114" t="s">
        <v>79</v>
      </c>
      <c r="J544" s="117" t="s">
        <v>2075</v>
      </c>
      <c r="K544" s="118">
        <v>46205</v>
      </c>
      <c r="L544" s="114" t="s">
        <v>81</v>
      </c>
      <c r="M544" s="119">
        <v>46212</v>
      </c>
      <c r="N544" s="128">
        <v>46213</v>
      </c>
      <c r="O544" s="120">
        <f>NETWORKDAYS.INTL(K544,N544,1,$AM$2:$AM$10)-1</f>
        <v>5</v>
      </c>
      <c r="P544" s="114" t="s">
        <v>81</v>
      </c>
      <c r="Q544" s="114" t="s">
        <v>79</v>
      </c>
      <c r="R544" s="115"/>
      <c r="S544" s="145">
        <v>2435</v>
      </c>
      <c r="T544" s="148" t="s">
        <v>2076</v>
      </c>
      <c r="U544" s="147">
        <v>3</v>
      </c>
      <c r="V544" s="121">
        <v>76</v>
      </c>
      <c r="W544" s="121">
        <v>787</v>
      </c>
      <c r="X544" s="114" t="s">
        <v>84</v>
      </c>
      <c r="Y544" s="115" t="s">
        <v>85</v>
      </c>
      <c r="Z544" s="115" t="s">
        <v>86</v>
      </c>
      <c r="AA544" s="113" t="s">
        <v>87</v>
      </c>
      <c r="AB544" s="122">
        <v>1029.83</v>
      </c>
      <c r="AC544" s="122">
        <f>IF(C544="DENALI", AB544*0.495, IF(C544="SCHNEIDER ELECTRIC", AB544*1.136, IF(C544="WWT", AB544*1.2, AC544)))+AB544</f>
        <v>1539.5958499999999</v>
      </c>
      <c r="AD544" s="129">
        <f>AC544-AB544</f>
        <v>509.76585</v>
      </c>
      <c r="AE544" s="122">
        <v>63099.5</v>
      </c>
      <c r="AF544" s="130">
        <f>AB544/U544</f>
        <v>343.27666666666664</v>
      </c>
      <c r="AG544" s="130">
        <f>AB544/V544</f>
        <v>13.550394736842104</v>
      </c>
      <c r="AH544" s="123">
        <f>AB544/S544</f>
        <v>0.42292813141683777</v>
      </c>
      <c r="AI544" s="124" t="s">
        <v>147</v>
      </c>
      <c r="AJ544" s="125" t="s">
        <v>343</v>
      </c>
      <c r="AK544"/>
      <c r="AM544" s="80"/>
    </row>
    <row r="545" spans="1:39" ht="28.5" customHeight="1">
      <c r="A545" s="113" t="s">
        <v>73</v>
      </c>
      <c r="B545" s="114" t="s">
        <v>74</v>
      </c>
      <c r="C545" s="113" t="s">
        <v>35</v>
      </c>
      <c r="D545" s="113" t="s">
        <v>218</v>
      </c>
      <c r="E545" s="115" t="s">
        <v>657</v>
      </c>
      <c r="F545" s="113" t="s">
        <v>644</v>
      </c>
      <c r="G545" s="116" t="s">
        <v>2077</v>
      </c>
      <c r="H545" s="79">
        <v>46223</v>
      </c>
      <c r="I545" s="114" t="s">
        <v>79</v>
      </c>
      <c r="J545" s="117" t="s">
        <v>2078</v>
      </c>
      <c r="K545" s="118">
        <v>46210</v>
      </c>
      <c r="L545" s="114" t="s">
        <v>79</v>
      </c>
      <c r="M545" s="119">
        <v>46211</v>
      </c>
      <c r="N545" s="128">
        <v>46212</v>
      </c>
      <c r="O545" s="120">
        <f>NETWORKDAYS.INTL(K545,N545,1,$AM$2:$AM$10)-1</f>
        <v>2</v>
      </c>
      <c r="P545" s="114" t="s">
        <v>81</v>
      </c>
      <c r="Q545" s="114" t="s">
        <v>79</v>
      </c>
      <c r="R545" s="115"/>
      <c r="S545" s="145">
        <v>316</v>
      </c>
      <c r="T545" s="148" t="s">
        <v>2079</v>
      </c>
      <c r="U545" s="147">
        <v>1</v>
      </c>
      <c r="V545" s="121">
        <v>230</v>
      </c>
      <c r="W545" s="121">
        <v>870</v>
      </c>
      <c r="X545" s="114" t="s">
        <v>84</v>
      </c>
      <c r="Y545" s="115" t="s">
        <v>85</v>
      </c>
      <c r="Z545" s="115" t="s">
        <v>1540</v>
      </c>
      <c r="AA545" s="113" t="s">
        <v>87</v>
      </c>
      <c r="AB545" s="122">
        <v>163.04</v>
      </c>
      <c r="AC545" s="122">
        <f>IF(C545="DENALI", AB545*0.495, IF(C545="SCHNEIDER ELECTRIC", AB545*1.136, IF(C545="WWT", AB545*1.2, AC545)))+AB545</f>
        <v>243.7448</v>
      </c>
      <c r="AD545" s="129">
        <f>AC545-AB545</f>
        <v>80.704800000000006</v>
      </c>
      <c r="AE545" s="122">
        <v>253487.6</v>
      </c>
      <c r="AF545" s="130">
        <f>AB545/U545</f>
        <v>163.04</v>
      </c>
      <c r="AG545" s="130">
        <f>AB545/V545</f>
        <v>0.70886956521739131</v>
      </c>
      <c r="AH545" s="123">
        <f>AB545/S545</f>
        <v>0.51594936708860761</v>
      </c>
      <c r="AI545" s="124" t="s">
        <v>97</v>
      </c>
      <c r="AJ545" s="125" t="s">
        <v>349</v>
      </c>
      <c r="AK545"/>
      <c r="AM545" s="80"/>
    </row>
    <row r="546" spans="1:39" ht="28.5" customHeight="1">
      <c r="A546" s="113" t="s">
        <v>73</v>
      </c>
      <c r="B546" s="114" t="s">
        <v>74</v>
      </c>
      <c r="C546" s="113" t="s">
        <v>35</v>
      </c>
      <c r="D546" s="113" t="s">
        <v>218</v>
      </c>
      <c r="E546" s="115" t="s">
        <v>1331</v>
      </c>
      <c r="F546" s="113" t="s">
        <v>396</v>
      </c>
      <c r="G546" s="116">
        <v>23495645</v>
      </c>
      <c r="H546" s="79">
        <v>46223</v>
      </c>
      <c r="I546" s="114" t="s">
        <v>79</v>
      </c>
      <c r="J546" s="117" t="s">
        <v>2080</v>
      </c>
      <c r="K546" s="118">
        <v>46209</v>
      </c>
      <c r="L546" s="114" t="s">
        <v>81</v>
      </c>
      <c r="M546" s="119">
        <v>46210</v>
      </c>
      <c r="N546" s="128">
        <v>46210</v>
      </c>
      <c r="O546" s="120">
        <f>NETWORKDAYS.INTL(K546,N546,1,$AM$2:$AM$10)-1</f>
        <v>1</v>
      </c>
      <c r="P546" s="114" t="s">
        <v>81</v>
      </c>
      <c r="Q546" s="114" t="s">
        <v>79</v>
      </c>
      <c r="R546" s="115"/>
      <c r="S546" s="145">
        <v>632</v>
      </c>
      <c r="T546" s="148" t="s">
        <v>1334</v>
      </c>
      <c r="U546" s="147">
        <v>4</v>
      </c>
      <c r="V546" s="121">
        <v>4</v>
      </c>
      <c r="W546" s="121">
        <v>1400</v>
      </c>
      <c r="X546" s="114" t="s">
        <v>113</v>
      </c>
      <c r="Y546" s="115" t="s">
        <v>85</v>
      </c>
      <c r="Z546" s="115" t="s">
        <v>2081</v>
      </c>
      <c r="AA546" s="113" t="s">
        <v>87</v>
      </c>
      <c r="AB546" s="122">
        <v>2745</v>
      </c>
      <c r="AC546" s="122">
        <f>IF(C546="DENALI", AB546*0.495, IF(C546="SCHNEIDER ELECTRIC", AB546*1.136, IF(C546="WWT", AB546*1.2, AC546)))+AB546</f>
        <v>4103.7749999999996</v>
      </c>
      <c r="AD546" s="129">
        <f>AC546-AB546</f>
        <v>1358.7749999999996</v>
      </c>
      <c r="AE546" s="122">
        <v>103108</v>
      </c>
      <c r="AF546" s="130">
        <f>AB546/U546</f>
        <v>686.25</v>
      </c>
      <c r="AG546" s="130">
        <f>AB546/V546</f>
        <v>686.25</v>
      </c>
      <c r="AH546" s="123">
        <f>AB546/S546</f>
        <v>4.3433544303797467</v>
      </c>
      <c r="AI546" s="124" t="s">
        <v>1044</v>
      </c>
      <c r="AJ546" s="125" t="s">
        <v>349</v>
      </c>
      <c r="AK546"/>
      <c r="AM546" s="80"/>
    </row>
    <row r="547" spans="1:39" ht="28.5" customHeight="1">
      <c r="A547" s="113" t="s">
        <v>73</v>
      </c>
      <c r="B547" s="114" t="s">
        <v>74</v>
      </c>
      <c r="C547" s="113" t="s">
        <v>36</v>
      </c>
      <c r="D547" s="113" t="s">
        <v>75</v>
      </c>
      <c r="E547" s="115" t="s">
        <v>1331</v>
      </c>
      <c r="F547" s="113" t="s">
        <v>396</v>
      </c>
      <c r="G547" s="116" t="s">
        <v>2082</v>
      </c>
      <c r="H547" s="79">
        <v>46224</v>
      </c>
      <c r="I547" s="114" t="s">
        <v>79</v>
      </c>
      <c r="J547" s="117" t="s">
        <v>2083</v>
      </c>
      <c r="K547" s="118">
        <v>46210</v>
      </c>
      <c r="L547" s="114" t="s">
        <v>81</v>
      </c>
      <c r="M547" s="119">
        <v>46211</v>
      </c>
      <c r="N547" s="128">
        <v>46216</v>
      </c>
      <c r="O547" s="120">
        <f>NETWORKDAYS.INTL(K547,N547,1,$AM$2:$AM$10)-1</f>
        <v>4</v>
      </c>
      <c r="P547" s="114" t="s">
        <v>81</v>
      </c>
      <c r="Q547" s="114" t="s">
        <v>79</v>
      </c>
      <c r="R547" s="115"/>
      <c r="S547" s="145">
        <v>244</v>
      </c>
      <c r="T547" s="148" t="s">
        <v>2084</v>
      </c>
      <c r="U547" s="147">
        <v>1</v>
      </c>
      <c r="V547" s="121">
        <v>1</v>
      </c>
      <c r="W547" s="121">
        <v>870</v>
      </c>
      <c r="X547" s="114" t="s">
        <v>84</v>
      </c>
      <c r="Y547" s="115" t="s">
        <v>85</v>
      </c>
      <c r="Z547" s="115" t="s">
        <v>86</v>
      </c>
      <c r="AA547" s="113" t="s">
        <v>87</v>
      </c>
      <c r="AB547" s="122">
        <v>178.68</v>
      </c>
      <c r="AC547" s="122">
        <f>IF(C547="DENALI", AB547*0.495, IF(C547="SCHNEIDER ELECTRIC", AB547*1.136, IF(C547="WWT", AB547*1.2, AC547)))+AB547</f>
        <v>381.66048000000001</v>
      </c>
      <c r="AD547" s="129">
        <f>AC547-AB547</f>
        <v>202.98048</v>
      </c>
      <c r="AE547" s="122">
        <v>2483</v>
      </c>
      <c r="AF547" s="130">
        <f>AB547/U547</f>
        <v>178.68</v>
      </c>
      <c r="AG547" s="130">
        <f>AB547/V547</f>
        <v>178.68</v>
      </c>
      <c r="AH547" s="123">
        <f>AB547/S547</f>
        <v>0.73229508196721316</v>
      </c>
      <c r="AI547" s="124" t="s">
        <v>97</v>
      </c>
      <c r="AJ547" s="125" t="s">
        <v>98</v>
      </c>
      <c r="AK547"/>
      <c r="AM547" s="80"/>
    </row>
    <row r="548" spans="1:39" ht="28.5" customHeight="1">
      <c r="A548" s="113" t="s">
        <v>73</v>
      </c>
      <c r="B548" s="114" t="s">
        <v>74</v>
      </c>
      <c r="C548" s="113" t="s">
        <v>35</v>
      </c>
      <c r="D548" s="113" t="s">
        <v>218</v>
      </c>
      <c r="E548" s="115" t="s">
        <v>543</v>
      </c>
      <c r="F548" s="113" t="s">
        <v>396</v>
      </c>
      <c r="G548" s="116" t="s">
        <v>2085</v>
      </c>
      <c r="H548" s="79">
        <v>46224</v>
      </c>
      <c r="I548" s="114" t="s">
        <v>79</v>
      </c>
      <c r="J548" s="117" t="s">
        <v>2086</v>
      </c>
      <c r="K548" s="118">
        <v>46210</v>
      </c>
      <c r="L548" s="114" t="s">
        <v>81</v>
      </c>
      <c r="M548" s="119">
        <v>46211</v>
      </c>
      <c r="N548" s="128">
        <v>46212</v>
      </c>
      <c r="O548" s="120">
        <f>NETWORKDAYS.INTL(K548,N548,1,$AM$2:$AM$10)-1</f>
        <v>2</v>
      </c>
      <c r="P548" s="114" t="s">
        <v>81</v>
      </c>
      <c r="Q548" s="114" t="s">
        <v>79</v>
      </c>
      <c r="R548" s="115"/>
      <c r="S548" s="145">
        <v>517</v>
      </c>
      <c r="T548" s="148" t="s">
        <v>2087</v>
      </c>
      <c r="U548" s="147">
        <v>3</v>
      </c>
      <c r="V548" s="121">
        <v>1095</v>
      </c>
      <c r="W548" s="121">
        <v>1900</v>
      </c>
      <c r="X548" s="114" t="s">
        <v>84</v>
      </c>
      <c r="Y548" s="115" t="s">
        <v>85</v>
      </c>
      <c r="Z548" s="115" t="s">
        <v>1774</v>
      </c>
      <c r="AA548" s="113" t="s">
        <v>87</v>
      </c>
      <c r="AB548" s="122">
        <v>308.64999999999998</v>
      </c>
      <c r="AC548" s="122">
        <f>IF(C548="DENALI", AB548*0.495, IF(C548="SCHNEIDER ELECTRIC", AB548*1.136, IF(C548="WWT", AB548*1.2, AC548)))+AB548</f>
        <v>461.43174999999997</v>
      </c>
      <c r="AD548" s="129">
        <f>AC548-AB548</f>
        <v>152.78174999999999</v>
      </c>
      <c r="AE548" s="122">
        <v>66808.86</v>
      </c>
      <c r="AF548" s="130">
        <f>AB548/U548</f>
        <v>102.88333333333333</v>
      </c>
      <c r="AG548" s="130">
        <f>AB548/V548</f>
        <v>0.28187214611872147</v>
      </c>
      <c r="AH548" s="123">
        <f>AB548/S548</f>
        <v>0.59700193423597669</v>
      </c>
      <c r="AI548" s="124" t="s">
        <v>147</v>
      </c>
      <c r="AJ548" s="125" t="s">
        <v>343</v>
      </c>
      <c r="AK548"/>
      <c r="AM548" s="80"/>
    </row>
    <row r="549" spans="1:39" ht="28.5" customHeight="1">
      <c r="A549" s="113" t="s">
        <v>73</v>
      </c>
      <c r="B549" s="114" t="s">
        <v>74</v>
      </c>
      <c r="C549" s="113" t="s">
        <v>35</v>
      </c>
      <c r="D549" s="113" t="s">
        <v>99</v>
      </c>
      <c r="E549" s="115" t="s">
        <v>141</v>
      </c>
      <c r="F549" s="113" t="s">
        <v>142</v>
      </c>
      <c r="G549" s="116" t="s">
        <v>2088</v>
      </c>
      <c r="H549" s="79">
        <v>46224</v>
      </c>
      <c r="I549" s="114" t="s">
        <v>79</v>
      </c>
      <c r="J549" s="117" t="s">
        <v>2089</v>
      </c>
      <c r="K549" s="118">
        <v>46210</v>
      </c>
      <c r="L549" s="114" t="s">
        <v>81</v>
      </c>
      <c r="M549" s="119">
        <v>46217</v>
      </c>
      <c r="N549" s="128">
        <v>46218</v>
      </c>
      <c r="O549" s="120">
        <f>NETWORKDAYS.INTL(K549,N549,1,$AM$2:$AM$10)-1</f>
        <v>6</v>
      </c>
      <c r="P549" s="114" t="s">
        <v>81</v>
      </c>
      <c r="Q549" s="114" t="s">
        <v>79</v>
      </c>
      <c r="R549" s="115"/>
      <c r="S549" s="145">
        <v>2432</v>
      </c>
      <c r="T549" s="148" t="s">
        <v>1246</v>
      </c>
      <c r="U549" s="147">
        <v>2</v>
      </c>
      <c r="V549" s="121">
        <v>64</v>
      </c>
      <c r="W549" s="121">
        <v>1600</v>
      </c>
      <c r="X549" s="114" t="s">
        <v>84</v>
      </c>
      <c r="Y549" s="115" t="s">
        <v>85</v>
      </c>
      <c r="Z549" s="115" t="s">
        <v>86</v>
      </c>
      <c r="AA549" s="113" t="s">
        <v>87</v>
      </c>
      <c r="AB549" s="122">
        <v>601.41</v>
      </c>
      <c r="AC549" s="122">
        <f>IF(C549="DENALI", AB549*0.495, IF(C549="SCHNEIDER ELECTRIC", AB549*1.136, IF(C549="WWT", AB549*1.2, AC549)))+AB549</f>
        <v>899.10794999999996</v>
      </c>
      <c r="AD549" s="129">
        <f>AC549-AB549</f>
        <v>297.69794999999999</v>
      </c>
      <c r="AE549" s="122">
        <v>132733.39000000001</v>
      </c>
      <c r="AF549" s="130">
        <f>AB549/U549</f>
        <v>300.70499999999998</v>
      </c>
      <c r="AG549" s="130">
        <f>AB549/V549</f>
        <v>9.3970312499999995</v>
      </c>
      <c r="AH549" s="123">
        <f>AB549/S549</f>
        <v>0.24729029605263156</v>
      </c>
      <c r="AI549" s="124" t="s">
        <v>97</v>
      </c>
      <c r="AJ549" s="125" t="s">
        <v>349</v>
      </c>
      <c r="AK549"/>
      <c r="AM549" s="80"/>
    </row>
    <row r="550" spans="1:39" ht="28.5" customHeight="1">
      <c r="A550" s="113" t="s">
        <v>73</v>
      </c>
      <c r="B550" s="114" t="s">
        <v>74</v>
      </c>
      <c r="C550" s="113" t="s">
        <v>227</v>
      </c>
      <c r="D550" s="113" t="s">
        <v>228</v>
      </c>
      <c r="E550" s="115" t="s">
        <v>1732</v>
      </c>
      <c r="F550" s="113" t="s">
        <v>396</v>
      </c>
      <c r="G550" s="116" t="s">
        <v>2090</v>
      </c>
      <c r="H550" s="79">
        <v>46225</v>
      </c>
      <c r="I550" s="114" t="s">
        <v>79</v>
      </c>
      <c r="J550" s="117" t="s">
        <v>2091</v>
      </c>
      <c r="K550" s="118">
        <v>46211</v>
      </c>
      <c r="L550" s="114" t="s">
        <v>81</v>
      </c>
      <c r="M550" s="119">
        <v>46218</v>
      </c>
      <c r="N550" s="128">
        <v>46212</v>
      </c>
      <c r="O550" s="120">
        <f>NETWORKDAYS.INTL(K550,N550,1,$AM$2:$AM$10)-1</f>
        <v>1</v>
      </c>
      <c r="P550" s="114" t="s">
        <v>81</v>
      </c>
      <c r="Q550" s="114" t="s">
        <v>79</v>
      </c>
      <c r="R550" s="115"/>
      <c r="S550" s="145">
        <v>40</v>
      </c>
      <c r="T550" s="148" t="s">
        <v>2092</v>
      </c>
      <c r="U550" s="147">
        <v>1</v>
      </c>
      <c r="V550" s="121">
        <v>286</v>
      </c>
      <c r="W550" s="121">
        <v>354</v>
      </c>
      <c r="X550" s="114" t="s">
        <v>84</v>
      </c>
      <c r="Y550" s="115" t="s">
        <v>85</v>
      </c>
      <c r="Z550" s="115" t="s">
        <v>1208</v>
      </c>
      <c r="AA550" s="113" t="s">
        <v>87</v>
      </c>
      <c r="AB550" s="122">
        <v>180.66</v>
      </c>
      <c r="AC550" s="122">
        <f>IF(C550="DENALI", AB550*0.495, IF(C550="SCHNEIDER ELECTRIC", AB550*1.136, IF(C550="WWT", AB550*1.2, AC550)))+AB550</f>
        <v>397.452</v>
      </c>
      <c r="AD550" s="129">
        <f>AC550-AB550</f>
        <v>216.792</v>
      </c>
      <c r="AE550" s="122">
        <v>122633.51</v>
      </c>
      <c r="AF550" s="130">
        <f>AB550/U550</f>
        <v>180.66</v>
      </c>
      <c r="AG550" s="130">
        <f>AB550/V550</f>
        <v>0.63167832167832172</v>
      </c>
      <c r="AH550" s="123">
        <f>AB550/S550</f>
        <v>4.5164999999999997</v>
      </c>
      <c r="AI550" s="124" t="s">
        <v>147</v>
      </c>
      <c r="AJ550" s="125" t="s">
        <v>2093</v>
      </c>
      <c r="AK550"/>
      <c r="AM550" s="80"/>
    </row>
    <row r="551" spans="1:39" ht="28.5" customHeight="1">
      <c r="A551" s="113" t="s">
        <v>73</v>
      </c>
      <c r="B551" s="114" t="s">
        <v>140</v>
      </c>
      <c r="C551" s="113" t="s">
        <v>35</v>
      </c>
      <c r="D551" s="113" t="s">
        <v>218</v>
      </c>
      <c r="E551" s="115" t="s">
        <v>141</v>
      </c>
      <c r="F551" s="113" t="s">
        <v>142</v>
      </c>
      <c r="G551" s="116" t="s">
        <v>2094</v>
      </c>
      <c r="H551" s="79">
        <v>46225</v>
      </c>
      <c r="I551" s="114" t="s">
        <v>79</v>
      </c>
      <c r="J551" s="117" t="s">
        <v>2095</v>
      </c>
      <c r="K551" s="118">
        <v>46211</v>
      </c>
      <c r="L551" s="114" t="s">
        <v>81</v>
      </c>
      <c r="M551" s="119">
        <v>46218</v>
      </c>
      <c r="N551" s="128">
        <v>46213</v>
      </c>
      <c r="O551" s="120">
        <f>NETWORKDAYS.INTL(K551,N551,1,$AM$2:$AM$10)-1</f>
        <v>2</v>
      </c>
      <c r="P551" s="114" t="s">
        <v>81</v>
      </c>
      <c r="Q551" s="114" t="s">
        <v>79</v>
      </c>
      <c r="R551" s="115"/>
      <c r="S551" s="145">
        <v>441</v>
      </c>
      <c r="T551" s="148" t="s">
        <v>2096</v>
      </c>
      <c r="U551" s="147">
        <v>1</v>
      </c>
      <c r="V551" s="121">
        <v>1275</v>
      </c>
      <c r="W551" s="121">
        <v>240</v>
      </c>
      <c r="X551" s="114" t="s">
        <v>84</v>
      </c>
      <c r="Y551" s="115" t="s">
        <v>85</v>
      </c>
      <c r="Z551" s="115" t="s">
        <v>1208</v>
      </c>
      <c r="AA551" s="113" t="s">
        <v>87</v>
      </c>
      <c r="AB551" s="122">
        <v>192.5</v>
      </c>
      <c r="AC551" s="122">
        <f>IF(C551="DENALI", AB551*0.495, IF(C551="SCHNEIDER ELECTRIC", AB551*1.136, IF(C551="WWT", AB551*1.2, AC551)))+AB551</f>
        <v>287.78750000000002</v>
      </c>
      <c r="AD551" s="129">
        <f>AC551-AB551</f>
        <v>95.287500000000023</v>
      </c>
      <c r="AE551" s="122">
        <v>48540.9</v>
      </c>
      <c r="AF551" s="130">
        <f>AB551/U551</f>
        <v>192.5</v>
      </c>
      <c r="AG551" s="130">
        <f>AB551/V551</f>
        <v>0.15098039215686274</v>
      </c>
      <c r="AH551" s="123">
        <f>AB551/S551</f>
        <v>0.43650793650793651</v>
      </c>
      <c r="AI551" s="124" t="s">
        <v>155</v>
      </c>
      <c r="AJ551" s="125" t="s">
        <v>89</v>
      </c>
      <c r="AK551"/>
      <c r="AM551" s="80"/>
    </row>
    <row r="552" spans="1:39" ht="28.5" customHeight="1">
      <c r="A552" s="113" t="s">
        <v>73</v>
      </c>
      <c r="B552" s="114" t="s">
        <v>74</v>
      </c>
      <c r="C552" s="113" t="s">
        <v>35</v>
      </c>
      <c r="D552" s="113" t="s">
        <v>99</v>
      </c>
      <c r="E552" s="115" t="s">
        <v>2097</v>
      </c>
      <c r="F552" s="113" t="s">
        <v>833</v>
      </c>
      <c r="G552" s="116" t="s">
        <v>2098</v>
      </c>
      <c r="H552" s="79">
        <v>46225</v>
      </c>
      <c r="I552" s="114" t="s">
        <v>79</v>
      </c>
      <c r="J552" s="117" t="s">
        <v>2099</v>
      </c>
      <c r="K552" s="118">
        <v>46211</v>
      </c>
      <c r="L552" s="114" t="s">
        <v>81</v>
      </c>
      <c r="M552" s="119">
        <v>46218</v>
      </c>
      <c r="N552" s="128">
        <v>46219</v>
      </c>
      <c r="O552" s="120">
        <f>NETWORKDAYS.INTL(K552,N552,1,$AM$2:$AM$10)-1</f>
        <v>6</v>
      </c>
      <c r="P552" s="114" t="s">
        <v>81</v>
      </c>
      <c r="Q552" s="114" t="s">
        <v>79</v>
      </c>
      <c r="R552" s="115"/>
      <c r="S552" s="145">
        <v>2231.5</v>
      </c>
      <c r="T552" s="148" t="s">
        <v>2100</v>
      </c>
      <c r="U552" s="147">
        <v>1</v>
      </c>
      <c r="V552" s="121">
        <v>23</v>
      </c>
      <c r="W552" s="121">
        <v>280</v>
      </c>
      <c r="X552" s="114" t="s">
        <v>84</v>
      </c>
      <c r="Y552" s="115" t="s">
        <v>85</v>
      </c>
      <c r="Z552" s="115" t="s">
        <v>86</v>
      </c>
      <c r="AA552" s="113" t="s">
        <v>87</v>
      </c>
      <c r="AB552" s="122">
        <v>350.55</v>
      </c>
      <c r="AC552" s="122">
        <f>IF(C552="DENALI", AB552*0.495, IF(C552="SCHNEIDER ELECTRIC", AB552*1.136, IF(C552="WWT", AB552*1.2, AC552)))+AB552</f>
        <v>524.07225000000005</v>
      </c>
      <c r="AD552" s="129">
        <f>AC552-AB552</f>
        <v>173.52225000000004</v>
      </c>
      <c r="AE552" s="122">
        <v>34311.9</v>
      </c>
      <c r="AF552" s="130">
        <f>AB552/U552</f>
        <v>350.55</v>
      </c>
      <c r="AG552" s="130">
        <f>AB552/V552</f>
        <v>15.241304347826087</v>
      </c>
      <c r="AH552" s="123">
        <f>AB552/S552</f>
        <v>0.15709164239300918</v>
      </c>
      <c r="AI552" s="124" t="s">
        <v>183</v>
      </c>
      <c r="AJ552" s="125" t="s">
        <v>379</v>
      </c>
      <c r="AK552"/>
      <c r="AM552" s="80"/>
    </row>
    <row r="553" spans="1:39" ht="28.5" customHeight="1">
      <c r="A553" s="113" t="s">
        <v>73</v>
      </c>
      <c r="B553" s="114" t="s">
        <v>74</v>
      </c>
      <c r="C553" s="113" t="s">
        <v>35</v>
      </c>
      <c r="D553" s="113" t="s">
        <v>218</v>
      </c>
      <c r="E553" s="115" t="s">
        <v>108</v>
      </c>
      <c r="F553" s="113" t="s">
        <v>109</v>
      </c>
      <c r="G553" s="116" t="s">
        <v>2101</v>
      </c>
      <c r="H553" s="79">
        <v>46225</v>
      </c>
      <c r="I553" s="114" t="s">
        <v>79</v>
      </c>
      <c r="J553" s="117" t="s">
        <v>2102</v>
      </c>
      <c r="K553" s="118">
        <v>46211</v>
      </c>
      <c r="L553" s="114" t="s">
        <v>81</v>
      </c>
      <c r="M553" s="119">
        <v>46213</v>
      </c>
      <c r="N553" s="128">
        <v>46216</v>
      </c>
      <c r="O553" s="120">
        <f>NETWORKDAYS.INTL(K553,N553,1,$AM$2:$AM$10)-1</f>
        <v>3</v>
      </c>
      <c r="P553" s="114" t="s">
        <v>81</v>
      </c>
      <c r="Q553" s="114" t="s">
        <v>79</v>
      </c>
      <c r="R553" s="115"/>
      <c r="S553" s="145">
        <v>1105</v>
      </c>
      <c r="T553" s="148" t="s">
        <v>2103</v>
      </c>
      <c r="U553" s="147">
        <v>1</v>
      </c>
      <c r="V553" s="121">
        <v>45</v>
      </c>
      <c r="W553" s="121">
        <v>265</v>
      </c>
      <c r="X553" s="114" t="s">
        <v>84</v>
      </c>
      <c r="Y553" s="115" t="s">
        <v>85</v>
      </c>
      <c r="Z553" s="115" t="s">
        <v>86</v>
      </c>
      <c r="AA553" s="113" t="s">
        <v>87</v>
      </c>
      <c r="AB553" s="122">
        <v>650.12</v>
      </c>
      <c r="AC553" s="122">
        <f>IF(C553="DENALI", AB553*0.495, IF(C553="SCHNEIDER ELECTRIC", AB553*1.136, IF(C553="WWT", AB553*1.2, AC553)))+AB553</f>
        <v>971.92939999999999</v>
      </c>
      <c r="AD553" s="129">
        <f>AC553-AB553</f>
        <v>321.80939999999998</v>
      </c>
      <c r="AE553" s="122">
        <v>35895.300000000003</v>
      </c>
      <c r="AF553" s="130">
        <f>AB553/U553</f>
        <v>650.12</v>
      </c>
      <c r="AG553" s="130">
        <f>AB553/V553</f>
        <v>14.447111111111111</v>
      </c>
      <c r="AH553" s="123">
        <f>AB553/S553</f>
        <v>0.58834389140271492</v>
      </c>
      <c r="AI553" s="124" t="s">
        <v>115</v>
      </c>
      <c r="AJ553" s="125" t="s">
        <v>107</v>
      </c>
      <c r="AK553"/>
      <c r="AM553" s="80"/>
    </row>
    <row r="554" spans="1:39" ht="28.5" customHeight="1">
      <c r="A554" s="113" t="s">
        <v>73</v>
      </c>
      <c r="B554" s="114" t="s">
        <v>140</v>
      </c>
      <c r="C554" s="113" t="s">
        <v>36</v>
      </c>
      <c r="D554" s="113" t="s">
        <v>75</v>
      </c>
      <c r="E554" s="115" t="s">
        <v>141</v>
      </c>
      <c r="F554" s="113" t="s">
        <v>142</v>
      </c>
      <c r="G554" s="116" t="s">
        <v>2104</v>
      </c>
      <c r="H554" s="79">
        <v>46226</v>
      </c>
      <c r="I554" s="114" t="s">
        <v>79</v>
      </c>
      <c r="J554" s="117" t="s">
        <v>2105</v>
      </c>
      <c r="K554" s="118">
        <v>46212</v>
      </c>
      <c r="L554" s="114" t="s">
        <v>81</v>
      </c>
      <c r="M554" s="119">
        <v>46216</v>
      </c>
      <c r="N554" s="128">
        <v>46218</v>
      </c>
      <c r="O554" s="120">
        <f>NETWORKDAYS.INTL(K554,N554,1,$AM$2:$AM$10)-1</f>
        <v>4</v>
      </c>
      <c r="P554" s="114" t="s">
        <v>81</v>
      </c>
      <c r="Q554" s="114" t="s">
        <v>79</v>
      </c>
      <c r="R554" s="115"/>
      <c r="S554" s="145">
        <v>721</v>
      </c>
      <c r="T554" s="148" t="s">
        <v>2106</v>
      </c>
      <c r="U554" s="147">
        <v>1</v>
      </c>
      <c r="V554" s="121">
        <v>8</v>
      </c>
      <c r="W554" s="121">
        <v>464</v>
      </c>
      <c r="X554" s="114" t="s">
        <v>84</v>
      </c>
      <c r="Y554" s="115" t="s">
        <v>85</v>
      </c>
      <c r="Z554" s="115" t="s">
        <v>86</v>
      </c>
      <c r="AA554" s="113" t="s">
        <v>87</v>
      </c>
      <c r="AB554" s="122">
        <v>255.02</v>
      </c>
      <c r="AC554" s="122">
        <f>IF(C554="DENALI", AB554*0.495, IF(C554="SCHNEIDER ELECTRIC", AB554*1.136, IF(C554="WWT", AB554*1.2, AC554)))+AB554</f>
        <v>544.72271999999998</v>
      </c>
      <c r="AD554" s="129">
        <f>AC554-AB554</f>
        <v>289.70272</v>
      </c>
      <c r="AE554" s="122">
        <v>4073.45</v>
      </c>
      <c r="AF554" s="130">
        <f>AB554/U554</f>
        <v>255.02</v>
      </c>
      <c r="AG554" s="130">
        <f>AB554/V554</f>
        <v>31.877500000000001</v>
      </c>
      <c r="AH554" s="123">
        <f>AB554/S554</f>
        <v>0.35370319001386963</v>
      </c>
      <c r="AI554" s="124" t="s">
        <v>97</v>
      </c>
      <c r="AJ554" s="125" t="s">
        <v>349</v>
      </c>
      <c r="AK554"/>
      <c r="AM554" s="80"/>
    </row>
    <row r="555" spans="1:39" ht="45.75">
      <c r="A555" s="113" t="s">
        <v>73</v>
      </c>
      <c r="B555" s="114" t="s">
        <v>140</v>
      </c>
      <c r="C555" s="113" t="s">
        <v>35</v>
      </c>
      <c r="D555" s="113" t="s">
        <v>218</v>
      </c>
      <c r="E555" s="115" t="s">
        <v>141</v>
      </c>
      <c r="F555" s="113" t="s">
        <v>142</v>
      </c>
      <c r="G555" s="116" t="s">
        <v>2107</v>
      </c>
      <c r="H555" s="79">
        <v>46226</v>
      </c>
      <c r="I555" s="114" t="s">
        <v>79</v>
      </c>
      <c r="J555" s="117" t="s">
        <v>2108</v>
      </c>
      <c r="K555" s="118">
        <v>46212</v>
      </c>
      <c r="L555" s="114" t="s">
        <v>81</v>
      </c>
      <c r="M555" s="119">
        <v>46213</v>
      </c>
      <c r="N555" s="128">
        <v>46216</v>
      </c>
      <c r="O555" s="120">
        <f>NETWORKDAYS.INTL(K555,N555,1,$AM$2:$AM$10)-1</f>
        <v>2</v>
      </c>
      <c r="P555" s="114" t="s">
        <v>81</v>
      </c>
      <c r="Q555" s="114" t="s">
        <v>79</v>
      </c>
      <c r="R555" s="115"/>
      <c r="S555" s="145">
        <v>441</v>
      </c>
      <c r="T555" s="148" t="s">
        <v>2109</v>
      </c>
      <c r="U555" s="147">
        <v>3</v>
      </c>
      <c r="V555" s="121">
        <v>253</v>
      </c>
      <c r="W555" s="121">
        <v>1545</v>
      </c>
      <c r="X555" s="114" t="s">
        <v>84</v>
      </c>
      <c r="Y555" s="115" t="s">
        <v>85</v>
      </c>
      <c r="Z555" s="115" t="s">
        <v>1208</v>
      </c>
      <c r="AA555" s="113" t="s">
        <v>87</v>
      </c>
      <c r="AB555" s="122">
        <v>696.93</v>
      </c>
      <c r="AC555" s="122">
        <f>IF(C555="DENALI", AB555*0.495, IF(C555="SCHNEIDER ELECTRIC", AB555*1.136, IF(C555="WWT", AB555*1.2, AC555)))+AB555</f>
        <v>1041.9103499999999</v>
      </c>
      <c r="AD555" s="129">
        <f>AC555-AB555</f>
        <v>344.98034999999993</v>
      </c>
      <c r="AE555" s="122">
        <v>78087.199999999997</v>
      </c>
      <c r="AF555" s="130">
        <f>AB555/U555</f>
        <v>232.30999999999997</v>
      </c>
      <c r="AG555" s="130">
        <f>AB555/V555</f>
        <v>2.7546640316205533</v>
      </c>
      <c r="AH555" s="123">
        <f>AB555/S555</f>
        <v>1.5803401360544216</v>
      </c>
      <c r="AI555" s="124" t="s">
        <v>183</v>
      </c>
      <c r="AJ555" s="125" t="s">
        <v>349</v>
      </c>
      <c r="AK555"/>
      <c r="AM555" s="80"/>
    </row>
    <row r="556" spans="1:39" ht="28.5" customHeight="1">
      <c r="A556" s="113" t="s">
        <v>73</v>
      </c>
      <c r="B556" s="114" t="s">
        <v>74</v>
      </c>
      <c r="C556" s="113" t="s">
        <v>35</v>
      </c>
      <c r="D556" s="113" t="s">
        <v>218</v>
      </c>
      <c r="E556" s="115" t="s">
        <v>779</v>
      </c>
      <c r="F556" s="113" t="s">
        <v>254</v>
      </c>
      <c r="G556" s="116" t="s">
        <v>2110</v>
      </c>
      <c r="H556" s="79">
        <v>46226</v>
      </c>
      <c r="I556" s="114" t="s">
        <v>79</v>
      </c>
      <c r="J556" s="117" t="s">
        <v>2111</v>
      </c>
      <c r="K556" s="118">
        <v>46212</v>
      </c>
      <c r="L556" s="114" t="s">
        <v>81</v>
      </c>
      <c r="M556" s="119">
        <v>46216</v>
      </c>
      <c r="N556" s="128">
        <v>46216</v>
      </c>
      <c r="O556" s="120">
        <f>NETWORKDAYS.INTL(K556,N556,1,$AM$2:$AM$10)-1</f>
        <v>2</v>
      </c>
      <c r="P556" s="114" t="s">
        <v>81</v>
      </c>
      <c r="Q556" s="114" t="s">
        <v>79</v>
      </c>
      <c r="R556" s="115"/>
      <c r="S556" s="145">
        <v>634</v>
      </c>
      <c r="T556" s="148" t="s">
        <v>2112</v>
      </c>
      <c r="U556" s="147">
        <v>1</v>
      </c>
      <c r="V556" s="121">
        <v>42</v>
      </c>
      <c r="W556" s="121">
        <v>645</v>
      </c>
      <c r="X556" s="114" t="s">
        <v>84</v>
      </c>
      <c r="Y556" s="115" t="s">
        <v>85</v>
      </c>
      <c r="Z556" s="115" t="s">
        <v>86</v>
      </c>
      <c r="AA556" s="113" t="s">
        <v>87</v>
      </c>
      <c r="AB556" s="122">
        <v>262.26</v>
      </c>
      <c r="AC556" s="122">
        <f>IF(C556="DENALI", AB556*0.495, IF(C556="SCHNEIDER ELECTRIC", AB556*1.136, IF(C556="WWT", AB556*1.2, AC556)))+AB556</f>
        <v>392.07870000000003</v>
      </c>
      <c r="AD556" s="129">
        <f>AC556-AB556</f>
        <v>129.81870000000004</v>
      </c>
      <c r="AE556" s="122">
        <v>55297.2</v>
      </c>
      <c r="AF556" s="130">
        <f>AB556/U556</f>
        <v>262.26</v>
      </c>
      <c r="AG556" s="130">
        <f>AB556/V556</f>
        <v>6.2442857142857138</v>
      </c>
      <c r="AH556" s="123">
        <f>AB556/S556</f>
        <v>0.41365930599369083</v>
      </c>
      <c r="AI556" s="124" t="s">
        <v>147</v>
      </c>
      <c r="AJ556" s="125" t="s">
        <v>343</v>
      </c>
      <c r="AK556"/>
      <c r="AM556" s="80"/>
    </row>
    <row r="557" spans="1:39" ht="28.5" customHeight="1">
      <c r="A557" s="113" t="s">
        <v>73</v>
      </c>
      <c r="B557" s="114" t="s">
        <v>74</v>
      </c>
      <c r="C557" s="113" t="s">
        <v>35</v>
      </c>
      <c r="D557" s="113" t="s">
        <v>218</v>
      </c>
      <c r="E557" s="115" t="s">
        <v>433</v>
      </c>
      <c r="F557" s="113" t="s">
        <v>131</v>
      </c>
      <c r="G557" s="116" t="s">
        <v>2113</v>
      </c>
      <c r="H557" s="79">
        <v>46226</v>
      </c>
      <c r="I557" s="114" t="s">
        <v>79</v>
      </c>
      <c r="J557" s="117" t="s">
        <v>2114</v>
      </c>
      <c r="K557" s="118">
        <v>46212</v>
      </c>
      <c r="L557" s="114" t="s">
        <v>81</v>
      </c>
      <c r="M557" s="119">
        <v>46216</v>
      </c>
      <c r="N557" s="128">
        <v>46216</v>
      </c>
      <c r="O557" s="120">
        <f>NETWORKDAYS.INTL(K557,N557,1,$AM$2:$AM$10)-1</f>
        <v>2</v>
      </c>
      <c r="P557" s="114" t="s">
        <v>81</v>
      </c>
      <c r="Q557" s="114" t="s">
        <v>79</v>
      </c>
      <c r="R557" s="115"/>
      <c r="S557" s="145">
        <v>862</v>
      </c>
      <c r="T557" s="148" t="s">
        <v>2115</v>
      </c>
      <c r="U557" s="147">
        <v>2</v>
      </c>
      <c r="V557" s="121">
        <v>278</v>
      </c>
      <c r="W557" s="121">
        <v>835</v>
      </c>
      <c r="X557" s="114" t="s">
        <v>84</v>
      </c>
      <c r="Y557" s="115" t="s">
        <v>85</v>
      </c>
      <c r="Z557" s="115" t="s">
        <v>1774</v>
      </c>
      <c r="AA557" s="113" t="s">
        <v>87</v>
      </c>
      <c r="AB557" s="122">
        <v>448.85</v>
      </c>
      <c r="AC557" s="122">
        <f>IF(C557="DENALI", AB557*0.495, IF(C557="SCHNEIDER ELECTRIC", AB557*1.136, IF(C557="WWT", AB557*1.2, AC557)))+AB557</f>
        <v>671.03075000000001</v>
      </c>
      <c r="AD557" s="129">
        <f>AC557-AB557</f>
        <v>222.18074999999999</v>
      </c>
      <c r="AE557" s="122">
        <v>94602.75</v>
      </c>
      <c r="AF557" s="130">
        <f>AB557/U557</f>
        <v>224.42500000000001</v>
      </c>
      <c r="AG557" s="130">
        <f>AB557/V557</f>
        <v>1.6145683453237412</v>
      </c>
      <c r="AH557" s="123">
        <f>AB557/S557</f>
        <v>0.52070765661252905</v>
      </c>
      <c r="AI557" s="124" t="s">
        <v>853</v>
      </c>
      <c r="AJ557" s="125" t="s">
        <v>670</v>
      </c>
      <c r="AK557"/>
      <c r="AM557" s="80"/>
    </row>
    <row r="558" spans="1:39" ht="28.5" customHeight="1">
      <c r="A558" s="113" t="s">
        <v>73</v>
      </c>
      <c r="B558" s="114" t="s">
        <v>140</v>
      </c>
      <c r="C558" s="113" t="s">
        <v>36</v>
      </c>
      <c r="D558" s="113" t="s">
        <v>75</v>
      </c>
      <c r="E558" s="115" t="s">
        <v>141</v>
      </c>
      <c r="F558" s="113" t="s">
        <v>142</v>
      </c>
      <c r="G558" s="116" t="s">
        <v>2116</v>
      </c>
      <c r="H558" s="79">
        <v>46226</v>
      </c>
      <c r="I558" s="114" t="s">
        <v>79</v>
      </c>
      <c r="J558" s="117" t="s">
        <v>2117</v>
      </c>
      <c r="K558" s="118">
        <v>46216</v>
      </c>
      <c r="L558" s="114" t="s">
        <v>81</v>
      </c>
      <c r="M558" s="119">
        <v>46217</v>
      </c>
      <c r="N558" s="128">
        <v>46227</v>
      </c>
      <c r="O558" s="120">
        <f>NETWORKDAYS.INTL(K558,N558,1,$AM$2:$AM$10)-1</f>
        <v>9</v>
      </c>
      <c r="P558" s="114" t="s">
        <v>81</v>
      </c>
      <c r="Q558" s="114" t="s">
        <v>79</v>
      </c>
      <c r="R558" s="115"/>
      <c r="S558" s="145">
        <v>728</v>
      </c>
      <c r="T558" s="148" t="s">
        <v>2118</v>
      </c>
      <c r="U558" s="147">
        <v>2</v>
      </c>
      <c r="V558" s="121">
        <v>12</v>
      </c>
      <c r="W558" s="121">
        <v>1266</v>
      </c>
      <c r="X558" s="114" t="s">
        <v>84</v>
      </c>
      <c r="Y558" s="115" t="s">
        <v>85</v>
      </c>
      <c r="Z558" s="115" t="s">
        <v>86</v>
      </c>
      <c r="AA558" s="113" t="s">
        <v>87</v>
      </c>
      <c r="AB558" s="122">
        <v>705.85</v>
      </c>
      <c r="AC558" s="122">
        <f>IF(C558="DENALI", AB558*0.495, IF(C558="SCHNEIDER ELECTRIC", AB558*1.136, IF(C558="WWT", AB558*1.2, AC558)))+AB558</f>
        <v>1507.6956</v>
      </c>
      <c r="AD558" s="129">
        <f>AC558-AB558</f>
        <v>801.84559999999999</v>
      </c>
      <c r="AE558" s="122">
        <v>68922.960000000006</v>
      </c>
      <c r="AF558" s="130">
        <f>AB558/U558</f>
        <v>352.92500000000001</v>
      </c>
      <c r="AG558" s="130">
        <f>AB558/V558</f>
        <v>58.820833333333333</v>
      </c>
      <c r="AH558" s="123">
        <f>AB558/S558</f>
        <v>0.96957417582417582</v>
      </c>
      <c r="AI558" s="124" t="s">
        <v>183</v>
      </c>
      <c r="AJ558" s="125" t="s">
        <v>379</v>
      </c>
      <c r="AK558"/>
      <c r="AM558" s="80"/>
    </row>
    <row r="559" spans="1:39" ht="28.5" customHeight="1">
      <c r="A559" s="113" t="s">
        <v>73</v>
      </c>
      <c r="B559" s="114" t="s">
        <v>74</v>
      </c>
      <c r="C559" s="113" t="s">
        <v>35</v>
      </c>
      <c r="D559" s="113" t="s">
        <v>99</v>
      </c>
      <c r="E559" s="115" t="s">
        <v>1259</v>
      </c>
      <c r="F559" s="113" t="s">
        <v>99</v>
      </c>
      <c r="G559" s="116">
        <v>23538976</v>
      </c>
      <c r="H559" s="79">
        <v>46226</v>
      </c>
      <c r="I559" s="114" t="s">
        <v>79</v>
      </c>
      <c r="J559" s="117" t="s">
        <v>2119</v>
      </c>
      <c r="K559" s="118">
        <v>46212</v>
      </c>
      <c r="L559" s="114" t="s">
        <v>81</v>
      </c>
      <c r="M559" s="119">
        <v>46213</v>
      </c>
      <c r="N559" s="128">
        <v>46213</v>
      </c>
      <c r="O559" s="120">
        <f>NETWORKDAYS.INTL(K559,N559,1,$AM$2:$AM$10)-1</f>
        <v>1</v>
      </c>
      <c r="P559" s="114" t="s">
        <v>81</v>
      </c>
      <c r="Q559" s="114" t="s">
        <v>79</v>
      </c>
      <c r="R559" s="115"/>
      <c r="S559" s="145">
        <v>143</v>
      </c>
      <c r="T559" s="148" t="s">
        <v>1997</v>
      </c>
      <c r="U559" s="147">
        <v>1</v>
      </c>
      <c r="V559" s="121">
        <v>1</v>
      </c>
      <c r="W559" s="121">
        <v>580</v>
      </c>
      <c r="X559" s="114" t="s">
        <v>113</v>
      </c>
      <c r="Y559" s="115" t="s">
        <v>85</v>
      </c>
      <c r="Z559" s="115" t="s">
        <v>2120</v>
      </c>
      <c r="AA559" s="113" t="s">
        <v>87</v>
      </c>
      <c r="AB559" s="122">
        <v>1355.94</v>
      </c>
      <c r="AC559" s="122">
        <f>IF(C559="DENALI", AB559*0.495, IF(C559="SCHNEIDER ELECTRIC", AB559*1.136, IF(C559="WWT", AB559*1.2, AC559)))+AB559</f>
        <v>2027.1303</v>
      </c>
      <c r="AD559" s="129">
        <f>AC559-AB559</f>
        <v>671.19029999999998</v>
      </c>
      <c r="AE559" s="122">
        <v>12157.42</v>
      </c>
      <c r="AF559" s="130">
        <f>AB559/U559</f>
        <v>1355.94</v>
      </c>
      <c r="AG559" s="130">
        <f>AB559/V559</f>
        <v>1355.94</v>
      </c>
      <c r="AH559" s="123">
        <f>AB559/S559</f>
        <v>9.4820979020979017</v>
      </c>
      <c r="AI559" s="124" t="s">
        <v>97</v>
      </c>
      <c r="AJ559" s="125" t="s">
        <v>349</v>
      </c>
      <c r="AK559"/>
      <c r="AM559" s="80"/>
    </row>
    <row r="560" spans="1:39" ht="28.5" customHeight="1">
      <c r="A560" s="113" t="s">
        <v>73</v>
      </c>
      <c r="B560" s="114" t="s">
        <v>74</v>
      </c>
      <c r="C560" s="113" t="s">
        <v>35</v>
      </c>
      <c r="D560" s="113" t="s">
        <v>99</v>
      </c>
      <c r="E560" s="115" t="s">
        <v>2010</v>
      </c>
      <c r="F560" s="113" t="s">
        <v>75</v>
      </c>
      <c r="G560" s="116">
        <v>23538119</v>
      </c>
      <c r="H560" s="79">
        <v>46226</v>
      </c>
      <c r="I560" s="114" t="s">
        <v>79</v>
      </c>
      <c r="J560" s="117" t="s">
        <v>2121</v>
      </c>
      <c r="K560" s="118">
        <v>46212</v>
      </c>
      <c r="L560" s="114" t="s">
        <v>81</v>
      </c>
      <c r="M560" s="119">
        <v>46216</v>
      </c>
      <c r="N560" s="128">
        <v>46216</v>
      </c>
      <c r="O560" s="120">
        <f>NETWORKDAYS.INTL(K560,N560,1,$AM$2:$AM$10)-1</f>
        <v>2</v>
      </c>
      <c r="P560" s="114" t="s">
        <v>81</v>
      </c>
      <c r="Q560" s="114" t="s">
        <v>79</v>
      </c>
      <c r="R560" s="115"/>
      <c r="S560" s="145">
        <v>2749</v>
      </c>
      <c r="T560" s="148" t="s">
        <v>2012</v>
      </c>
      <c r="U560" s="147">
        <v>1</v>
      </c>
      <c r="V560" s="121">
        <v>1</v>
      </c>
      <c r="W560" s="121">
        <v>580</v>
      </c>
      <c r="X560" s="114" t="s">
        <v>113</v>
      </c>
      <c r="Y560" s="115" t="s">
        <v>85</v>
      </c>
      <c r="Z560" s="115" t="s">
        <v>2122</v>
      </c>
      <c r="AA560" s="113" t="s">
        <v>87</v>
      </c>
      <c r="AB560" s="122">
        <v>7802.16</v>
      </c>
      <c r="AC560" s="122">
        <f>IF(C560="DENALI", AB560*0.495, IF(C560="SCHNEIDER ELECTRIC", AB560*1.136, IF(C560="WWT", AB560*1.2, AC560)))+AB560</f>
        <v>11664.2292</v>
      </c>
      <c r="AD560" s="129">
        <f>AC560-AB560</f>
        <v>3862.0691999999999</v>
      </c>
      <c r="AE560" s="122">
        <v>12157.42</v>
      </c>
      <c r="AF560" s="130">
        <f>AB560/U560</f>
        <v>7802.16</v>
      </c>
      <c r="AG560" s="130">
        <f>AB560/V560</f>
        <v>7802.16</v>
      </c>
      <c r="AH560" s="123">
        <f>AB560/S560</f>
        <v>2.8381811567842852</v>
      </c>
      <c r="AI560" s="124" t="s">
        <v>97</v>
      </c>
      <c r="AJ560" s="125" t="s">
        <v>349</v>
      </c>
      <c r="AK560"/>
      <c r="AM560" s="80"/>
    </row>
    <row r="561" spans="1:39" ht="28.5" customHeight="1">
      <c r="A561" s="113" t="s">
        <v>73</v>
      </c>
      <c r="B561" s="114" t="s">
        <v>74</v>
      </c>
      <c r="C561" s="113" t="s">
        <v>35</v>
      </c>
      <c r="D561" s="113" t="s">
        <v>99</v>
      </c>
      <c r="E561" s="115" t="s">
        <v>883</v>
      </c>
      <c r="F561" s="113" t="s">
        <v>254</v>
      </c>
      <c r="G561" s="116">
        <v>23538394</v>
      </c>
      <c r="H561" s="79">
        <v>46226</v>
      </c>
      <c r="I561" s="114" t="s">
        <v>79</v>
      </c>
      <c r="J561" s="117" t="s">
        <v>2123</v>
      </c>
      <c r="K561" s="118">
        <v>46212</v>
      </c>
      <c r="L561" s="114" t="s">
        <v>81</v>
      </c>
      <c r="M561" s="119">
        <v>46216</v>
      </c>
      <c r="N561" s="128">
        <v>46216</v>
      </c>
      <c r="O561" s="120">
        <f>NETWORKDAYS.INTL(K561,N561,1,$AM$2:$AM$10)-1</f>
        <v>2</v>
      </c>
      <c r="P561" s="114" t="s">
        <v>81</v>
      </c>
      <c r="Q561" s="114" t="s">
        <v>79</v>
      </c>
      <c r="R561" s="115"/>
      <c r="S561" s="145">
        <v>2776</v>
      </c>
      <c r="T561" s="148" t="s">
        <v>2124</v>
      </c>
      <c r="U561" s="147">
        <v>5</v>
      </c>
      <c r="V561" s="121">
        <v>5</v>
      </c>
      <c r="W561" s="121">
        <v>2865</v>
      </c>
      <c r="X561" s="114" t="s">
        <v>113</v>
      </c>
      <c r="Y561" s="115" t="s">
        <v>85</v>
      </c>
      <c r="Z561" s="115" t="s">
        <v>1995</v>
      </c>
      <c r="AA561" s="113" t="s">
        <v>87</v>
      </c>
      <c r="AB561" s="122">
        <v>5981.3</v>
      </c>
      <c r="AC561" s="122">
        <f>IF(C561="DENALI", AB561*0.495, IF(C561="SCHNEIDER ELECTRIC", AB561*1.136, IF(C561="WWT", AB561*1.2, AC561)))+AB561</f>
        <v>8942.0434999999998</v>
      </c>
      <c r="AD561" s="129">
        <f>AC561-AB561</f>
        <v>2960.7434999999996</v>
      </c>
      <c r="AE561" s="122">
        <v>40380.46</v>
      </c>
      <c r="AF561" s="130">
        <f>AB561/U561</f>
        <v>1196.26</v>
      </c>
      <c r="AG561" s="130">
        <f>AB561/V561</f>
        <v>1196.26</v>
      </c>
      <c r="AH561" s="123">
        <f>AB561/S561</f>
        <v>2.1546469740634007</v>
      </c>
      <c r="AI561" s="124" t="s">
        <v>97</v>
      </c>
      <c r="AJ561" s="125" t="s">
        <v>349</v>
      </c>
      <c r="AK561"/>
      <c r="AM561" s="80"/>
    </row>
    <row r="562" spans="1:39" ht="28.5" customHeight="1">
      <c r="A562" s="113" t="s">
        <v>73</v>
      </c>
      <c r="B562" s="114" t="s">
        <v>74</v>
      </c>
      <c r="C562" s="113" t="s">
        <v>35</v>
      </c>
      <c r="D562" s="113" t="s">
        <v>99</v>
      </c>
      <c r="E562" s="115" t="s">
        <v>1288</v>
      </c>
      <c r="F562" s="113" t="s">
        <v>585</v>
      </c>
      <c r="G562" s="116">
        <v>23538940</v>
      </c>
      <c r="H562" s="79">
        <v>46226</v>
      </c>
      <c r="I562" s="114" t="s">
        <v>79</v>
      </c>
      <c r="J562" s="117" t="s">
        <v>2125</v>
      </c>
      <c r="K562" s="118">
        <v>46213</v>
      </c>
      <c r="L562" s="114" t="s">
        <v>81</v>
      </c>
      <c r="M562" s="119">
        <v>46216</v>
      </c>
      <c r="N562" s="128">
        <v>46216</v>
      </c>
      <c r="O562" s="120">
        <f>NETWORKDAYS.INTL(K562,N562,1,$AM$2:$AM$10)-1</f>
        <v>1</v>
      </c>
      <c r="P562" s="114" t="s">
        <v>81</v>
      </c>
      <c r="Q562" s="114" t="s">
        <v>79</v>
      </c>
      <c r="R562" s="115"/>
      <c r="S562" s="145">
        <v>1519</v>
      </c>
      <c r="T562" s="148" t="s">
        <v>2126</v>
      </c>
      <c r="U562" s="147">
        <v>2</v>
      </c>
      <c r="V562" s="121">
        <v>2</v>
      </c>
      <c r="W562" s="121">
        <v>1290</v>
      </c>
      <c r="X562" s="114" t="s">
        <v>113</v>
      </c>
      <c r="Y562" s="115" t="s">
        <v>85</v>
      </c>
      <c r="Z562" s="115" t="s">
        <v>2127</v>
      </c>
      <c r="AA562" s="113" t="s">
        <v>87</v>
      </c>
      <c r="AB562" s="122">
        <v>2894.43</v>
      </c>
      <c r="AC562" s="122">
        <f>IF(C562="DENALI", AB562*0.495, IF(C562="SCHNEIDER ELECTRIC", AB562*1.136, IF(C562="WWT", AB562*1.2, AC562)))+AB562</f>
        <v>4327.1728499999999</v>
      </c>
      <c r="AD562" s="129">
        <f>AC562-AB562</f>
        <v>1432.7428500000001</v>
      </c>
      <c r="AE562" s="122">
        <v>12157.42</v>
      </c>
      <c r="AF562" s="130">
        <f>AB562/U562</f>
        <v>1447.2149999999999</v>
      </c>
      <c r="AG562" s="130">
        <f>AB562/V562</f>
        <v>1447.2149999999999</v>
      </c>
      <c r="AH562" s="123">
        <f>AB562/S562</f>
        <v>1.9054838709677417</v>
      </c>
      <c r="AI562" s="124" t="s">
        <v>97</v>
      </c>
      <c r="AJ562" s="125" t="s">
        <v>349</v>
      </c>
      <c r="AK562"/>
      <c r="AM562" s="80"/>
    </row>
    <row r="563" spans="1:39" ht="28.5" customHeight="1">
      <c r="A563" s="113" t="s">
        <v>73</v>
      </c>
      <c r="B563" s="114" t="s">
        <v>74</v>
      </c>
      <c r="C563" s="113" t="s">
        <v>35</v>
      </c>
      <c r="D563" s="113" t="s">
        <v>99</v>
      </c>
      <c r="E563" s="115" t="s">
        <v>951</v>
      </c>
      <c r="F563" s="113" t="s">
        <v>109</v>
      </c>
      <c r="G563" s="116">
        <v>23539320</v>
      </c>
      <c r="H563" s="79">
        <v>46226</v>
      </c>
      <c r="I563" s="114" t="s">
        <v>79</v>
      </c>
      <c r="J563" s="117" t="s">
        <v>2128</v>
      </c>
      <c r="K563" s="118">
        <v>46212</v>
      </c>
      <c r="L563" s="114" t="s">
        <v>81</v>
      </c>
      <c r="M563" s="119">
        <v>46216</v>
      </c>
      <c r="N563" s="128">
        <v>46217</v>
      </c>
      <c r="O563" s="120">
        <f>NETWORKDAYS.INTL(K563,N563,1,$AM$2:$AM$10)-1</f>
        <v>3</v>
      </c>
      <c r="P563" s="114" t="s">
        <v>81</v>
      </c>
      <c r="Q563" s="114" t="s">
        <v>79</v>
      </c>
      <c r="R563" s="115"/>
      <c r="S563" s="145">
        <v>3030</v>
      </c>
      <c r="T563" s="148" t="s">
        <v>2003</v>
      </c>
      <c r="U563" s="147">
        <v>1</v>
      </c>
      <c r="V563" s="121">
        <v>1</v>
      </c>
      <c r="W563" s="121">
        <v>580</v>
      </c>
      <c r="X563" s="114" t="s">
        <v>113</v>
      </c>
      <c r="Y563" s="115" t="s">
        <v>85</v>
      </c>
      <c r="Z563" s="115" t="s">
        <v>1995</v>
      </c>
      <c r="AA563" s="113" t="s">
        <v>87</v>
      </c>
      <c r="AB563" s="122">
        <v>7904.38</v>
      </c>
      <c r="AC563" s="122">
        <f>IF(C563="DENALI", AB563*0.495, IF(C563="SCHNEIDER ELECTRIC", AB563*1.136, IF(C563="WWT", AB563*1.2, AC563)))+AB563</f>
        <v>11817.0481</v>
      </c>
      <c r="AD563" s="129">
        <f>AC563-AB563</f>
        <v>3912.6680999999999</v>
      </c>
      <c r="AE563" s="122">
        <v>12157.42</v>
      </c>
      <c r="AF563" s="130">
        <f>AB563/U563</f>
        <v>7904.38</v>
      </c>
      <c r="AG563" s="130">
        <f>AB563/V563</f>
        <v>7904.38</v>
      </c>
      <c r="AH563" s="123">
        <f>AB563/S563</f>
        <v>2.6087062706270627</v>
      </c>
      <c r="AI563" s="124" t="s">
        <v>97</v>
      </c>
      <c r="AJ563" s="125" t="s">
        <v>349</v>
      </c>
      <c r="AK563"/>
      <c r="AM563" s="80"/>
    </row>
    <row r="564" spans="1:39" ht="28.5" customHeight="1">
      <c r="A564" s="113" t="s">
        <v>73</v>
      </c>
      <c r="B564" s="114" t="s">
        <v>74</v>
      </c>
      <c r="C564" s="113" t="s">
        <v>35</v>
      </c>
      <c r="D564" s="113" t="s">
        <v>99</v>
      </c>
      <c r="E564" s="115" t="s">
        <v>1194</v>
      </c>
      <c r="F564" s="113" t="s">
        <v>1103</v>
      </c>
      <c r="G564" s="116">
        <v>23539606</v>
      </c>
      <c r="H564" s="79">
        <v>46226</v>
      </c>
      <c r="I564" s="114" t="s">
        <v>79</v>
      </c>
      <c r="J564" s="117" t="s">
        <v>2129</v>
      </c>
      <c r="K564" s="118">
        <v>46212</v>
      </c>
      <c r="L564" s="114" t="s">
        <v>81</v>
      </c>
      <c r="M564" s="119">
        <v>46216</v>
      </c>
      <c r="N564" s="128">
        <v>46216</v>
      </c>
      <c r="O564" s="120">
        <f>NETWORKDAYS.INTL(K564,N564,1,$AM$2:$AM$10)-1</f>
        <v>2</v>
      </c>
      <c r="P564" s="114" t="s">
        <v>81</v>
      </c>
      <c r="Q564" s="114" t="s">
        <v>79</v>
      </c>
      <c r="R564" s="115"/>
      <c r="S564" s="145">
        <v>1874</v>
      </c>
      <c r="T564" s="148" t="s">
        <v>2130</v>
      </c>
      <c r="U564" s="147">
        <v>2</v>
      </c>
      <c r="V564" s="121">
        <v>2</v>
      </c>
      <c r="W564" s="121">
        <v>615</v>
      </c>
      <c r="X564" s="114" t="s">
        <v>113</v>
      </c>
      <c r="Y564" s="115" t="s">
        <v>85</v>
      </c>
      <c r="Z564" s="115" t="s">
        <v>2131</v>
      </c>
      <c r="AA564" s="113" t="s">
        <v>87</v>
      </c>
      <c r="AB564" s="122">
        <v>5636.1</v>
      </c>
      <c r="AC564" s="122">
        <f>IF(C564="DENALI", AB564*0.495, IF(C564="SCHNEIDER ELECTRIC", AB564*1.136, IF(C564="WWT", AB564*1.2, AC564)))+AB564</f>
        <v>8425.9695000000011</v>
      </c>
      <c r="AD564" s="129">
        <f>AC564-AB564</f>
        <v>2789.8695000000007</v>
      </c>
      <c r="AE564" s="122">
        <v>12157.42</v>
      </c>
      <c r="AF564" s="130">
        <f>AB564/U564</f>
        <v>2818.05</v>
      </c>
      <c r="AG564" s="130">
        <f>AB564/V564</f>
        <v>2818.05</v>
      </c>
      <c r="AH564" s="123">
        <f>AB564/S564</f>
        <v>3.0075240128068303</v>
      </c>
      <c r="AI564" s="124" t="s">
        <v>97</v>
      </c>
      <c r="AJ564" s="125" t="s">
        <v>349</v>
      </c>
      <c r="AK564"/>
      <c r="AM564" s="80"/>
    </row>
    <row r="565" spans="1:39" ht="28.5" customHeight="1">
      <c r="A565" s="113" t="s">
        <v>73</v>
      </c>
      <c r="B565" s="114" t="s">
        <v>74</v>
      </c>
      <c r="C565" s="113" t="s">
        <v>35</v>
      </c>
      <c r="D565" s="113" t="s">
        <v>99</v>
      </c>
      <c r="E565" s="115" t="s">
        <v>1086</v>
      </c>
      <c r="F565" s="113" t="s">
        <v>218</v>
      </c>
      <c r="G565" s="116">
        <v>23539922</v>
      </c>
      <c r="H565" s="79">
        <v>46226</v>
      </c>
      <c r="I565" s="114" t="s">
        <v>79</v>
      </c>
      <c r="J565" s="117" t="s">
        <v>2132</v>
      </c>
      <c r="K565" s="118">
        <v>46212</v>
      </c>
      <c r="L565" s="114" t="s">
        <v>81</v>
      </c>
      <c r="M565" s="119">
        <v>46216</v>
      </c>
      <c r="N565" s="128">
        <v>46216</v>
      </c>
      <c r="O565" s="120">
        <f>NETWORKDAYS.INTL(K565,N565,1,$AM$2:$AM$10)-1</f>
        <v>2</v>
      </c>
      <c r="P565" s="114" t="s">
        <v>81</v>
      </c>
      <c r="Q565" s="114" t="s">
        <v>79</v>
      </c>
      <c r="R565" s="115"/>
      <c r="S565" s="145">
        <v>2266.5</v>
      </c>
      <c r="T565" s="148" t="s">
        <v>2000</v>
      </c>
      <c r="U565" s="147">
        <v>2</v>
      </c>
      <c r="V565" s="121">
        <v>2</v>
      </c>
      <c r="W565" s="121">
        <v>615</v>
      </c>
      <c r="X565" s="114" t="s">
        <v>113</v>
      </c>
      <c r="Y565" s="115" t="s">
        <v>85</v>
      </c>
      <c r="Z565" s="115" t="s">
        <v>2120</v>
      </c>
      <c r="AA565" s="113" t="s">
        <v>87</v>
      </c>
      <c r="AB565" s="122">
        <v>5643.34</v>
      </c>
      <c r="AC565" s="122">
        <f>IF(C565="DENALI", AB565*0.495, IF(C565="SCHNEIDER ELECTRIC", AB565*1.136, IF(C565="WWT", AB565*1.2, AC565)))+AB565</f>
        <v>8436.7933000000012</v>
      </c>
      <c r="AD565" s="129">
        <f>AC565-AB565</f>
        <v>2793.453300000001</v>
      </c>
      <c r="AE565" s="122">
        <v>12157.42</v>
      </c>
      <c r="AF565" s="130">
        <f>AB565/U565</f>
        <v>2821.67</v>
      </c>
      <c r="AG565" s="130">
        <f>AB565/V565</f>
        <v>2821.67</v>
      </c>
      <c r="AH565" s="123">
        <f>AB565/S565</f>
        <v>2.4898919038164573</v>
      </c>
      <c r="AI565" s="124" t="s">
        <v>97</v>
      </c>
      <c r="AJ565" s="125" t="s">
        <v>349</v>
      </c>
      <c r="AK565"/>
      <c r="AM565" s="80"/>
    </row>
    <row r="566" spans="1:39" ht="28.5" customHeight="1">
      <c r="A566" s="113" t="s">
        <v>73</v>
      </c>
      <c r="B566" s="114" t="s">
        <v>74</v>
      </c>
      <c r="C566" s="113" t="s">
        <v>35</v>
      </c>
      <c r="D566" s="113" t="s">
        <v>99</v>
      </c>
      <c r="E566" s="115" t="s">
        <v>1190</v>
      </c>
      <c r="F566" s="113" t="s">
        <v>90</v>
      </c>
      <c r="G566" s="116">
        <v>23540016</v>
      </c>
      <c r="H566" s="79">
        <v>46226</v>
      </c>
      <c r="I566" s="114" t="s">
        <v>79</v>
      </c>
      <c r="J566" s="117" t="s">
        <v>2133</v>
      </c>
      <c r="K566" s="118">
        <v>46212</v>
      </c>
      <c r="L566" s="114" t="s">
        <v>81</v>
      </c>
      <c r="M566" s="119">
        <v>46216</v>
      </c>
      <c r="N566" s="128">
        <v>46213</v>
      </c>
      <c r="O566" s="120">
        <f>NETWORKDAYS.INTL(K566,N566,1,$AM$2:$AM$10)-1</f>
        <v>1</v>
      </c>
      <c r="P566" s="114" t="s">
        <v>81</v>
      </c>
      <c r="Q566" s="114" t="s">
        <v>79</v>
      </c>
      <c r="R566" s="115"/>
      <c r="S566" s="145">
        <v>977</v>
      </c>
      <c r="T566" s="148" t="s">
        <v>2006</v>
      </c>
      <c r="U566" s="147">
        <v>2</v>
      </c>
      <c r="V566" s="121">
        <v>2</v>
      </c>
      <c r="W566" s="121">
        <v>615</v>
      </c>
      <c r="X566" s="114" t="s">
        <v>113</v>
      </c>
      <c r="Y566" s="115" t="s">
        <v>85</v>
      </c>
      <c r="Z566" s="115" t="s">
        <v>2134</v>
      </c>
      <c r="AA566" s="113" t="s">
        <v>87</v>
      </c>
      <c r="AB566" s="122">
        <v>2401.94</v>
      </c>
      <c r="AC566" s="122">
        <f>IF(C566="DENALI", AB566*0.495, IF(C566="SCHNEIDER ELECTRIC", AB566*1.136, IF(C566="WWT", AB566*1.2, AC566)))+AB566</f>
        <v>3590.9003000000002</v>
      </c>
      <c r="AD566" s="129">
        <f>AC566-AB566</f>
        <v>1188.9603000000002</v>
      </c>
      <c r="AE566" s="122">
        <v>12157.42</v>
      </c>
      <c r="AF566" s="130">
        <f>AB566/U566</f>
        <v>1200.97</v>
      </c>
      <c r="AG566" s="130">
        <f>AB566/V566</f>
        <v>1200.97</v>
      </c>
      <c r="AH566" s="123">
        <f>AB566/S566</f>
        <v>2.4584851586489251</v>
      </c>
      <c r="AI566" s="124" t="s">
        <v>97</v>
      </c>
      <c r="AJ566" s="125" t="s">
        <v>349</v>
      </c>
      <c r="AK566"/>
      <c r="AM566" s="80"/>
    </row>
    <row r="567" spans="1:39" ht="28.5" customHeight="1">
      <c r="A567" s="113" t="s">
        <v>73</v>
      </c>
      <c r="B567" s="114" t="s">
        <v>74</v>
      </c>
      <c r="C567" s="113" t="s">
        <v>35</v>
      </c>
      <c r="D567" s="113" t="s">
        <v>99</v>
      </c>
      <c r="E567" s="115" t="s">
        <v>1066</v>
      </c>
      <c r="F567" s="113" t="s">
        <v>370</v>
      </c>
      <c r="G567" s="116">
        <v>23540410</v>
      </c>
      <c r="H567" s="79">
        <v>46226</v>
      </c>
      <c r="I567" s="114" t="s">
        <v>79</v>
      </c>
      <c r="J567" s="117" t="s">
        <v>2135</v>
      </c>
      <c r="K567" s="118">
        <v>46212</v>
      </c>
      <c r="L567" s="114" t="s">
        <v>81</v>
      </c>
      <c r="M567" s="119">
        <v>46216</v>
      </c>
      <c r="N567" s="128">
        <v>46216</v>
      </c>
      <c r="O567" s="120">
        <f>NETWORKDAYS.INTL(K567,N567,1,$AM$2:$AM$10)-1</f>
        <v>2</v>
      </c>
      <c r="P567" s="114" t="s">
        <v>81</v>
      </c>
      <c r="Q567" s="114" t="s">
        <v>79</v>
      </c>
      <c r="R567" s="115"/>
      <c r="S567" s="145">
        <v>2713</v>
      </c>
      <c r="T567" s="148" t="s">
        <v>1994</v>
      </c>
      <c r="U567" s="147">
        <v>2</v>
      </c>
      <c r="V567" s="121">
        <v>2</v>
      </c>
      <c r="W567" s="121">
        <v>615</v>
      </c>
      <c r="X567" s="114" t="s">
        <v>113</v>
      </c>
      <c r="Y567" s="169" t="s">
        <v>85</v>
      </c>
      <c r="Z567" s="169" t="s">
        <v>2136</v>
      </c>
      <c r="AA567" s="202" t="s">
        <v>87</v>
      </c>
      <c r="AB567" s="179">
        <v>6448.13</v>
      </c>
      <c r="AC567" s="179">
        <f>IF(C567="DENALI", AB567*0.495, IF(C567="SCHNEIDER ELECTRIC", AB567*1.136, IF(C567="WWT", AB567*1.2, AC567)))+AB567</f>
        <v>9639.95435</v>
      </c>
      <c r="AD567" s="288">
        <f>AC567-AB567</f>
        <v>3191.8243499999999</v>
      </c>
      <c r="AE567" s="179">
        <v>21565.1</v>
      </c>
      <c r="AF567" s="235">
        <f>AB567/U567</f>
        <v>3224.0650000000001</v>
      </c>
      <c r="AG567" s="235">
        <f>AB567/V567</f>
        <v>3224.0650000000001</v>
      </c>
      <c r="AH567" s="236">
        <f>AB567/S567</f>
        <v>2.3767526723184669</v>
      </c>
      <c r="AI567" s="237" t="s">
        <v>97</v>
      </c>
      <c r="AJ567" s="125" t="s">
        <v>349</v>
      </c>
      <c r="AK567"/>
      <c r="AM567" s="80"/>
    </row>
    <row r="568" spans="1:39" ht="28.5" customHeight="1">
      <c r="A568" s="113" t="s">
        <v>73</v>
      </c>
      <c r="B568" s="114" t="s">
        <v>74</v>
      </c>
      <c r="C568" s="113" t="s">
        <v>35</v>
      </c>
      <c r="D568" s="113" t="s">
        <v>99</v>
      </c>
      <c r="E568" s="115" t="s">
        <v>1284</v>
      </c>
      <c r="F568" s="113" t="s">
        <v>207</v>
      </c>
      <c r="G568" s="116">
        <v>23540217</v>
      </c>
      <c r="H568" s="79">
        <v>46226</v>
      </c>
      <c r="I568" s="114" t="s">
        <v>79</v>
      </c>
      <c r="J568" s="117" t="s">
        <v>2137</v>
      </c>
      <c r="K568" s="118">
        <v>46212</v>
      </c>
      <c r="L568" s="114" t="s">
        <v>81</v>
      </c>
      <c r="M568" s="119">
        <v>46216</v>
      </c>
      <c r="N568" s="128">
        <v>46216</v>
      </c>
      <c r="O568" s="120">
        <f>NETWORKDAYS.INTL(K568,N568,1,$AM$2:$AM$10)-1</f>
        <v>2</v>
      </c>
      <c r="P568" s="114" t="s">
        <v>81</v>
      </c>
      <c r="Q568" s="114" t="s">
        <v>79</v>
      </c>
      <c r="R568" s="115"/>
      <c r="S568" s="145">
        <v>2398</v>
      </c>
      <c r="T568" s="148" t="s">
        <v>2015</v>
      </c>
      <c r="U568" s="147">
        <v>2</v>
      </c>
      <c r="V568" s="121">
        <v>2</v>
      </c>
      <c r="W568" s="121">
        <v>680</v>
      </c>
      <c r="X568" s="167" t="s">
        <v>113</v>
      </c>
      <c r="Y568" s="175" t="s">
        <v>85</v>
      </c>
      <c r="Z568" s="175" t="s">
        <v>2138</v>
      </c>
      <c r="AA568" s="148" t="s">
        <v>87</v>
      </c>
      <c r="AB568" s="283">
        <v>6484.59</v>
      </c>
      <c r="AC568" s="283">
        <f>IF(C568="DENALI", AB568*0.495, IF(C568="SCHNEIDER ELECTRIC", AB568*1.136, IF(C568="WWT", AB568*1.2, AC568)))+AB568</f>
        <v>9694.4620500000001</v>
      </c>
      <c r="AD568" s="284">
        <f>AC568-AB568</f>
        <v>3209.8720499999999</v>
      </c>
      <c r="AE568" s="283">
        <v>12157.42</v>
      </c>
      <c r="AF568" s="232">
        <f>AB568/U568</f>
        <v>3242.2950000000001</v>
      </c>
      <c r="AG568" s="232">
        <f>AB568/V568</f>
        <v>3242.2950000000001</v>
      </c>
      <c r="AH568" s="233">
        <f>AB568/S568</f>
        <v>2.704165971643036</v>
      </c>
      <c r="AI568" s="76" t="s">
        <v>97</v>
      </c>
      <c r="AJ568" s="349" t="s">
        <v>349</v>
      </c>
      <c r="AK568"/>
      <c r="AM568" s="80"/>
    </row>
    <row r="569" spans="1:39" ht="28.5" customHeight="1">
      <c r="A569" s="113" t="s">
        <v>73</v>
      </c>
      <c r="B569" s="114" t="s">
        <v>74</v>
      </c>
      <c r="C569" s="113" t="s">
        <v>35</v>
      </c>
      <c r="D569" s="113" t="s">
        <v>218</v>
      </c>
      <c r="E569" s="115" t="s">
        <v>2139</v>
      </c>
      <c r="F569" s="113" t="s">
        <v>457</v>
      </c>
      <c r="G569" s="116">
        <v>23546670</v>
      </c>
      <c r="H569" s="79">
        <v>46227</v>
      </c>
      <c r="I569" s="114" t="s">
        <v>79</v>
      </c>
      <c r="J569" s="117" t="s">
        <v>2140</v>
      </c>
      <c r="K569" s="118">
        <v>46213</v>
      </c>
      <c r="L569" s="114" t="s">
        <v>81</v>
      </c>
      <c r="M569" s="119">
        <v>46216</v>
      </c>
      <c r="N569" s="128">
        <v>46219</v>
      </c>
      <c r="O569" s="120">
        <f>NETWORKDAYS.INTL(K569,N569,1,$AM$2:$AM$10)-1</f>
        <v>4</v>
      </c>
      <c r="P569" s="114" t="s">
        <v>81</v>
      </c>
      <c r="Q569" s="114" t="s">
        <v>79</v>
      </c>
      <c r="R569" s="115"/>
      <c r="S569" s="145">
        <v>362</v>
      </c>
      <c r="T569" s="148" t="s">
        <v>2141</v>
      </c>
      <c r="U569" s="147">
        <v>8</v>
      </c>
      <c r="V569" s="121">
        <v>51</v>
      </c>
      <c r="W569" s="121">
        <v>8105</v>
      </c>
      <c r="X569" s="114" t="s">
        <v>113</v>
      </c>
      <c r="Y569" s="176" t="s">
        <v>85</v>
      </c>
      <c r="Z569" s="176" t="s">
        <v>2142</v>
      </c>
      <c r="AA569" s="307" t="s">
        <v>87</v>
      </c>
      <c r="AB569" s="351">
        <v>1910.79</v>
      </c>
      <c r="AC569" s="351">
        <f>IF(C569="DENALI", AB569*0.495, IF(C569="SCHNEIDER ELECTRIC", AB569*1.136, IF(C569="WWT", AB569*1.2, AC569)))+AB569</f>
        <v>2856.63105</v>
      </c>
      <c r="AD569" s="352">
        <f>AC569-AB569</f>
        <v>945.84105</v>
      </c>
      <c r="AE569" s="351">
        <v>208218.98</v>
      </c>
      <c r="AF569" s="353">
        <f>AB569/U569</f>
        <v>238.84875</v>
      </c>
      <c r="AG569" s="353">
        <f>AB569/V569</f>
        <v>37.466470588235296</v>
      </c>
      <c r="AH569" s="354">
        <f>AB569/S569</f>
        <v>5.2784254143646407</v>
      </c>
      <c r="AI569" s="154" t="s">
        <v>97</v>
      </c>
      <c r="AJ569" s="125" t="s">
        <v>349</v>
      </c>
      <c r="AK569"/>
      <c r="AM569" s="80"/>
    </row>
    <row r="570" spans="1:39" ht="28.5" customHeight="1">
      <c r="A570" s="113" t="s">
        <v>73</v>
      </c>
      <c r="B570" s="114" t="s">
        <v>140</v>
      </c>
      <c r="C570" s="113" t="s">
        <v>35</v>
      </c>
      <c r="D570" s="113" t="s">
        <v>218</v>
      </c>
      <c r="E570" s="115" t="s">
        <v>141</v>
      </c>
      <c r="F570" s="113" t="s">
        <v>142</v>
      </c>
      <c r="G570" s="116" t="s">
        <v>2143</v>
      </c>
      <c r="H570" s="79">
        <v>46227</v>
      </c>
      <c r="I570" s="114" t="s">
        <v>79</v>
      </c>
      <c r="J570" s="117" t="s">
        <v>2144</v>
      </c>
      <c r="K570" s="118">
        <v>46213</v>
      </c>
      <c r="L570" s="114" t="s">
        <v>81</v>
      </c>
      <c r="M570" s="119">
        <v>46216</v>
      </c>
      <c r="N570" s="128">
        <v>46218</v>
      </c>
      <c r="O570" s="120">
        <f>NETWORKDAYS.INTL(K570,N570,1,$AM$2:$AM$10)-1</f>
        <v>3</v>
      </c>
      <c r="P570" s="114" t="s">
        <v>81</v>
      </c>
      <c r="Q570" s="114" t="s">
        <v>79</v>
      </c>
      <c r="R570" s="115"/>
      <c r="S570" s="145">
        <v>441</v>
      </c>
      <c r="T570" s="148" t="s">
        <v>2145</v>
      </c>
      <c r="U570" s="147">
        <v>1</v>
      </c>
      <c r="V570" s="121">
        <v>48</v>
      </c>
      <c r="W570" s="121">
        <v>740</v>
      </c>
      <c r="X570" s="114" t="s">
        <v>84</v>
      </c>
      <c r="Y570" s="115" t="s">
        <v>85</v>
      </c>
      <c r="Z570" s="115" t="s">
        <v>1208</v>
      </c>
      <c r="AA570" s="113" t="s">
        <v>87</v>
      </c>
      <c r="AB570" s="122">
        <v>251.75</v>
      </c>
      <c r="AC570" s="122">
        <f>IF(C570="DENALI", AB570*0.495, IF(C570="SCHNEIDER ELECTRIC", AB570*1.136, IF(C570="WWT", AB570*1.2, AC570)))+AB570</f>
        <v>376.36624999999998</v>
      </c>
      <c r="AD570" s="129">
        <f>AC570-AB570</f>
        <v>124.61624999999998</v>
      </c>
      <c r="AE570" s="122">
        <v>57432.480000000003</v>
      </c>
      <c r="AF570" s="130">
        <f>AB570/U570</f>
        <v>251.75</v>
      </c>
      <c r="AG570" s="130">
        <f>AB570/V570</f>
        <v>5.244791666666667</v>
      </c>
      <c r="AH570" s="123">
        <f>AB570/S570</f>
        <v>0.57086167800453513</v>
      </c>
      <c r="AI570" s="124" t="s">
        <v>97</v>
      </c>
      <c r="AJ570" s="125" t="s">
        <v>349</v>
      </c>
      <c r="AK570"/>
      <c r="AM570" s="80"/>
    </row>
    <row r="571" spans="1:39" ht="28.5" customHeight="1">
      <c r="A571" s="113" t="s">
        <v>73</v>
      </c>
      <c r="B571" s="114" t="s">
        <v>74</v>
      </c>
      <c r="C571" s="113" t="s">
        <v>35</v>
      </c>
      <c r="D571" s="113" t="s">
        <v>218</v>
      </c>
      <c r="E571" s="115" t="s">
        <v>832</v>
      </c>
      <c r="F571" s="113" t="s">
        <v>833</v>
      </c>
      <c r="G571" s="116" t="s">
        <v>2146</v>
      </c>
      <c r="H571" s="79">
        <v>46227</v>
      </c>
      <c r="I571" s="114" t="s">
        <v>79</v>
      </c>
      <c r="J571" s="117" t="s">
        <v>2147</v>
      </c>
      <c r="K571" s="118">
        <v>46216</v>
      </c>
      <c r="L571" s="114" t="s">
        <v>81</v>
      </c>
      <c r="M571" s="119">
        <v>46223</v>
      </c>
      <c r="N571" s="128">
        <v>46218</v>
      </c>
      <c r="O571" s="120">
        <f>NETWORKDAYS.INTL(K571,N571,1,$AM$2:$AM$10)-1</f>
        <v>2</v>
      </c>
      <c r="P571" s="114" t="s">
        <v>81</v>
      </c>
      <c r="Q571" s="114" t="s">
        <v>79</v>
      </c>
      <c r="R571" s="115"/>
      <c r="S571" s="145">
        <v>733</v>
      </c>
      <c r="T571" s="148" t="s">
        <v>1609</v>
      </c>
      <c r="U571" s="147">
        <v>1</v>
      </c>
      <c r="V571" s="121">
        <v>802</v>
      </c>
      <c r="W571" s="121">
        <v>465</v>
      </c>
      <c r="X571" s="114" t="s">
        <v>84</v>
      </c>
      <c r="Y571" s="115" t="s">
        <v>85</v>
      </c>
      <c r="Z571" s="115" t="s">
        <v>86</v>
      </c>
      <c r="AA571" s="113" t="s">
        <v>87</v>
      </c>
      <c r="AB571" s="122">
        <v>239.24</v>
      </c>
      <c r="AC571" s="122">
        <f>IF(C571="DENALI", AB571*0.495, IF(C571="SCHNEIDER ELECTRIC", AB571*1.136, IF(C571="WWT", AB571*1.2, AC571)))+AB571</f>
        <v>357.66380000000004</v>
      </c>
      <c r="AD571" s="129">
        <f>AC571-AB571</f>
        <v>118.42380000000003</v>
      </c>
      <c r="AE571" s="122">
        <v>40775.35</v>
      </c>
      <c r="AF571" s="130">
        <f>AB571/U571</f>
        <v>239.24</v>
      </c>
      <c r="AG571" s="130">
        <f>AB571/V571</f>
        <v>0.29830423940149625</v>
      </c>
      <c r="AH571" s="123">
        <f>AB571/S571</f>
        <v>0.32638472032742155</v>
      </c>
      <c r="AI571" s="124" t="s">
        <v>97</v>
      </c>
      <c r="AJ571" s="125" t="s">
        <v>349</v>
      </c>
      <c r="AK571"/>
      <c r="AM571" s="80"/>
    </row>
    <row r="572" spans="1:39" ht="28.5" customHeight="1">
      <c r="A572" s="113" t="s">
        <v>73</v>
      </c>
      <c r="B572" s="114" t="s">
        <v>74</v>
      </c>
      <c r="C572" s="113" t="s">
        <v>35</v>
      </c>
      <c r="D572" s="113" t="s">
        <v>218</v>
      </c>
      <c r="E572" s="115" t="s">
        <v>2148</v>
      </c>
      <c r="F572" s="113" t="s">
        <v>265</v>
      </c>
      <c r="G572" s="116" t="s">
        <v>2149</v>
      </c>
      <c r="H572" s="79">
        <v>46224</v>
      </c>
      <c r="I572" s="114" t="s">
        <v>79</v>
      </c>
      <c r="J572" s="117" t="s">
        <v>2150</v>
      </c>
      <c r="K572" s="118">
        <v>46216</v>
      </c>
      <c r="L572" s="114" t="s">
        <v>81</v>
      </c>
      <c r="M572" s="119">
        <v>46218</v>
      </c>
      <c r="N572" s="128">
        <v>46224</v>
      </c>
      <c r="O572" s="120">
        <f>NETWORKDAYS.INTL(K572,N572,1,$AM$2:$AM$10)-1</f>
        <v>6</v>
      </c>
      <c r="P572" s="114" t="s">
        <v>81</v>
      </c>
      <c r="Q572" s="114" t="s">
        <v>79</v>
      </c>
      <c r="R572" s="115"/>
      <c r="S572" s="145">
        <v>2944</v>
      </c>
      <c r="T572" s="148" t="s">
        <v>2151</v>
      </c>
      <c r="U572" s="147">
        <v>1</v>
      </c>
      <c r="V572" s="121">
        <v>54</v>
      </c>
      <c r="W572" s="121">
        <v>410</v>
      </c>
      <c r="X572" s="114" t="s">
        <v>84</v>
      </c>
      <c r="Y572" s="115" t="s">
        <v>85</v>
      </c>
      <c r="Z572" s="115" t="s">
        <v>86</v>
      </c>
      <c r="AA572" s="113" t="s">
        <v>87</v>
      </c>
      <c r="AB572" s="122">
        <v>347.68</v>
      </c>
      <c r="AC572" s="122">
        <f>IF(C572="DENALI", AB572*0.495, IF(C572="SCHNEIDER ELECTRIC", AB572*1.136, IF(C572="WWT", AB572*1.2, AC572)))+AB572</f>
        <v>519.78160000000003</v>
      </c>
      <c r="AD572" s="129">
        <f>AC572-AB572</f>
        <v>172.10160000000002</v>
      </c>
      <c r="AE572" s="122">
        <v>7070.22</v>
      </c>
      <c r="AF572" s="130">
        <f>AB572/U572</f>
        <v>347.68</v>
      </c>
      <c r="AG572" s="130">
        <f>AB572/V572</f>
        <v>6.438518518518519</v>
      </c>
      <c r="AH572" s="123">
        <f>AB572/S572</f>
        <v>0.11809782608695653</v>
      </c>
      <c r="AI572" s="124" t="s">
        <v>115</v>
      </c>
      <c r="AJ572" s="125" t="s">
        <v>107</v>
      </c>
      <c r="AK572"/>
      <c r="AM572" s="80"/>
    </row>
    <row r="573" spans="1:39" ht="28.5" customHeight="1">
      <c r="A573" s="113" t="s">
        <v>73</v>
      </c>
      <c r="B573" s="114" t="s">
        <v>74</v>
      </c>
      <c r="C573" s="113" t="s">
        <v>36</v>
      </c>
      <c r="D573" s="113" t="s">
        <v>90</v>
      </c>
      <c r="E573" s="115" t="s">
        <v>1368</v>
      </c>
      <c r="F573" s="113" t="s">
        <v>90</v>
      </c>
      <c r="G573" s="116" t="s">
        <v>2152</v>
      </c>
      <c r="H573" s="79">
        <v>46225</v>
      </c>
      <c r="I573" s="114" t="s">
        <v>79</v>
      </c>
      <c r="J573" s="117" t="s">
        <v>2153</v>
      </c>
      <c r="K573" s="118">
        <v>46217</v>
      </c>
      <c r="L573" s="114" t="s">
        <v>81</v>
      </c>
      <c r="M573" s="119">
        <v>46218</v>
      </c>
      <c r="N573" s="128">
        <v>46219</v>
      </c>
      <c r="O573" s="120">
        <f>NETWORKDAYS.INTL(K573,N573,1,$AM$2:$AM$10)-1</f>
        <v>2</v>
      </c>
      <c r="P573" s="114" t="s">
        <v>81</v>
      </c>
      <c r="Q573" s="114" t="s">
        <v>79</v>
      </c>
      <c r="R573" s="115"/>
      <c r="S573" s="145">
        <v>130</v>
      </c>
      <c r="T573" s="148" t="s">
        <v>2154</v>
      </c>
      <c r="U573" s="147">
        <v>1</v>
      </c>
      <c r="V573" s="121">
        <v>2</v>
      </c>
      <c r="W573" s="121">
        <v>184</v>
      </c>
      <c r="X573" s="114" t="s">
        <v>84</v>
      </c>
      <c r="Y573" s="115" t="s">
        <v>85</v>
      </c>
      <c r="Z573" s="115" t="s">
        <v>86</v>
      </c>
      <c r="AA573" s="113" t="s">
        <v>87</v>
      </c>
      <c r="AB573" s="122">
        <v>188.02</v>
      </c>
      <c r="AC573" s="122">
        <f>IF(C573="DENALI", AB573*0.495, IF(C573="SCHNEIDER ELECTRIC", AB573*1.136, IF(C573="WWT", AB573*1.2, AC573)))+AB573</f>
        <v>401.61072000000001</v>
      </c>
      <c r="AD573" s="129">
        <f>AC573-AB573</f>
        <v>213.59072</v>
      </c>
      <c r="AE573" s="122">
        <v>2464.36</v>
      </c>
      <c r="AF573" s="130">
        <f>AB573/U573</f>
        <v>188.02</v>
      </c>
      <c r="AG573" s="130">
        <f>AB573/V573</f>
        <v>94.01</v>
      </c>
      <c r="AH573" s="123">
        <f>AB573/S573</f>
        <v>1.4463076923076923</v>
      </c>
      <c r="AI573" s="124" t="s">
        <v>1044</v>
      </c>
      <c r="AJ573" s="125" t="s">
        <v>98</v>
      </c>
      <c r="AK573"/>
      <c r="AM573" s="80"/>
    </row>
    <row r="574" spans="1:39" ht="28.5" customHeight="1">
      <c r="A574" s="113" t="s">
        <v>73</v>
      </c>
      <c r="B574" s="114" t="s">
        <v>74</v>
      </c>
      <c r="C574" s="113" t="s">
        <v>35</v>
      </c>
      <c r="D574" s="113" t="s">
        <v>99</v>
      </c>
      <c r="E574" s="115" t="s">
        <v>141</v>
      </c>
      <c r="F574" s="113" t="s">
        <v>142</v>
      </c>
      <c r="G574" s="116" t="s">
        <v>2155</v>
      </c>
      <c r="H574" s="79">
        <v>46224</v>
      </c>
      <c r="I574" s="114" t="s">
        <v>79</v>
      </c>
      <c r="J574" s="117" t="s">
        <v>2156</v>
      </c>
      <c r="K574" s="118">
        <v>46216</v>
      </c>
      <c r="L574" s="114" t="s">
        <v>81</v>
      </c>
      <c r="M574" s="119">
        <v>46223</v>
      </c>
      <c r="N574" s="128">
        <v>46227</v>
      </c>
      <c r="O574" s="120">
        <f>NETWORKDAYS.INTL(K574,N574,1,$AM$2:$AM$10)-1</f>
        <v>9</v>
      </c>
      <c r="P574" s="114" t="s">
        <v>81</v>
      </c>
      <c r="Q574" s="114" t="s">
        <v>79</v>
      </c>
      <c r="R574" s="115"/>
      <c r="S574" s="145">
        <v>2435</v>
      </c>
      <c r="T574" s="148" t="s">
        <v>2157</v>
      </c>
      <c r="U574" s="147">
        <v>1</v>
      </c>
      <c r="V574" s="121">
        <v>22</v>
      </c>
      <c r="W574" s="121">
        <v>345</v>
      </c>
      <c r="X574" s="114" t="s">
        <v>84</v>
      </c>
      <c r="Y574" s="115" t="s">
        <v>85</v>
      </c>
      <c r="Z574" s="115" t="s">
        <v>86</v>
      </c>
      <c r="AA574" s="113" t="s">
        <v>87</v>
      </c>
      <c r="AB574" s="122">
        <v>683.42</v>
      </c>
      <c r="AC574" s="122">
        <f>IF(C574="DENALI", AB574*0.495, IF(C574="SCHNEIDER ELECTRIC", AB574*1.136, IF(C574="WWT", AB574*1.2, AC574)))+AB574</f>
        <v>1021.7129</v>
      </c>
      <c r="AD574" s="129">
        <f>AC574-AB574</f>
        <v>338.29290000000003</v>
      </c>
      <c r="AE574" s="122">
        <v>5960.24</v>
      </c>
      <c r="AF574" s="130">
        <f>AB574/U574</f>
        <v>683.42</v>
      </c>
      <c r="AG574" s="130">
        <f>AB574/V574</f>
        <v>31.064545454545453</v>
      </c>
      <c r="AH574" s="123">
        <f>AB574/S574</f>
        <v>0.28066529774127308</v>
      </c>
      <c r="AI574" s="124" t="s">
        <v>97</v>
      </c>
      <c r="AJ574" s="125" t="s">
        <v>349</v>
      </c>
      <c r="AK574"/>
      <c r="AM574" s="80"/>
    </row>
    <row r="575" spans="1:39" ht="28.5" customHeight="1">
      <c r="A575" s="113" t="s">
        <v>73</v>
      </c>
      <c r="B575" s="114" t="s">
        <v>74</v>
      </c>
      <c r="C575" s="113" t="s">
        <v>35</v>
      </c>
      <c r="D575" s="113" t="s">
        <v>218</v>
      </c>
      <c r="E575" s="115" t="s">
        <v>2010</v>
      </c>
      <c r="F575" s="113" t="s">
        <v>75</v>
      </c>
      <c r="G575" s="116" t="s">
        <v>2158</v>
      </c>
      <c r="H575" s="79">
        <v>46225</v>
      </c>
      <c r="I575" s="114" t="s">
        <v>79</v>
      </c>
      <c r="J575" s="117" t="s">
        <v>2159</v>
      </c>
      <c r="K575" s="118">
        <v>46217</v>
      </c>
      <c r="L575" s="114" t="s">
        <v>81</v>
      </c>
      <c r="M575" s="119">
        <v>46223</v>
      </c>
      <c r="N575" s="128">
        <v>46218</v>
      </c>
      <c r="O575" s="120">
        <f>NETWORKDAYS.INTL(K575,N575,1,$AM$2:$AM$10)-1</f>
        <v>1</v>
      </c>
      <c r="P575" s="114" t="s">
        <v>81</v>
      </c>
      <c r="Q575" s="114" t="s">
        <v>79</v>
      </c>
      <c r="R575" s="115"/>
      <c r="S575" s="145">
        <v>534</v>
      </c>
      <c r="T575" s="148" t="s">
        <v>2160</v>
      </c>
      <c r="U575" s="147">
        <v>4</v>
      </c>
      <c r="V575" s="121">
        <v>299</v>
      </c>
      <c r="W575" s="121">
        <v>2225</v>
      </c>
      <c r="X575" s="114" t="s">
        <v>84</v>
      </c>
      <c r="Y575" s="115" t="s">
        <v>85</v>
      </c>
      <c r="Z575" s="115" t="s">
        <v>1774</v>
      </c>
      <c r="AA575" s="113" t="s">
        <v>87</v>
      </c>
      <c r="AB575" s="122">
        <v>474.35</v>
      </c>
      <c r="AC575" s="122">
        <f>IF(C575="DENALI", AB575*0.495, IF(C575="SCHNEIDER ELECTRIC", AB575*1.136, IF(C575="WWT", AB575*1.2, AC575)))+AB575</f>
        <v>709.15325000000007</v>
      </c>
      <c r="AD575" s="129">
        <f>AC575-AB575</f>
        <v>234.80325000000005</v>
      </c>
      <c r="AE575" s="122">
        <v>240895.22</v>
      </c>
      <c r="AF575" s="130">
        <f>AB575/U575</f>
        <v>118.58750000000001</v>
      </c>
      <c r="AG575" s="130">
        <f>AB575/V575</f>
        <v>1.5864548494983279</v>
      </c>
      <c r="AH575" s="123">
        <f>AB575/S575</f>
        <v>0.88829588014981276</v>
      </c>
      <c r="AI575" s="124" t="s">
        <v>97</v>
      </c>
      <c r="AJ575" s="125" t="s">
        <v>349</v>
      </c>
      <c r="AK575"/>
      <c r="AM575" s="80"/>
    </row>
    <row r="576" spans="1:39" ht="28.5" customHeight="1">
      <c r="A576" s="113" t="s">
        <v>73</v>
      </c>
      <c r="B576" s="114" t="s">
        <v>74</v>
      </c>
      <c r="C576" s="113" t="s">
        <v>35</v>
      </c>
      <c r="D576" s="113" t="s">
        <v>218</v>
      </c>
      <c r="E576" s="115" t="s">
        <v>141</v>
      </c>
      <c r="F576" s="113" t="s">
        <v>142</v>
      </c>
      <c r="G576" s="116" t="s">
        <v>2161</v>
      </c>
      <c r="H576" s="79">
        <v>46226</v>
      </c>
      <c r="I576" s="114" t="s">
        <v>79</v>
      </c>
      <c r="J576" s="117" t="s">
        <v>2162</v>
      </c>
      <c r="K576" s="118">
        <v>46218</v>
      </c>
      <c r="L576" s="114" t="s">
        <v>81</v>
      </c>
      <c r="M576" s="119">
        <v>46219</v>
      </c>
      <c r="N576" s="128">
        <v>46226</v>
      </c>
      <c r="O576" s="120">
        <f>NETWORKDAYS.INTL(K576,N576,1,$AM$2:$AM$10)-1</f>
        <v>6</v>
      </c>
      <c r="P576" s="114" t="s">
        <v>81</v>
      </c>
      <c r="Q576" s="114" t="s">
        <v>79</v>
      </c>
      <c r="R576" s="115" t="s">
        <v>2163</v>
      </c>
      <c r="S576" s="145">
        <v>441</v>
      </c>
      <c r="T576" s="148" t="s">
        <v>2164</v>
      </c>
      <c r="U576" s="147">
        <v>2</v>
      </c>
      <c r="V576" s="121">
        <v>123</v>
      </c>
      <c r="W576" s="121">
        <v>1035</v>
      </c>
      <c r="X576" s="114" t="s">
        <v>84</v>
      </c>
      <c r="Y576" s="115" t="s">
        <v>85</v>
      </c>
      <c r="Z576" s="115" t="s">
        <v>1208</v>
      </c>
      <c r="AA576" s="113" t="s">
        <v>87</v>
      </c>
      <c r="AB576" s="122">
        <v>342.28</v>
      </c>
      <c r="AC576" s="122">
        <f>IF(C576="DENALI", AB576*0.495, IF(C576="SCHNEIDER ELECTRIC", AB576*1.136, IF(C576="WWT", AB576*1.2, AC576)))+AB576</f>
        <v>511.70859999999993</v>
      </c>
      <c r="AD576" s="129">
        <f>AC576-AB576</f>
        <v>169.42859999999996</v>
      </c>
      <c r="AE576" s="122">
        <v>28702.78</v>
      </c>
      <c r="AF576" s="130">
        <f>AB576/U576</f>
        <v>171.14</v>
      </c>
      <c r="AG576" s="130">
        <f>AB576/V576</f>
        <v>2.7827642276422764</v>
      </c>
      <c r="AH576" s="123">
        <f>AB576/S576</f>
        <v>0.77614512471655328</v>
      </c>
      <c r="AI576" s="124" t="s">
        <v>147</v>
      </c>
      <c r="AJ576" s="125" t="s">
        <v>343</v>
      </c>
      <c r="AK576"/>
      <c r="AM576" s="80"/>
    </row>
    <row r="577" spans="1:39" ht="28.5" customHeight="1">
      <c r="A577" s="113" t="s">
        <v>73</v>
      </c>
      <c r="B577" s="114" t="s">
        <v>74</v>
      </c>
      <c r="C577" s="113" t="s">
        <v>35</v>
      </c>
      <c r="D577" s="113" t="s">
        <v>218</v>
      </c>
      <c r="E577" s="115" t="s">
        <v>551</v>
      </c>
      <c r="F577" s="113" t="s">
        <v>213</v>
      </c>
      <c r="G577" s="116" t="s">
        <v>2165</v>
      </c>
      <c r="H577" s="79">
        <v>46226</v>
      </c>
      <c r="I577" s="114" t="s">
        <v>79</v>
      </c>
      <c r="J577" s="117" t="s">
        <v>2166</v>
      </c>
      <c r="K577" s="118">
        <v>46218</v>
      </c>
      <c r="L577" s="114" t="s">
        <v>81</v>
      </c>
      <c r="M577" s="119">
        <v>46223</v>
      </c>
      <c r="N577" s="128">
        <v>46223</v>
      </c>
      <c r="O577" s="120">
        <f>NETWORKDAYS.INTL(K577,N577,1,$AM$2:$AM$10)-1</f>
        <v>3</v>
      </c>
      <c r="P577" s="114" t="s">
        <v>81</v>
      </c>
      <c r="Q577" s="114" t="s">
        <v>79</v>
      </c>
      <c r="R577" s="115"/>
      <c r="S577" s="145">
        <v>740</v>
      </c>
      <c r="T577" s="148" t="s">
        <v>2167</v>
      </c>
      <c r="U577" s="147">
        <v>1</v>
      </c>
      <c r="V577" s="121">
        <v>773</v>
      </c>
      <c r="W577" s="121">
        <v>815</v>
      </c>
      <c r="X577" s="114" t="s">
        <v>84</v>
      </c>
      <c r="Y577" s="115" t="s">
        <v>85</v>
      </c>
      <c r="Z577" s="115" t="s">
        <v>86</v>
      </c>
      <c r="AA577" s="113" t="s">
        <v>87</v>
      </c>
      <c r="AB577" s="122">
        <v>241.92</v>
      </c>
      <c r="AC577" s="122">
        <f>IF(C577="DENALI", AB577*0.495, IF(C577="SCHNEIDER ELECTRIC", AB577*1.136, IF(C577="WWT", AB577*1.2, AC577)))+AB577</f>
        <v>361.67039999999997</v>
      </c>
      <c r="AD577" s="129">
        <f>AC577-AB577</f>
        <v>119.75039999999998</v>
      </c>
      <c r="AE577" s="122">
        <v>137259.15</v>
      </c>
      <c r="AF577" s="130">
        <f>AB577/U577</f>
        <v>241.92</v>
      </c>
      <c r="AG577" s="130">
        <f>AB577/V577</f>
        <v>0.31296248382923675</v>
      </c>
      <c r="AH577" s="123">
        <f>AB577/S577</f>
        <v>0.32691891891891889</v>
      </c>
      <c r="AI577" s="124" t="s">
        <v>97</v>
      </c>
      <c r="AJ577" s="125" t="s">
        <v>349</v>
      </c>
      <c r="AK577"/>
      <c r="AM577" s="80"/>
    </row>
    <row r="578" spans="1:39" ht="28.5" customHeight="1">
      <c r="A578" s="113" t="s">
        <v>73</v>
      </c>
      <c r="B578" s="114" t="s">
        <v>74</v>
      </c>
      <c r="C578" s="113" t="s">
        <v>35</v>
      </c>
      <c r="D578" s="113" t="s">
        <v>218</v>
      </c>
      <c r="E578" s="115" t="s">
        <v>1552</v>
      </c>
      <c r="F578" s="113" t="s">
        <v>142</v>
      </c>
      <c r="G578" s="116" t="s">
        <v>2168</v>
      </c>
      <c r="H578" s="79">
        <v>46226</v>
      </c>
      <c r="I578" s="114" t="s">
        <v>81</v>
      </c>
      <c r="J578" s="117" t="s">
        <v>2169</v>
      </c>
      <c r="K578" s="118">
        <v>46218</v>
      </c>
      <c r="L578" s="114" t="s">
        <v>81</v>
      </c>
      <c r="M578" s="119">
        <v>46219</v>
      </c>
      <c r="N578" s="128">
        <v>46219</v>
      </c>
      <c r="O578" s="120">
        <f>NETWORKDAYS.INTL(K578,N578,1,$AM$2:$AM$10)-1</f>
        <v>1</v>
      </c>
      <c r="P578" s="114" t="s">
        <v>81</v>
      </c>
      <c r="Q578" s="114" t="s">
        <v>79</v>
      </c>
      <c r="R578" s="115"/>
      <c r="S578" s="145">
        <v>615</v>
      </c>
      <c r="T578" s="148" t="s">
        <v>2023</v>
      </c>
      <c r="U578" s="147">
        <v>1</v>
      </c>
      <c r="V578" s="121">
        <v>100</v>
      </c>
      <c r="W578" s="121">
        <v>505</v>
      </c>
      <c r="X578" s="114" t="s">
        <v>84</v>
      </c>
      <c r="Y578" s="115" t="s">
        <v>85</v>
      </c>
      <c r="Z578" s="115" t="s">
        <v>1173</v>
      </c>
      <c r="AA578" s="113" t="s">
        <v>87</v>
      </c>
      <c r="AB578" s="122">
        <v>388</v>
      </c>
      <c r="AC578" s="122">
        <f>IF(C578="DENALI", AB578*0.495, IF(C578="SCHNEIDER ELECTRIC", AB578*1.136, IF(C578="WWT", AB578*1.2, AC578)))+AB578</f>
        <v>580.05999999999995</v>
      </c>
      <c r="AD578" s="129">
        <f>AC578-AB578</f>
        <v>192.05999999999995</v>
      </c>
      <c r="AE578" s="122">
        <v>63854</v>
      </c>
      <c r="AF578" s="130">
        <f>AB578/U578</f>
        <v>388</v>
      </c>
      <c r="AG578" s="130">
        <f>AB578/V578</f>
        <v>3.88</v>
      </c>
      <c r="AH578" s="123">
        <f>AB578/S578</f>
        <v>0.6308943089430894</v>
      </c>
      <c r="AI578" s="124" t="s">
        <v>1044</v>
      </c>
      <c r="AJ578" s="125" t="s">
        <v>349</v>
      </c>
      <c r="AK578"/>
      <c r="AM578" s="80"/>
    </row>
    <row r="579" spans="1:39" ht="28.5" customHeight="1">
      <c r="A579" s="113" t="s">
        <v>73</v>
      </c>
      <c r="B579" s="114" t="s">
        <v>74</v>
      </c>
      <c r="C579" s="113" t="s">
        <v>35</v>
      </c>
      <c r="D579" s="113" t="s">
        <v>218</v>
      </c>
      <c r="E579" s="115" t="s">
        <v>1541</v>
      </c>
      <c r="F579" s="113" t="s">
        <v>92</v>
      </c>
      <c r="G579" s="116">
        <v>23581423</v>
      </c>
      <c r="H579" s="79">
        <v>46226</v>
      </c>
      <c r="I579" s="114" t="s">
        <v>81</v>
      </c>
      <c r="J579" s="117" t="s">
        <v>2170</v>
      </c>
      <c r="K579" s="118">
        <v>46218</v>
      </c>
      <c r="L579" s="114" t="s">
        <v>81</v>
      </c>
      <c r="M579" s="119">
        <v>46219</v>
      </c>
      <c r="N579" s="128">
        <v>46219</v>
      </c>
      <c r="O579" s="120">
        <f>NETWORKDAYS.INTL(K579,N579,1,$AM$2:$AM$10)-1</f>
        <v>1</v>
      </c>
      <c r="P579" s="114" t="s">
        <v>81</v>
      </c>
      <c r="Q579" s="114" t="s">
        <v>79</v>
      </c>
      <c r="R579" s="115" t="s">
        <v>2171</v>
      </c>
      <c r="S579" s="145">
        <v>1149.0999999999999</v>
      </c>
      <c r="T579" s="148" t="s">
        <v>2019</v>
      </c>
      <c r="U579" s="147">
        <v>1</v>
      </c>
      <c r="V579" s="121">
        <v>100</v>
      </c>
      <c r="W579" s="121">
        <v>495</v>
      </c>
      <c r="X579" s="114" t="s">
        <v>113</v>
      </c>
      <c r="Y579" s="115" t="s">
        <v>85</v>
      </c>
      <c r="Z579" s="115" t="s">
        <v>2172</v>
      </c>
      <c r="AA579" s="113" t="s">
        <v>87</v>
      </c>
      <c r="AB579" s="122">
        <v>4048.82</v>
      </c>
      <c r="AC579" s="122">
        <f>IF(C579="DENALI", AB579*0.495, IF(C579="SCHNEIDER ELECTRIC", AB579*1.136, IF(C579="WWT", AB579*1.2, AC579)))+AB579</f>
        <v>6052.9858999999997</v>
      </c>
      <c r="AD579" s="129">
        <f>AC579-AB579</f>
        <v>2004.1658999999995</v>
      </c>
      <c r="AE579" s="122">
        <v>69770</v>
      </c>
      <c r="AF579" s="130">
        <f>AB579/U579</f>
        <v>4048.82</v>
      </c>
      <c r="AG579" s="130">
        <f>AB579/V579</f>
        <v>40.488199999999999</v>
      </c>
      <c r="AH579" s="123">
        <f>AB579/S579</f>
        <v>3.5234705421634325</v>
      </c>
      <c r="AI579" s="124" t="s">
        <v>1044</v>
      </c>
      <c r="AJ579" s="125" t="s">
        <v>349</v>
      </c>
      <c r="AK579"/>
      <c r="AM579" s="80"/>
    </row>
    <row r="580" spans="1:39" ht="28.5" customHeight="1">
      <c r="A580" s="113" t="s">
        <v>73</v>
      </c>
      <c r="B580" s="114" t="s">
        <v>74</v>
      </c>
      <c r="C580" s="113" t="s">
        <v>35</v>
      </c>
      <c r="D580" s="113" t="s">
        <v>218</v>
      </c>
      <c r="E580" s="115" t="s">
        <v>901</v>
      </c>
      <c r="F580" s="113" t="s">
        <v>142</v>
      </c>
      <c r="G580" s="116" t="s">
        <v>2173</v>
      </c>
      <c r="H580" s="79">
        <v>46226</v>
      </c>
      <c r="I580" s="114" t="s">
        <v>79</v>
      </c>
      <c r="J580" s="117" t="s">
        <v>2174</v>
      </c>
      <c r="K580" s="118">
        <v>46218</v>
      </c>
      <c r="L580" s="114" t="s">
        <v>81</v>
      </c>
      <c r="M580" s="119">
        <v>46219</v>
      </c>
      <c r="N580" s="128">
        <v>46219</v>
      </c>
      <c r="O580" s="120">
        <f>NETWORKDAYS.INTL(K580,N580,1,$AM$2:$AM$10)-1</f>
        <v>1</v>
      </c>
      <c r="P580" s="114" t="s">
        <v>81</v>
      </c>
      <c r="Q580" s="114" t="s">
        <v>79</v>
      </c>
      <c r="R580" s="115"/>
      <c r="S580" s="145">
        <v>414</v>
      </c>
      <c r="T580" s="148" t="s">
        <v>974</v>
      </c>
      <c r="U580" s="147">
        <v>1</v>
      </c>
      <c r="V580" s="121">
        <v>624</v>
      </c>
      <c r="W580" s="121">
        <v>460</v>
      </c>
      <c r="X580" s="114" t="s">
        <v>84</v>
      </c>
      <c r="Y580" s="115" t="s">
        <v>85</v>
      </c>
      <c r="Z580" s="115" t="s">
        <v>1208</v>
      </c>
      <c r="AA580" s="113" t="s">
        <v>87</v>
      </c>
      <c r="AB580" s="122">
        <v>183.95</v>
      </c>
      <c r="AC580" s="122">
        <f>IF(C580="DENALI", AB580*0.495, IF(C580="SCHNEIDER ELECTRIC", AB580*1.136, IF(C580="WWT", AB580*1.2, AC580)))+AB580</f>
        <v>275.00524999999999</v>
      </c>
      <c r="AD580" s="129">
        <f>AC580-AB580</f>
        <v>91.055250000000001</v>
      </c>
      <c r="AE580" s="122">
        <v>116875.2</v>
      </c>
      <c r="AF580" s="130">
        <f>AB580/U580</f>
        <v>183.95</v>
      </c>
      <c r="AG580" s="130">
        <f>AB580/V580</f>
        <v>0.29479166666666667</v>
      </c>
      <c r="AH580" s="123">
        <f>AB580/S580</f>
        <v>0.4443236714975845</v>
      </c>
      <c r="AI580" s="124" t="s">
        <v>97</v>
      </c>
      <c r="AJ580" s="125" t="s">
        <v>349</v>
      </c>
      <c r="AK580"/>
      <c r="AM580" s="80"/>
    </row>
    <row r="581" spans="1:39" ht="28.5" customHeight="1">
      <c r="A581" s="113" t="s">
        <v>73</v>
      </c>
      <c r="B581" s="114" t="s">
        <v>74</v>
      </c>
      <c r="C581" s="113" t="s">
        <v>35</v>
      </c>
      <c r="D581" s="113" t="s">
        <v>218</v>
      </c>
      <c r="E581" s="115" t="s">
        <v>2175</v>
      </c>
      <c r="F581" s="113" t="s">
        <v>92</v>
      </c>
      <c r="G581" s="116" t="s">
        <v>2176</v>
      </c>
      <c r="H581" s="79">
        <v>46226</v>
      </c>
      <c r="I581" s="114" t="s">
        <v>79</v>
      </c>
      <c r="J581" s="117" t="s">
        <v>2177</v>
      </c>
      <c r="K581" s="118">
        <v>46218</v>
      </c>
      <c r="L581" s="114" t="s">
        <v>81</v>
      </c>
      <c r="M581" s="119">
        <v>46220</v>
      </c>
      <c r="N581" s="128">
        <v>46223</v>
      </c>
      <c r="O581" s="120">
        <f>NETWORKDAYS.INTL(K581,N581,1,$AM$2:$AM$10)-1</f>
        <v>3</v>
      </c>
      <c r="P581" s="114" t="s">
        <v>81</v>
      </c>
      <c r="Q581" s="114" t="s">
        <v>79</v>
      </c>
      <c r="R581" s="115"/>
      <c r="S581" s="145">
        <v>1029</v>
      </c>
      <c r="T581" s="148" t="s">
        <v>2178</v>
      </c>
      <c r="U581" s="147">
        <v>5</v>
      </c>
      <c r="V581" s="121">
        <v>5</v>
      </c>
      <c r="W581" s="121">
        <v>1800</v>
      </c>
      <c r="X581" s="114" t="s">
        <v>84</v>
      </c>
      <c r="Y581" s="115" t="s">
        <v>85</v>
      </c>
      <c r="Z581" s="115" t="s">
        <v>1173</v>
      </c>
      <c r="AA581" s="113" t="s">
        <v>87</v>
      </c>
      <c r="AB581" s="122">
        <v>1466.45</v>
      </c>
      <c r="AC581" s="122">
        <f>IF(C581="DENALI", AB581*0.495, IF(C581="SCHNEIDER ELECTRIC", AB581*1.136, IF(C581="WWT", AB581*1.2, AC581)))+AB581</f>
        <v>2192.3427499999998</v>
      </c>
      <c r="AD581" s="129">
        <f>AC581-AB581</f>
        <v>725.89274999999975</v>
      </c>
      <c r="AE581" s="122">
        <v>10818.8</v>
      </c>
      <c r="AF581" s="130">
        <f>AB581/U581</f>
        <v>293.29000000000002</v>
      </c>
      <c r="AG581" s="130">
        <f>AB581/V581</f>
        <v>293.29000000000002</v>
      </c>
      <c r="AH581" s="123">
        <f>AB581/S581</f>
        <v>1.4251214771622935</v>
      </c>
      <c r="AI581" s="124" t="s">
        <v>155</v>
      </c>
      <c r="AJ581" s="125" t="s">
        <v>89</v>
      </c>
      <c r="AK581"/>
      <c r="AM581" s="80"/>
    </row>
    <row r="582" spans="1:39" ht="28.5" customHeight="1">
      <c r="A582" s="113" t="s">
        <v>73</v>
      </c>
      <c r="B582" s="114" t="s">
        <v>74</v>
      </c>
      <c r="C582" s="113" t="s">
        <v>35</v>
      </c>
      <c r="D582" s="113" t="s">
        <v>218</v>
      </c>
      <c r="E582" s="115" t="s">
        <v>561</v>
      </c>
      <c r="F582" s="113" t="s">
        <v>562</v>
      </c>
      <c r="G582" s="116" t="s">
        <v>2179</v>
      </c>
      <c r="H582" s="79">
        <v>46226</v>
      </c>
      <c r="I582" s="114" t="s">
        <v>79</v>
      </c>
      <c r="J582" s="117" t="s">
        <v>2180</v>
      </c>
      <c r="K582" s="118">
        <v>46218</v>
      </c>
      <c r="L582" s="114" t="s">
        <v>81</v>
      </c>
      <c r="M582" s="119">
        <v>46219</v>
      </c>
      <c r="N582" s="128">
        <v>46220</v>
      </c>
      <c r="O582" s="120">
        <f>NETWORKDAYS.INTL(K582,N582,1,$AM$2:$AM$10)-1</f>
        <v>2</v>
      </c>
      <c r="P582" s="114" t="s">
        <v>81</v>
      </c>
      <c r="Q582" s="114" t="s">
        <v>79</v>
      </c>
      <c r="R582" s="115"/>
      <c r="S582" s="145">
        <v>554</v>
      </c>
      <c r="T582" s="148" t="s">
        <v>2181</v>
      </c>
      <c r="U582" s="147">
        <v>1</v>
      </c>
      <c r="V582" s="121">
        <v>6</v>
      </c>
      <c r="W582" s="121">
        <v>885</v>
      </c>
      <c r="X582" s="114" t="s">
        <v>84</v>
      </c>
      <c r="Y582" s="115" t="s">
        <v>85</v>
      </c>
      <c r="Z582" s="115" t="s">
        <v>1774</v>
      </c>
      <c r="AA582" s="113" t="s">
        <v>87</v>
      </c>
      <c r="AB582" s="122">
        <v>252.49</v>
      </c>
      <c r="AC582" s="122">
        <f>IF(C582="DENALI", AB582*0.495, IF(C582="SCHNEIDER ELECTRIC", AB582*1.136, IF(C582="WWT", AB582*1.2, AC582)))+AB582</f>
        <v>377.47255000000001</v>
      </c>
      <c r="AD582" s="129">
        <f>AC582-AB582</f>
        <v>124.98255</v>
      </c>
      <c r="AE582" s="122">
        <v>6352.98</v>
      </c>
      <c r="AF582" s="130">
        <f>AB582/U582</f>
        <v>252.49</v>
      </c>
      <c r="AG582" s="130">
        <f>AB582/V582</f>
        <v>42.081666666666671</v>
      </c>
      <c r="AH582" s="123">
        <f>AB582/S582</f>
        <v>0.45575812274368233</v>
      </c>
      <c r="AI582" s="124" t="s">
        <v>155</v>
      </c>
      <c r="AJ582" s="125" t="s">
        <v>89</v>
      </c>
      <c r="AK582"/>
      <c r="AM582" s="80"/>
    </row>
    <row r="583" spans="1:39" ht="28.5" customHeight="1">
      <c r="A583" s="113" t="s">
        <v>73</v>
      </c>
      <c r="B583" s="114" t="s">
        <v>140</v>
      </c>
      <c r="C583" s="113" t="s">
        <v>35</v>
      </c>
      <c r="D583" s="113" t="s">
        <v>218</v>
      </c>
      <c r="E583" s="115" t="s">
        <v>992</v>
      </c>
      <c r="F583" s="113" t="s">
        <v>75</v>
      </c>
      <c r="G583" s="116">
        <v>23584385</v>
      </c>
      <c r="H583" s="79">
        <v>46226</v>
      </c>
      <c r="I583" s="114" t="s">
        <v>79</v>
      </c>
      <c r="J583" s="117" t="s">
        <v>2182</v>
      </c>
      <c r="K583" s="118">
        <v>46218</v>
      </c>
      <c r="L583" s="114" t="s">
        <v>81</v>
      </c>
      <c r="M583" s="119">
        <v>46219</v>
      </c>
      <c r="N583" s="128">
        <v>46219</v>
      </c>
      <c r="O583" s="120">
        <f>NETWORKDAYS.INTL(K583,N583,1,$AM$2:$AM$10)-1</f>
        <v>1</v>
      </c>
      <c r="P583" s="114" t="s">
        <v>81</v>
      </c>
      <c r="Q583" s="114" t="s">
        <v>79</v>
      </c>
      <c r="R583" s="115"/>
      <c r="S583" s="145">
        <v>536</v>
      </c>
      <c r="T583" s="148" t="s">
        <v>2183</v>
      </c>
      <c r="U583" s="147">
        <v>10</v>
      </c>
      <c r="V583" s="121">
        <v>1347</v>
      </c>
      <c r="W583" s="121">
        <v>5800</v>
      </c>
      <c r="X583" s="114" t="s">
        <v>113</v>
      </c>
      <c r="Y583" s="115" t="s">
        <v>85</v>
      </c>
      <c r="Z583" s="115" t="s">
        <v>2184</v>
      </c>
      <c r="AA583" s="113" t="s">
        <v>87</v>
      </c>
      <c r="AB583" s="122">
        <v>2867.54</v>
      </c>
      <c r="AC583" s="122">
        <f>IF(C583="DENALI", AB583*0.495, IF(C583="SCHNEIDER ELECTRIC", AB583*1.136, IF(C583="WWT", AB583*1.2, AC583)))+AB583</f>
        <v>4286.9722999999994</v>
      </c>
      <c r="AD583" s="129">
        <f>AC583-AB583</f>
        <v>1419.4322999999995</v>
      </c>
      <c r="AE583" s="122">
        <v>662257.12</v>
      </c>
      <c r="AF583" s="130">
        <f>AB583/U583</f>
        <v>286.75400000000002</v>
      </c>
      <c r="AG583" s="130">
        <f>AB583/V583</f>
        <v>2.1288344469190794</v>
      </c>
      <c r="AH583" s="123">
        <f>AB583/S583</f>
        <v>5.3498880597014926</v>
      </c>
      <c r="AI583" s="124" t="s">
        <v>97</v>
      </c>
      <c r="AJ583" s="125" t="s">
        <v>349</v>
      </c>
      <c r="AK583"/>
      <c r="AM583" s="80"/>
    </row>
    <row r="584" spans="1:39" ht="28.5" customHeight="1">
      <c r="A584" s="113" t="s">
        <v>73</v>
      </c>
      <c r="B584" s="114" t="s">
        <v>140</v>
      </c>
      <c r="C584" s="113" t="s">
        <v>35</v>
      </c>
      <c r="D584" s="113" t="s">
        <v>218</v>
      </c>
      <c r="E584" s="115" t="s">
        <v>141</v>
      </c>
      <c r="F584" s="113" t="s">
        <v>142</v>
      </c>
      <c r="G584" s="116" t="s">
        <v>2185</v>
      </c>
      <c r="H584" s="79">
        <v>46226</v>
      </c>
      <c r="I584" s="114" t="s">
        <v>79</v>
      </c>
      <c r="J584" s="117" t="s">
        <v>2186</v>
      </c>
      <c r="K584" s="118">
        <v>46218</v>
      </c>
      <c r="L584" s="114" t="s">
        <v>81</v>
      </c>
      <c r="M584" s="119">
        <v>46219</v>
      </c>
      <c r="N584" s="128">
        <v>46226</v>
      </c>
      <c r="O584" s="120">
        <f>NETWORKDAYS.INTL(K584,N584,1,$AM$2:$AM$10)-1</f>
        <v>6</v>
      </c>
      <c r="P584" s="114" t="s">
        <v>81</v>
      </c>
      <c r="Q584" s="114" t="s">
        <v>79</v>
      </c>
      <c r="R584" s="115"/>
      <c r="S584" s="145">
        <v>441</v>
      </c>
      <c r="T584" s="148" t="s">
        <v>2187</v>
      </c>
      <c r="U584" s="147">
        <v>1</v>
      </c>
      <c r="V584" s="121">
        <v>3</v>
      </c>
      <c r="W584" s="121">
        <v>445</v>
      </c>
      <c r="X584" s="114" t="s">
        <v>84</v>
      </c>
      <c r="Y584" s="115" t="s">
        <v>85</v>
      </c>
      <c r="Z584" s="115" t="s">
        <v>1208</v>
      </c>
      <c r="AA584" s="113" t="s">
        <v>87</v>
      </c>
      <c r="AB584" s="122">
        <v>225.48</v>
      </c>
      <c r="AC584" s="122">
        <f>IF(C584="DENALI", AB584*0.495, IF(C584="SCHNEIDER ELECTRIC", AB584*1.136, IF(C584="WWT", AB584*1.2, AC584)))+AB584</f>
        <v>337.0926</v>
      </c>
      <c r="AD584" s="129">
        <f>AC584-AB584</f>
        <v>111.61260000000001</v>
      </c>
      <c r="AE584" s="122">
        <v>2441.71</v>
      </c>
      <c r="AF584" s="130">
        <f>AB584/U584</f>
        <v>225.48</v>
      </c>
      <c r="AG584" s="130">
        <f>AB584/V584</f>
        <v>75.16</v>
      </c>
      <c r="AH584" s="123">
        <f>AB584/S584</f>
        <v>0.51129251700680267</v>
      </c>
      <c r="AI584" s="124" t="s">
        <v>147</v>
      </c>
      <c r="AJ584" s="125" t="s">
        <v>343</v>
      </c>
      <c r="AK584"/>
      <c r="AM584" s="80"/>
    </row>
    <row r="585" spans="1:39" ht="28.5" customHeight="1">
      <c r="A585" s="113" t="s">
        <v>73</v>
      </c>
      <c r="B585" s="114" t="s">
        <v>74</v>
      </c>
      <c r="C585" s="113" t="s">
        <v>35</v>
      </c>
      <c r="D585" s="113" t="s">
        <v>218</v>
      </c>
      <c r="E585" s="115" t="s">
        <v>2188</v>
      </c>
      <c r="F585" s="113" t="s">
        <v>845</v>
      </c>
      <c r="G585" s="116" t="s">
        <v>2189</v>
      </c>
      <c r="H585" s="79">
        <v>46226</v>
      </c>
      <c r="I585" s="114" t="s">
        <v>79</v>
      </c>
      <c r="J585" s="117" t="s">
        <v>2190</v>
      </c>
      <c r="K585" s="118">
        <v>46218</v>
      </c>
      <c r="L585" s="114" t="s">
        <v>81</v>
      </c>
      <c r="M585" s="119">
        <v>46220</v>
      </c>
      <c r="N585" s="128">
        <v>46220</v>
      </c>
      <c r="O585" s="120">
        <f>NETWORKDAYS.INTL(K585,N585,1,$AM$2:$AM$10)-1</f>
        <v>2</v>
      </c>
      <c r="P585" s="114" t="s">
        <v>81</v>
      </c>
      <c r="Q585" s="114" t="s">
        <v>79</v>
      </c>
      <c r="R585" s="115"/>
      <c r="S585" s="145">
        <v>811</v>
      </c>
      <c r="T585" s="148" t="s">
        <v>2191</v>
      </c>
      <c r="U585" s="147">
        <v>1</v>
      </c>
      <c r="V585" s="121">
        <v>1</v>
      </c>
      <c r="W585" s="121">
        <v>195</v>
      </c>
      <c r="X585" s="114" t="s">
        <v>84</v>
      </c>
      <c r="Y585" s="115" t="s">
        <v>85</v>
      </c>
      <c r="Z585" s="115" t="s">
        <v>86</v>
      </c>
      <c r="AA585" s="113" t="s">
        <v>87</v>
      </c>
      <c r="AB585" s="122">
        <v>232.38</v>
      </c>
      <c r="AC585" s="122">
        <f>IF(C585="DENALI", AB585*0.495, IF(C585="SCHNEIDER ELECTRIC", AB585*1.136, IF(C585="WWT", AB585*1.2, AC585)))+AB585</f>
        <v>347.40809999999999</v>
      </c>
      <c r="AD585" s="129">
        <f>AC585-AB585</f>
        <v>115.02809999999999</v>
      </c>
      <c r="AE585" s="122">
        <v>432.37</v>
      </c>
      <c r="AF585" s="130">
        <f>AB585/U585</f>
        <v>232.38</v>
      </c>
      <c r="AG585" s="130">
        <f>AB585/V585</f>
        <v>232.38</v>
      </c>
      <c r="AH585" s="123">
        <f>AB585/S585</f>
        <v>0.28653514180024658</v>
      </c>
      <c r="AI585" s="124" t="s">
        <v>183</v>
      </c>
      <c r="AJ585" s="125" t="s">
        <v>379</v>
      </c>
      <c r="AK585"/>
      <c r="AM585" s="80"/>
    </row>
    <row r="586" spans="1:39" ht="28.5" customHeight="1">
      <c r="A586" s="113" t="s">
        <v>73</v>
      </c>
      <c r="B586" s="114" t="s">
        <v>74</v>
      </c>
      <c r="C586" s="113" t="s">
        <v>35</v>
      </c>
      <c r="D586" s="113" t="s">
        <v>218</v>
      </c>
      <c r="E586" s="115" t="s">
        <v>623</v>
      </c>
      <c r="F586" s="113" t="s">
        <v>109</v>
      </c>
      <c r="G586" s="116" t="s">
        <v>2192</v>
      </c>
      <c r="H586" s="79">
        <v>46226</v>
      </c>
      <c r="I586" s="114" t="s">
        <v>79</v>
      </c>
      <c r="J586" s="117" t="s">
        <v>2193</v>
      </c>
      <c r="K586" s="118">
        <v>46218</v>
      </c>
      <c r="L586" s="114" t="s">
        <v>81</v>
      </c>
      <c r="M586" s="119">
        <v>46220</v>
      </c>
      <c r="N586" s="128">
        <v>46224</v>
      </c>
      <c r="O586" s="120">
        <f>NETWORKDAYS.INTL(K586,N586,1,$AM$2:$AM$10)-1</f>
        <v>4</v>
      </c>
      <c r="P586" s="114" t="s">
        <v>81</v>
      </c>
      <c r="Q586" s="114" t="s">
        <v>79</v>
      </c>
      <c r="R586" s="115"/>
      <c r="S586" s="145">
        <v>1093</v>
      </c>
      <c r="T586" s="148" t="s">
        <v>2194</v>
      </c>
      <c r="U586" s="147">
        <v>5</v>
      </c>
      <c r="V586" s="121">
        <v>1188</v>
      </c>
      <c r="W586" s="121">
        <v>3400</v>
      </c>
      <c r="X586" s="114" t="s">
        <v>84</v>
      </c>
      <c r="Y586" s="115" t="s">
        <v>85</v>
      </c>
      <c r="Z586" s="115" t="s">
        <v>86</v>
      </c>
      <c r="AA586" s="113" t="s">
        <v>87</v>
      </c>
      <c r="AB586" s="122">
        <v>1825.15</v>
      </c>
      <c r="AC586" s="122">
        <f>IF(C586="DENALI", AB586*0.495, IF(C586="SCHNEIDER ELECTRIC", AB586*1.136, IF(C586="WWT", AB586*1.2, AC586)))+AB586</f>
        <v>2728.5992500000002</v>
      </c>
      <c r="AD586" s="129">
        <f>AC586-AB586</f>
        <v>903.44925000000012</v>
      </c>
      <c r="AE586" s="122">
        <v>118691.99</v>
      </c>
      <c r="AF586" s="130">
        <f>AB586/U586</f>
        <v>365.03000000000003</v>
      </c>
      <c r="AG586" s="130">
        <f>AB586/V586</f>
        <v>1.5363215488215489</v>
      </c>
      <c r="AH586" s="123">
        <f>AB586/S586</f>
        <v>1.6698536139066789</v>
      </c>
      <c r="AI586" s="124" t="s">
        <v>147</v>
      </c>
      <c r="AJ586" s="125" t="s">
        <v>343</v>
      </c>
      <c r="AK586"/>
      <c r="AM586" s="80"/>
    </row>
    <row r="587" spans="1:39" ht="28.5" customHeight="1">
      <c r="A587" s="113" t="s">
        <v>73</v>
      </c>
      <c r="B587" s="114" t="s">
        <v>74</v>
      </c>
      <c r="C587" s="113" t="s">
        <v>35</v>
      </c>
      <c r="D587" s="113" t="s">
        <v>218</v>
      </c>
      <c r="E587" s="115" t="s">
        <v>2195</v>
      </c>
      <c r="F587" s="113" t="s">
        <v>2196</v>
      </c>
      <c r="G587" s="116" t="s">
        <v>2197</v>
      </c>
      <c r="H587" s="79">
        <v>46226</v>
      </c>
      <c r="I587" s="114" t="s">
        <v>79</v>
      </c>
      <c r="J587" s="117" t="s">
        <v>2198</v>
      </c>
      <c r="K587" s="118">
        <v>46218</v>
      </c>
      <c r="L587" s="114" t="s">
        <v>79</v>
      </c>
      <c r="M587" s="119">
        <v>46220</v>
      </c>
      <c r="N587" s="128">
        <v>46224</v>
      </c>
      <c r="O587" s="120">
        <f>NETWORKDAYS.INTL(K587,N587,1,$AM$2:$AM$10)-1</f>
        <v>4</v>
      </c>
      <c r="P587" s="114" t="s">
        <v>81</v>
      </c>
      <c r="Q587" s="114" t="s">
        <v>79</v>
      </c>
      <c r="R587" s="115"/>
      <c r="S587" s="145">
        <v>997.9</v>
      </c>
      <c r="T587" s="148" t="s">
        <v>2199</v>
      </c>
      <c r="U587" s="147">
        <v>1</v>
      </c>
      <c r="V587" s="121">
        <v>287</v>
      </c>
      <c r="W587" s="121">
        <v>300</v>
      </c>
      <c r="X587" s="114" t="s">
        <v>84</v>
      </c>
      <c r="Y587" s="115" t="s">
        <v>85</v>
      </c>
      <c r="Z587" s="115" t="s">
        <v>86</v>
      </c>
      <c r="AA587" s="113" t="s">
        <v>87</v>
      </c>
      <c r="AB587" s="122">
        <v>262.55</v>
      </c>
      <c r="AC587" s="122">
        <f>IF(C587="DENALI", AB587*0.495, IF(C587="SCHNEIDER ELECTRIC", AB587*1.136, IF(C587="WWT", AB587*1.2, AC587)))+AB587</f>
        <v>392.51224999999999</v>
      </c>
      <c r="AD587" s="129">
        <f>AC587-AB587</f>
        <v>129.96224999999998</v>
      </c>
      <c r="AE587" s="122">
        <v>43821.35</v>
      </c>
      <c r="AF587" s="130">
        <f>AB587/U587</f>
        <v>262.55</v>
      </c>
      <c r="AG587" s="130">
        <f>AB587/V587</f>
        <v>0.91480836236933805</v>
      </c>
      <c r="AH587" s="123">
        <f>AB587/S587</f>
        <v>0.26310251528209239</v>
      </c>
      <c r="AI587" s="124" t="s">
        <v>183</v>
      </c>
      <c r="AJ587" s="125" t="s">
        <v>379</v>
      </c>
      <c r="AK587"/>
      <c r="AM587" s="80"/>
    </row>
    <row r="588" spans="1:39" ht="28.5" customHeight="1">
      <c r="A588" s="113" t="s">
        <v>73</v>
      </c>
      <c r="B588" s="114" t="s">
        <v>74</v>
      </c>
      <c r="C588" s="113" t="s">
        <v>35</v>
      </c>
      <c r="D588" s="113" t="s">
        <v>218</v>
      </c>
      <c r="E588" s="115" t="s">
        <v>1194</v>
      </c>
      <c r="F588" s="113" t="s">
        <v>1103</v>
      </c>
      <c r="G588" s="116" t="s">
        <v>2200</v>
      </c>
      <c r="H588" s="79">
        <v>46226</v>
      </c>
      <c r="I588" s="114" t="s">
        <v>79</v>
      </c>
      <c r="J588" s="117" t="s">
        <v>2201</v>
      </c>
      <c r="K588" s="118">
        <v>46218</v>
      </c>
      <c r="L588" s="114" t="s">
        <v>79</v>
      </c>
      <c r="M588" s="119">
        <v>46220</v>
      </c>
      <c r="N588" s="128">
        <v>46220</v>
      </c>
      <c r="O588" s="120">
        <f>NETWORKDAYS.INTL(K588,N588,1,$AM$2:$AM$10)-1</f>
        <v>2</v>
      </c>
      <c r="P588" s="114" t="s">
        <v>81</v>
      </c>
      <c r="Q588" s="114" t="s">
        <v>79</v>
      </c>
      <c r="R588" s="115"/>
      <c r="S588" s="145">
        <v>647.9</v>
      </c>
      <c r="T588" s="148" t="s">
        <v>1430</v>
      </c>
      <c r="U588" s="147">
        <v>2</v>
      </c>
      <c r="V588" s="121">
        <v>219</v>
      </c>
      <c r="W588" s="121">
        <v>1045</v>
      </c>
      <c r="X588" s="114" t="s">
        <v>84</v>
      </c>
      <c r="Y588" s="115" t="s">
        <v>85</v>
      </c>
      <c r="Z588" s="115" t="s">
        <v>1540</v>
      </c>
      <c r="AA588" s="113" t="s">
        <v>87</v>
      </c>
      <c r="AB588" s="122">
        <v>240.4</v>
      </c>
      <c r="AC588" s="122">
        <f>IF(C588="DENALI", AB588*0.495, IF(C588="SCHNEIDER ELECTRIC", AB588*1.136, IF(C588="WWT", AB588*1.2, AC588)))+AB588</f>
        <v>359.39800000000002</v>
      </c>
      <c r="AD588" s="129">
        <f>AC588-AB588</f>
        <v>118.99800000000002</v>
      </c>
      <c r="AE588" s="122">
        <v>46562.3</v>
      </c>
      <c r="AF588" s="130">
        <f>AB588/U588</f>
        <v>120.2</v>
      </c>
      <c r="AG588" s="130">
        <f>AB588/V588</f>
        <v>1.097716894977169</v>
      </c>
      <c r="AH588" s="123">
        <f>AB588/S588</f>
        <v>0.37104491433863251</v>
      </c>
      <c r="AI588" s="124" t="s">
        <v>97</v>
      </c>
      <c r="AJ588" s="125" t="s">
        <v>349</v>
      </c>
      <c r="AK588"/>
      <c r="AM588" s="80"/>
    </row>
    <row r="589" spans="1:39" ht="28.5" customHeight="1">
      <c r="A589" s="113" t="s">
        <v>73</v>
      </c>
      <c r="B589" s="114" t="s">
        <v>74</v>
      </c>
      <c r="C589" s="113" t="s">
        <v>35</v>
      </c>
      <c r="D589" s="113" t="s">
        <v>218</v>
      </c>
      <c r="E589" s="115" t="s">
        <v>779</v>
      </c>
      <c r="F589" s="113" t="s">
        <v>254</v>
      </c>
      <c r="G589" s="116" t="s">
        <v>2202</v>
      </c>
      <c r="H589" s="79">
        <v>46226</v>
      </c>
      <c r="I589" s="114" t="s">
        <v>79</v>
      </c>
      <c r="J589" s="117" t="s">
        <v>2203</v>
      </c>
      <c r="K589" s="118">
        <v>46218</v>
      </c>
      <c r="L589" s="114" t="s">
        <v>81</v>
      </c>
      <c r="M589" s="119">
        <v>46220</v>
      </c>
      <c r="N589" s="128">
        <v>46220</v>
      </c>
      <c r="O589" s="120">
        <f>NETWORKDAYS.INTL(K589,N589,1,$AM$2:$AM$10)-1</f>
        <v>2</v>
      </c>
      <c r="P589" s="114" t="s">
        <v>81</v>
      </c>
      <c r="Q589" s="114" t="s">
        <v>79</v>
      </c>
      <c r="R589" s="115"/>
      <c r="S589" s="145">
        <v>634</v>
      </c>
      <c r="T589" s="148" t="s">
        <v>2204</v>
      </c>
      <c r="U589" s="147">
        <v>1</v>
      </c>
      <c r="V589" s="121">
        <v>405</v>
      </c>
      <c r="W589" s="121">
        <v>315</v>
      </c>
      <c r="X589" s="114" t="s">
        <v>84</v>
      </c>
      <c r="Y589" s="115" t="s">
        <v>85</v>
      </c>
      <c r="Z589" s="115" t="s">
        <v>86</v>
      </c>
      <c r="AA589" s="113" t="s">
        <v>87</v>
      </c>
      <c r="AB589" s="122">
        <v>255.03</v>
      </c>
      <c r="AC589" s="122">
        <f>IF(C589="DENALI", AB589*0.495, IF(C589="SCHNEIDER ELECTRIC", AB589*1.136, IF(C589="WWT", AB589*1.2, AC589)))+AB589</f>
        <v>381.26985000000002</v>
      </c>
      <c r="AD589" s="129">
        <f>AC589-AB589</f>
        <v>126.23985000000002</v>
      </c>
      <c r="AE589" s="122">
        <v>16732.29</v>
      </c>
      <c r="AF589" s="130">
        <f>AB589/U589</f>
        <v>255.03</v>
      </c>
      <c r="AG589" s="130">
        <f>AB589/V589</f>
        <v>0.62970370370370365</v>
      </c>
      <c r="AH589" s="123">
        <f>AB589/S589</f>
        <v>0.40225552050473184</v>
      </c>
      <c r="AI589" s="124" t="s">
        <v>147</v>
      </c>
      <c r="AJ589" s="125" t="s">
        <v>343</v>
      </c>
      <c r="AK589"/>
      <c r="AM589" s="80"/>
    </row>
    <row r="590" spans="1:39" ht="28.5" customHeight="1">
      <c r="A590" s="113" t="s">
        <v>73</v>
      </c>
      <c r="B590" s="114" t="s">
        <v>74</v>
      </c>
      <c r="C590" s="113" t="s">
        <v>35</v>
      </c>
      <c r="D590" s="113" t="s">
        <v>218</v>
      </c>
      <c r="E590" s="115" t="s">
        <v>1259</v>
      </c>
      <c r="F590" s="113" t="s">
        <v>99</v>
      </c>
      <c r="G590" s="116" t="s">
        <v>2205</v>
      </c>
      <c r="H590" s="79">
        <v>46226</v>
      </c>
      <c r="I590" s="114" t="s">
        <v>79</v>
      </c>
      <c r="J590" s="117" t="s">
        <v>2206</v>
      </c>
      <c r="K590" s="118">
        <v>46218</v>
      </c>
      <c r="L590" s="114" t="s">
        <v>81</v>
      </c>
      <c r="M590" s="119">
        <v>46225</v>
      </c>
      <c r="N590" s="128">
        <v>46225</v>
      </c>
      <c r="O590" s="120">
        <f>NETWORKDAYS.INTL(K590,N590,1,$AM$2:$AM$10)-1</f>
        <v>5</v>
      </c>
      <c r="P590" s="114" t="s">
        <v>81</v>
      </c>
      <c r="Q590" s="114" t="s">
        <v>79</v>
      </c>
      <c r="R590" s="115"/>
      <c r="S590" s="145">
        <v>2302</v>
      </c>
      <c r="T590" s="148" t="s">
        <v>1347</v>
      </c>
      <c r="U590" s="147">
        <v>1</v>
      </c>
      <c r="V590" s="121">
        <v>621</v>
      </c>
      <c r="W590" s="121">
        <v>335</v>
      </c>
      <c r="X590" s="114" t="s">
        <v>84</v>
      </c>
      <c r="Y590" s="115" t="s">
        <v>85</v>
      </c>
      <c r="Z590" s="115" t="s">
        <v>86</v>
      </c>
      <c r="AA590" s="113" t="s">
        <v>87</v>
      </c>
      <c r="AB590" s="122">
        <v>319.32</v>
      </c>
      <c r="AC590" s="122">
        <f>IF(C590="DENALI", AB590*0.495, IF(C590="SCHNEIDER ELECTRIC", AB590*1.136, IF(C590="WWT", AB590*1.2, AC590)))+AB590</f>
        <v>477.38339999999999</v>
      </c>
      <c r="AD590" s="129">
        <f>AC590-AB590</f>
        <v>158.0634</v>
      </c>
      <c r="AE590" s="122">
        <v>16532.89</v>
      </c>
      <c r="AF590" s="130">
        <f>AB590/U590</f>
        <v>319.32</v>
      </c>
      <c r="AG590" s="130">
        <f>AB590/V590</f>
        <v>0.51420289855072465</v>
      </c>
      <c r="AH590" s="123">
        <f>AB590/S590</f>
        <v>0.13871416159860991</v>
      </c>
      <c r="AI590" s="124" t="s">
        <v>97</v>
      </c>
      <c r="AJ590" s="125" t="s">
        <v>349</v>
      </c>
      <c r="AK590"/>
      <c r="AM590" s="80"/>
    </row>
    <row r="591" spans="1:39" ht="28.5" customHeight="1">
      <c r="A591" s="113" t="s">
        <v>73</v>
      </c>
      <c r="B591" s="114" t="s">
        <v>74</v>
      </c>
      <c r="C591" s="113" t="s">
        <v>35</v>
      </c>
      <c r="D591" s="113" t="s">
        <v>218</v>
      </c>
      <c r="E591" s="115" t="s">
        <v>1162</v>
      </c>
      <c r="F591" s="113" t="s">
        <v>218</v>
      </c>
      <c r="G591" s="116">
        <v>23591063</v>
      </c>
      <c r="H591" s="79">
        <v>46226</v>
      </c>
      <c r="I591" s="114" t="s">
        <v>79</v>
      </c>
      <c r="J591" s="117" t="s">
        <v>2207</v>
      </c>
      <c r="K591" s="118">
        <v>46218</v>
      </c>
      <c r="L591" s="114" t="s">
        <v>81</v>
      </c>
      <c r="M591" s="119">
        <v>46220</v>
      </c>
      <c r="N591" s="128">
        <v>46219</v>
      </c>
      <c r="O591" s="120">
        <f>NETWORKDAYS.INTL(K591,N591,1,$AM$2:$AM$10)-1</f>
        <v>1</v>
      </c>
      <c r="P591" s="114" t="s">
        <v>81</v>
      </c>
      <c r="Q591" s="114" t="s">
        <v>79</v>
      </c>
      <c r="R591" s="115"/>
      <c r="S591" s="145">
        <v>140</v>
      </c>
      <c r="T591" s="148" t="s">
        <v>2208</v>
      </c>
      <c r="U591" s="147">
        <v>1</v>
      </c>
      <c r="V591" s="121">
        <v>390</v>
      </c>
      <c r="W591" s="121">
        <v>175</v>
      </c>
      <c r="X591" s="114" t="s">
        <v>113</v>
      </c>
      <c r="Y591" s="115" t="s">
        <v>85</v>
      </c>
      <c r="Z591" s="115" t="s">
        <v>2209</v>
      </c>
      <c r="AA591" s="113" t="s">
        <v>87</v>
      </c>
      <c r="AB591" s="122">
        <v>1210.5999999999999</v>
      </c>
      <c r="AC591" s="122">
        <f>IF(C591="DENALI", AB591*0.495, IF(C591="SCHNEIDER ELECTRIC", AB591*1.136, IF(C591="WWT", AB591*1.2, AC591)))+AB591</f>
        <v>1809.8469999999998</v>
      </c>
      <c r="AD591" s="129">
        <f>AC591-AB591</f>
        <v>599.24699999999984</v>
      </c>
      <c r="AE591" s="122">
        <v>4126.2</v>
      </c>
      <c r="AF591" s="130">
        <f>AB591/U591</f>
        <v>1210.5999999999999</v>
      </c>
      <c r="AG591" s="130">
        <f>AB591/V591</f>
        <v>3.1041025641025639</v>
      </c>
      <c r="AH591" s="123">
        <f>AB591/S591</f>
        <v>8.6471428571428568</v>
      </c>
      <c r="AI591" s="124" t="s">
        <v>97</v>
      </c>
      <c r="AJ591" s="125" t="s">
        <v>349</v>
      </c>
      <c r="AK591"/>
      <c r="AM591" s="80"/>
    </row>
    <row r="592" spans="1:39" ht="28.5" customHeight="1">
      <c r="A592" s="113" t="s">
        <v>73</v>
      </c>
      <c r="B592" s="114" t="s">
        <v>74</v>
      </c>
      <c r="C592" s="113" t="s">
        <v>2210</v>
      </c>
      <c r="D592" s="113" t="s">
        <v>90</v>
      </c>
      <c r="E592" s="115" t="s">
        <v>883</v>
      </c>
      <c r="F592" s="113" t="s">
        <v>254</v>
      </c>
      <c r="G592" s="116">
        <v>23594059</v>
      </c>
      <c r="H592" s="79">
        <v>46219</v>
      </c>
      <c r="I592" s="114" t="s">
        <v>81</v>
      </c>
      <c r="J592" s="117">
        <v>23594059</v>
      </c>
      <c r="K592" s="118">
        <v>46218</v>
      </c>
      <c r="L592" s="114" t="s">
        <v>79</v>
      </c>
      <c r="M592" s="119">
        <v>46219</v>
      </c>
      <c r="N592" s="128" t="s">
        <v>95</v>
      </c>
      <c r="O592" s="120" t="e">
        <f>NETWORKDAYS.INTL(K592,N592,1,$AM$2:$AM$10)-1</f>
        <v>#VALUE!</v>
      </c>
      <c r="P592" s="114" t="s">
        <v>976</v>
      </c>
      <c r="Q592" s="114" t="s">
        <v>81</v>
      </c>
      <c r="R592" s="115" t="s">
        <v>2211</v>
      </c>
      <c r="S592" s="145"/>
      <c r="T592" s="148" t="s">
        <v>2212</v>
      </c>
      <c r="U592" s="147">
        <v>3</v>
      </c>
      <c r="V592" s="121">
        <v>774</v>
      </c>
      <c r="W592" s="121">
        <v>1747</v>
      </c>
      <c r="X592" s="114" t="s">
        <v>2213</v>
      </c>
      <c r="Y592" s="169" t="s">
        <v>85</v>
      </c>
      <c r="Z592" s="169" t="s">
        <v>2214</v>
      </c>
      <c r="AA592" s="202" t="s">
        <v>2215</v>
      </c>
      <c r="AB592" s="179">
        <v>8500</v>
      </c>
      <c r="AC592" s="179">
        <v>14500</v>
      </c>
      <c r="AD592" s="288">
        <f>AC592-AB592</f>
        <v>6000</v>
      </c>
      <c r="AE592" s="179">
        <v>286225.59999999998</v>
      </c>
      <c r="AF592" s="235">
        <f>AB592/U592</f>
        <v>2833.3333333333335</v>
      </c>
      <c r="AG592" s="235">
        <f>AB592/V592</f>
        <v>10.981912144702843</v>
      </c>
      <c r="AH592" s="236" t="e">
        <f>AB592/S592</f>
        <v>#DIV/0!</v>
      </c>
      <c r="AI592" s="237" t="s">
        <v>97</v>
      </c>
      <c r="AJ592" s="125" t="s">
        <v>2216</v>
      </c>
      <c r="AK592"/>
      <c r="AM592" s="80"/>
    </row>
    <row r="593" spans="1:39" ht="28.5" customHeight="1">
      <c r="A593" s="113" t="s">
        <v>73</v>
      </c>
      <c r="B593" s="114" t="s">
        <v>74</v>
      </c>
      <c r="C593" s="113" t="s">
        <v>2210</v>
      </c>
      <c r="D593" s="113" t="s">
        <v>90</v>
      </c>
      <c r="E593" s="115" t="s">
        <v>1284</v>
      </c>
      <c r="F593" s="113" t="s">
        <v>207</v>
      </c>
      <c r="G593" s="116">
        <v>23594082</v>
      </c>
      <c r="H593" s="79">
        <v>46219</v>
      </c>
      <c r="I593" s="114" t="s">
        <v>81</v>
      </c>
      <c r="J593" s="117">
        <v>23594082</v>
      </c>
      <c r="K593" s="118">
        <v>46218</v>
      </c>
      <c r="L593" s="114" t="s">
        <v>81</v>
      </c>
      <c r="M593" s="119">
        <v>46219</v>
      </c>
      <c r="N593" s="128">
        <v>46220</v>
      </c>
      <c r="O593" s="120">
        <f>NETWORKDAYS.INTL(K593,N593,1,$AM$2:$AM$10)-1</f>
        <v>2</v>
      </c>
      <c r="P593" s="114" t="s">
        <v>81</v>
      </c>
      <c r="Q593" s="114" t="s">
        <v>79</v>
      </c>
      <c r="R593" s="115"/>
      <c r="S593" s="145">
        <v>2442</v>
      </c>
      <c r="T593" s="148" t="s">
        <v>2217</v>
      </c>
      <c r="U593" s="147">
        <v>3</v>
      </c>
      <c r="V593" s="121">
        <v>774</v>
      </c>
      <c r="W593" s="121">
        <v>1708</v>
      </c>
      <c r="X593" s="167" t="s">
        <v>2213</v>
      </c>
      <c r="Y593" s="175" t="s">
        <v>85</v>
      </c>
      <c r="Z593" s="175" t="s">
        <v>2214</v>
      </c>
      <c r="AA593" s="148" t="s">
        <v>2215</v>
      </c>
      <c r="AB593" s="283">
        <v>8250</v>
      </c>
      <c r="AC593" s="283">
        <v>13700</v>
      </c>
      <c r="AD593" s="284">
        <f>AC593-AB593</f>
        <v>5450</v>
      </c>
      <c r="AE593" s="283">
        <v>286225.59999999998</v>
      </c>
      <c r="AF593" s="232">
        <f>AB593/U593</f>
        <v>2750</v>
      </c>
      <c r="AG593" s="232">
        <f>AB593/V593</f>
        <v>10.65891472868217</v>
      </c>
      <c r="AH593" s="233">
        <f>AB593/S593</f>
        <v>3.3783783783783785</v>
      </c>
      <c r="AI593" s="76" t="s">
        <v>97</v>
      </c>
      <c r="AJ593" s="349" t="s">
        <v>2218</v>
      </c>
      <c r="AK593"/>
      <c r="AM593" s="80"/>
    </row>
    <row r="594" spans="1:39" ht="28.5" customHeight="1">
      <c r="A594" s="113" t="s">
        <v>73</v>
      </c>
      <c r="B594" s="114" t="s">
        <v>74</v>
      </c>
      <c r="C594" s="113" t="s">
        <v>2210</v>
      </c>
      <c r="D594" s="113" t="s">
        <v>90</v>
      </c>
      <c r="E594" s="115" t="s">
        <v>1194</v>
      </c>
      <c r="F594" s="113" t="s">
        <v>1103</v>
      </c>
      <c r="G594" s="116">
        <v>23594083</v>
      </c>
      <c r="H594" s="79">
        <v>46219</v>
      </c>
      <c r="I594" s="114" t="s">
        <v>81</v>
      </c>
      <c r="J594" s="117">
        <v>23594083</v>
      </c>
      <c r="K594" s="118">
        <v>46218</v>
      </c>
      <c r="L594" s="114" t="s">
        <v>81</v>
      </c>
      <c r="M594" s="119">
        <v>46219</v>
      </c>
      <c r="N594" s="128">
        <v>46220</v>
      </c>
      <c r="O594" s="120">
        <f>NETWORKDAYS.INTL(K594,N594,1,$AM$2:$AM$10)-1</f>
        <v>2</v>
      </c>
      <c r="P594" s="114" t="s">
        <v>81</v>
      </c>
      <c r="Q594" s="114" t="s">
        <v>79</v>
      </c>
      <c r="R594" s="115"/>
      <c r="S594" s="145">
        <v>1822</v>
      </c>
      <c r="T594" s="148" t="s">
        <v>2219</v>
      </c>
      <c r="U594" s="147">
        <v>2</v>
      </c>
      <c r="V594" s="121">
        <v>774</v>
      </c>
      <c r="W594" s="121">
        <v>1587</v>
      </c>
      <c r="X594" s="114" t="s">
        <v>2213</v>
      </c>
      <c r="Y594" s="176" t="s">
        <v>85</v>
      </c>
      <c r="Z594" s="176" t="s">
        <v>2220</v>
      </c>
      <c r="AA594" s="307" t="s">
        <v>2215</v>
      </c>
      <c r="AB594" s="351">
        <v>6995</v>
      </c>
      <c r="AC594" s="351">
        <v>12500</v>
      </c>
      <c r="AD594" s="352">
        <f>AC594-AB594</f>
        <v>5505</v>
      </c>
      <c r="AE594" s="351">
        <v>286226.59999999998</v>
      </c>
      <c r="AF594" s="353">
        <f>AB594/U594</f>
        <v>3497.5</v>
      </c>
      <c r="AG594" s="353">
        <f>AB594/V594</f>
        <v>9.0374677002583983</v>
      </c>
      <c r="AH594" s="354">
        <f>AB594/S594</f>
        <v>3.8391877058177828</v>
      </c>
      <c r="AI594" s="154" t="s">
        <v>97</v>
      </c>
      <c r="AJ594" s="125" t="s">
        <v>2221</v>
      </c>
      <c r="AK594"/>
      <c r="AM594" s="80"/>
    </row>
    <row r="595" spans="1:39" ht="28.5" customHeight="1">
      <c r="A595" s="113" t="s">
        <v>73</v>
      </c>
      <c r="B595" s="114" t="s">
        <v>74</v>
      </c>
      <c r="C595" s="113" t="s">
        <v>35</v>
      </c>
      <c r="D595" s="113" t="s">
        <v>218</v>
      </c>
      <c r="E595" s="115" t="s">
        <v>1288</v>
      </c>
      <c r="F595" s="113" t="s">
        <v>585</v>
      </c>
      <c r="G595" s="116" t="s">
        <v>2222</v>
      </c>
      <c r="H595" s="79">
        <v>46227</v>
      </c>
      <c r="I595" s="114" t="s">
        <v>79</v>
      </c>
      <c r="J595" s="117" t="s">
        <v>2223</v>
      </c>
      <c r="K595" s="118">
        <v>46219</v>
      </c>
      <c r="L595" s="114" t="s">
        <v>81</v>
      </c>
      <c r="M595" s="119">
        <v>46225</v>
      </c>
      <c r="N595" s="128">
        <v>46225</v>
      </c>
      <c r="O595" s="120">
        <f>NETWORKDAYS.INTL(K595,N595,1,$AM$2:$AM$10)-1</f>
        <v>4</v>
      </c>
      <c r="P595" s="114" t="s">
        <v>81</v>
      </c>
      <c r="Q595" s="114" t="s">
        <v>79</v>
      </c>
      <c r="R595" s="115"/>
      <c r="S595" s="145">
        <v>1898</v>
      </c>
      <c r="T595" s="148" t="s">
        <v>2224</v>
      </c>
      <c r="U595" s="147">
        <v>1</v>
      </c>
      <c r="V595" s="121">
        <v>56</v>
      </c>
      <c r="W595" s="121">
        <v>485</v>
      </c>
      <c r="X595" s="114" t="s">
        <v>84</v>
      </c>
      <c r="Y595" s="115" t="s">
        <v>85</v>
      </c>
      <c r="Z595" s="115" t="s">
        <v>86</v>
      </c>
      <c r="AA595" s="113" t="s">
        <v>87</v>
      </c>
      <c r="AB595" s="122">
        <v>318.33999999999997</v>
      </c>
      <c r="AC595" s="122">
        <f>IF(C595="DENALI", AB595*0.495, IF(C595="SCHNEIDER ELECTRIC", AB595*1.136, IF(C595="WWT", AB595*1.2, AC595)))+AB595</f>
        <v>475.91829999999993</v>
      </c>
      <c r="AD595" s="129">
        <f>AC595-AB595</f>
        <v>157.57829999999996</v>
      </c>
      <c r="AE595" s="122">
        <v>36716.26</v>
      </c>
      <c r="AF595" s="130">
        <f>AB595/U595</f>
        <v>318.33999999999997</v>
      </c>
      <c r="AG595" s="130">
        <f>AB595/V595</f>
        <v>5.6846428571428564</v>
      </c>
      <c r="AH595" s="123">
        <f>AB595/S595</f>
        <v>0.16772391991570074</v>
      </c>
      <c r="AI595" s="124" t="s">
        <v>97</v>
      </c>
      <c r="AJ595" s="125" t="s">
        <v>349</v>
      </c>
      <c r="AK595"/>
      <c r="AM595" s="80"/>
    </row>
    <row r="596" spans="1:39" ht="28.5" customHeight="1">
      <c r="A596" s="113" t="s">
        <v>73</v>
      </c>
      <c r="B596" s="114" t="s">
        <v>74</v>
      </c>
      <c r="C596" s="113" t="s">
        <v>35</v>
      </c>
      <c r="D596" s="113" t="s">
        <v>218</v>
      </c>
      <c r="E596" s="115" t="s">
        <v>2195</v>
      </c>
      <c r="F596" s="113" t="s">
        <v>2196</v>
      </c>
      <c r="G596" s="116" t="s">
        <v>2225</v>
      </c>
      <c r="H596" s="79">
        <v>46227</v>
      </c>
      <c r="I596" s="114" t="s">
        <v>79</v>
      </c>
      <c r="J596" s="117" t="s">
        <v>2198</v>
      </c>
      <c r="K596" s="118">
        <v>46219</v>
      </c>
      <c r="L596" s="114" t="s">
        <v>81</v>
      </c>
      <c r="M596" s="119">
        <v>46223</v>
      </c>
      <c r="N596" s="128">
        <v>46224</v>
      </c>
      <c r="O596" s="120">
        <f>NETWORKDAYS.INTL(K596,N596,1,$AM$2:$AM$10)-1</f>
        <v>3</v>
      </c>
      <c r="P596" s="114" t="s">
        <v>81</v>
      </c>
      <c r="Q596" s="114" t="s">
        <v>79</v>
      </c>
      <c r="R596" s="115"/>
      <c r="S596" s="145">
        <v>998</v>
      </c>
      <c r="T596" s="148" t="s">
        <v>2199</v>
      </c>
      <c r="U596" s="147">
        <v>1</v>
      </c>
      <c r="V596" s="121">
        <v>287</v>
      </c>
      <c r="W596" s="121">
        <v>300</v>
      </c>
      <c r="X596" s="114" t="s">
        <v>84</v>
      </c>
      <c r="Y596" s="115" t="s">
        <v>85</v>
      </c>
      <c r="Z596" s="115" t="s">
        <v>86</v>
      </c>
      <c r="AA596" s="113" t="s">
        <v>87</v>
      </c>
      <c r="AB596" s="122">
        <v>262.55</v>
      </c>
      <c r="AC596" s="122">
        <f>IF(C596="DENALI", AB596*0.495, IF(C596="SCHNEIDER ELECTRIC", AB596*1.136, IF(C596="WWT", AB596*1.2, AC596)))+AB596</f>
        <v>392.51224999999999</v>
      </c>
      <c r="AD596" s="129">
        <f>AC596-AB596</f>
        <v>129.96224999999998</v>
      </c>
      <c r="AE596" s="122">
        <v>43821.35</v>
      </c>
      <c r="AF596" s="130">
        <f>AB596/U596</f>
        <v>262.55</v>
      </c>
      <c r="AG596" s="130">
        <f>AB596/V596</f>
        <v>0.91480836236933805</v>
      </c>
      <c r="AH596" s="123">
        <f>AB596/S596</f>
        <v>0.26307615230460923</v>
      </c>
      <c r="AI596" s="124" t="s">
        <v>183</v>
      </c>
      <c r="AJ596" s="125" t="s">
        <v>379</v>
      </c>
      <c r="AK596"/>
      <c r="AM596" s="80"/>
    </row>
    <row r="597" spans="1:39" ht="28.5" customHeight="1">
      <c r="A597" s="113" t="s">
        <v>73</v>
      </c>
      <c r="B597" s="114" t="s">
        <v>74</v>
      </c>
      <c r="C597" s="113" t="s">
        <v>35</v>
      </c>
      <c r="D597" s="113" t="s">
        <v>218</v>
      </c>
      <c r="E597" s="115" t="s">
        <v>883</v>
      </c>
      <c r="F597" s="113" t="s">
        <v>254</v>
      </c>
      <c r="G597" s="116" t="s">
        <v>2226</v>
      </c>
      <c r="H597" s="79">
        <v>46227</v>
      </c>
      <c r="I597" s="114" t="s">
        <v>79</v>
      </c>
      <c r="J597" s="117" t="s">
        <v>2227</v>
      </c>
      <c r="K597" s="118">
        <v>46219</v>
      </c>
      <c r="L597" s="114" t="s">
        <v>81</v>
      </c>
      <c r="M597" s="119">
        <v>46223</v>
      </c>
      <c r="N597" s="128">
        <v>46223</v>
      </c>
      <c r="O597" s="120">
        <f>NETWORKDAYS.INTL(K597,N597,1,$AM$2:$AM$10)-1</f>
        <v>2</v>
      </c>
      <c r="P597" s="114" t="s">
        <v>81</v>
      </c>
      <c r="Q597" s="114" t="s">
        <v>79</v>
      </c>
      <c r="R597" s="115"/>
      <c r="S597" s="145">
        <v>629</v>
      </c>
      <c r="T597" s="148" t="s">
        <v>2228</v>
      </c>
      <c r="U597" s="147">
        <v>1</v>
      </c>
      <c r="V597" s="121">
        <v>56</v>
      </c>
      <c r="W597" s="121">
        <v>455</v>
      </c>
      <c r="X597" s="114" t="s">
        <v>84</v>
      </c>
      <c r="Y597" s="115" t="s">
        <v>85</v>
      </c>
      <c r="Z597" s="115" t="s">
        <v>86</v>
      </c>
      <c r="AA597" s="113" t="s">
        <v>87</v>
      </c>
      <c r="AB597" s="122">
        <v>345.03</v>
      </c>
      <c r="AC597" s="122">
        <f>IF(C597="DENALI", AB597*0.495, IF(C597="SCHNEIDER ELECTRIC", AB597*1.136, IF(C597="WWT", AB597*1.2, AC597)))+AB597</f>
        <v>515.81984999999997</v>
      </c>
      <c r="AD597" s="129">
        <f>AC597-AB597</f>
        <v>170.78985</v>
      </c>
      <c r="AE597" s="122">
        <v>36716.26</v>
      </c>
      <c r="AF597" s="130">
        <f>AB597/U597</f>
        <v>345.03</v>
      </c>
      <c r="AG597" s="130">
        <f>AB597/V597</f>
        <v>6.1612499999999999</v>
      </c>
      <c r="AH597" s="123">
        <f>AB597/S597</f>
        <v>0.54853736089030203</v>
      </c>
      <c r="AI597" s="124" t="s">
        <v>97</v>
      </c>
      <c r="AJ597" s="125" t="s">
        <v>349</v>
      </c>
      <c r="AK597"/>
      <c r="AM597" s="80"/>
    </row>
    <row r="598" spans="1:39" ht="28.5" customHeight="1">
      <c r="A598" s="113" t="s">
        <v>73</v>
      </c>
      <c r="B598" s="114" t="s">
        <v>74</v>
      </c>
      <c r="C598" s="113" t="s">
        <v>35</v>
      </c>
      <c r="D598" s="113" t="s">
        <v>218</v>
      </c>
      <c r="E598" s="115" t="s">
        <v>1086</v>
      </c>
      <c r="F598" s="113" t="s">
        <v>218</v>
      </c>
      <c r="G598" s="116" t="s">
        <v>2229</v>
      </c>
      <c r="H598" s="79">
        <v>46227</v>
      </c>
      <c r="I598" s="114" t="s">
        <v>79</v>
      </c>
      <c r="J598" s="117" t="s">
        <v>2230</v>
      </c>
      <c r="K598" s="118">
        <v>46219</v>
      </c>
      <c r="L598" s="114" t="s">
        <v>81</v>
      </c>
      <c r="M598" s="119">
        <v>46220</v>
      </c>
      <c r="N598" s="128">
        <v>46224</v>
      </c>
      <c r="O598" s="120">
        <f>NETWORKDAYS.INTL(K598,N598,1,$AM$2:$AM$10)-1</f>
        <v>3</v>
      </c>
      <c r="P598" s="114" t="s">
        <v>81</v>
      </c>
      <c r="Q598" s="114" t="s">
        <v>79</v>
      </c>
      <c r="R598" s="115"/>
      <c r="S598" s="145">
        <v>124</v>
      </c>
      <c r="T598" s="148" t="s">
        <v>2231</v>
      </c>
      <c r="U598" s="147">
        <v>1</v>
      </c>
      <c r="V598" s="121">
        <v>64</v>
      </c>
      <c r="W598" s="121">
        <v>510</v>
      </c>
      <c r="X598" s="114" t="s">
        <v>84</v>
      </c>
      <c r="Y598" s="115" t="s">
        <v>85</v>
      </c>
      <c r="Z598" s="115" t="s">
        <v>1540</v>
      </c>
      <c r="AA598" s="113" t="s">
        <v>87</v>
      </c>
      <c r="AB598" s="122">
        <v>135.1</v>
      </c>
      <c r="AC598" s="122">
        <f>IF(C598="DENALI", AB598*0.495, IF(C598="SCHNEIDER ELECTRIC", AB598*1.136, IF(C598="WWT", AB598*1.2, AC598)))+AB598</f>
        <v>201.97449999999998</v>
      </c>
      <c r="AD598" s="129">
        <f>AC598-AB598</f>
        <v>66.874499999999983</v>
      </c>
      <c r="AE598" s="122">
        <v>41961.440000000002</v>
      </c>
      <c r="AF598" s="130">
        <f>AB598/U598</f>
        <v>135.1</v>
      </c>
      <c r="AG598" s="130">
        <f>AB598/V598</f>
        <v>2.1109374999999999</v>
      </c>
      <c r="AH598" s="123">
        <f>AB598/S598</f>
        <v>1.0895161290322579</v>
      </c>
      <c r="AI598" s="124" t="s">
        <v>97</v>
      </c>
      <c r="AJ598" s="125" t="s">
        <v>349</v>
      </c>
      <c r="AK598"/>
      <c r="AM598" s="80"/>
    </row>
    <row r="599" spans="1:39" ht="28.5" customHeight="1">
      <c r="A599" s="113" t="s">
        <v>73</v>
      </c>
      <c r="B599" s="114" t="s">
        <v>74</v>
      </c>
      <c r="C599" s="113" t="s">
        <v>35</v>
      </c>
      <c r="D599" s="113" t="s">
        <v>218</v>
      </c>
      <c r="E599" s="115" t="s">
        <v>1194</v>
      </c>
      <c r="F599" s="113" t="s">
        <v>1103</v>
      </c>
      <c r="G599" s="116" t="s">
        <v>2232</v>
      </c>
      <c r="H599" s="79">
        <v>46227</v>
      </c>
      <c r="I599" s="114" t="s">
        <v>79</v>
      </c>
      <c r="J599" s="117" t="s">
        <v>2233</v>
      </c>
      <c r="K599" s="118">
        <v>46219</v>
      </c>
      <c r="L599" s="114" t="s">
        <v>81</v>
      </c>
      <c r="M599" s="119">
        <v>46223</v>
      </c>
      <c r="N599" s="128">
        <v>46225</v>
      </c>
      <c r="O599" s="120">
        <f>NETWORKDAYS.INTL(K599,N599,1,$AM$2:$AM$10)-1</f>
        <v>4</v>
      </c>
      <c r="P599" s="114" t="s">
        <v>81</v>
      </c>
      <c r="Q599" s="114" t="s">
        <v>79</v>
      </c>
      <c r="R599" s="115"/>
      <c r="S599" s="145">
        <v>648</v>
      </c>
      <c r="T599" s="148" t="s">
        <v>2234</v>
      </c>
      <c r="U599" s="147">
        <v>1</v>
      </c>
      <c r="V599" s="121">
        <v>48</v>
      </c>
      <c r="W599" s="121">
        <v>390</v>
      </c>
      <c r="X599" s="114" t="s">
        <v>84</v>
      </c>
      <c r="Y599" s="115" t="s">
        <v>85</v>
      </c>
      <c r="Z599" s="115" t="s">
        <v>1540</v>
      </c>
      <c r="AA599" s="113" t="s">
        <v>87</v>
      </c>
      <c r="AB599" s="122">
        <v>208.44</v>
      </c>
      <c r="AC599" s="122">
        <f>IF(C599="DENALI", AB599*0.495, IF(C599="SCHNEIDER ELECTRIC", AB599*1.136, IF(C599="WWT", AB599*1.2, AC599)))+AB599</f>
        <v>311.61779999999999</v>
      </c>
      <c r="AD599" s="129">
        <f>AC599-AB599</f>
        <v>103.17779999999999</v>
      </c>
      <c r="AE599" s="122">
        <v>31471.08</v>
      </c>
      <c r="AF599" s="130">
        <f>AB599/U599</f>
        <v>208.44</v>
      </c>
      <c r="AG599" s="130">
        <f>AB599/V599</f>
        <v>4.3425000000000002</v>
      </c>
      <c r="AH599" s="123">
        <f>AB599/S599</f>
        <v>0.32166666666666666</v>
      </c>
      <c r="AI599" s="124" t="s">
        <v>97</v>
      </c>
      <c r="AJ599" s="125" t="s">
        <v>349</v>
      </c>
      <c r="AK599"/>
      <c r="AM599" s="80"/>
    </row>
    <row r="600" spans="1:39" ht="28.5" customHeight="1">
      <c r="A600" s="113" t="s">
        <v>73</v>
      </c>
      <c r="B600" s="114" t="s">
        <v>74</v>
      </c>
      <c r="C600" s="113" t="s">
        <v>35</v>
      </c>
      <c r="D600" s="113" t="s">
        <v>218</v>
      </c>
      <c r="E600" s="115" t="s">
        <v>498</v>
      </c>
      <c r="F600" s="113" t="s">
        <v>228</v>
      </c>
      <c r="G600" s="116" t="s">
        <v>2235</v>
      </c>
      <c r="H600" s="79">
        <v>46227</v>
      </c>
      <c r="I600" s="114" t="s">
        <v>79</v>
      </c>
      <c r="J600" s="117" t="s">
        <v>2236</v>
      </c>
      <c r="K600" s="118">
        <v>46219</v>
      </c>
      <c r="L600" s="114" t="s">
        <v>81</v>
      </c>
      <c r="M600" s="119">
        <v>46223</v>
      </c>
      <c r="N600" s="128">
        <v>46220</v>
      </c>
      <c r="O600" s="120">
        <f>NETWORKDAYS.INTL(K600,N600,1,$AM$2:$AM$10)-1</f>
        <v>1</v>
      </c>
      <c r="P600" s="114" t="s">
        <v>81</v>
      </c>
      <c r="Q600" s="114" t="s">
        <v>79</v>
      </c>
      <c r="R600" s="115"/>
      <c r="S600" s="145">
        <v>153</v>
      </c>
      <c r="T600" s="148" t="s">
        <v>1897</v>
      </c>
      <c r="U600" s="147">
        <v>1</v>
      </c>
      <c r="V600" s="121">
        <v>251</v>
      </c>
      <c r="W600" s="121">
        <v>1635</v>
      </c>
      <c r="X600" s="114" t="s">
        <v>84</v>
      </c>
      <c r="Y600" s="115" t="s">
        <v>85</v>
      </c>
      <c r="Z600" s="115" t="s">
        <v>1540</v>
      </c>
      <c r="AA600" s="113" t="s">
        <v>87</v>
      </c>
      <c r="AB600" s="122">
        <v>333.2</v>
      </c>
      <c r="AC600" s="122">
        <f>IF(C600="DENALI", AB600*0.495, IF(C600="SCHNEIDER ELECTRIC", AB600*1.136, IF(C600="WWT", AB600*1.2, AC600)))+AB600</f>
        <v>498.13400000000001</v>
      </c>
      <c r="AD600" s="129">
        <f>AC600-AB600</f>
        <v>164.93400000000003</v>
      </c>
      <c r="AE600" s="122">
        <v>182427.36</v>
      </c>
      <c r="AF600" s="130">
        <f>AB600/U600</f>
        <v>333.2</v>
      </c>
      <c r="AG600" s="130">
        <f>AB600/V600</f>
        <v>1.3274900398406375</v>
      </c>
      <c r="AH600" s="123">
        <f>AB600/S600</f>
        <v>2.1777777777777776</v>
      </c>
      <c r="AI600" s="124" t="s">
        <v>97</v>
      </c>
      <c r="AJ600" s="125" t="s">
        <v>349</v>
      </c>
      <c r="AK600"/>
      <c r="AM600" s="80"/>
    </row>
    <row r="601" spans="1:39" ht="28.5" customHeight="1">
      <c r="A601" s="113" t="s">
        <v>73</v>
      </c>
      <c r="B601" s="114" t="s">
        <v>74</v>
      </c>
      <c r="C601" s="113" t="s">
        <v>35</v>
      </c>
      <c r="D601" s="113" t="s">
        <v>218</v>
      </c>
      <c r="E601" s="115" t="s">
        <v>2010</v>
      </c>
      <c r="F601" s="113" t="s">
        <v>228</v>
      </c>
      <c r="G601" s="116" t="s">
        <v>2237</v>
      </c>
      <c r="H601" s="79">
        <v>46227</v>
      </c>
      <c r="I601" s="114" t="s">
        <v>79</v>
      </c>
      <c r="J601" s="117" t="s">
        <v>2238</v>
      </c>
      <c r="K601" s="118">
        <v>46219</v>
      </c>
      <c r="L601" s="114" t="s">
        <v>81</v>
      </c>
      <c r="M601" s="119">
        <v>46220</v>
      </c>
      <c r="N601" s="128">
        <v>46220</v>
      </c>
      <c r="O601" s="120">
        <f>NETWORKDAYS.INTL(K601,N601,1,$AM$2:$AM$10)-1</f>
        <v>1</v>
      </c>
      <c r="P601" s="114" t="s">
        <v>81</v>
      </c>
      <c r="Q601" s="114" t="s">
        <v>79</v>
      </c>
      <c r="R601" s="115" t="s">
        <v>2239</v>
      </c>
      <c r="S601" s="145">
        <v>537</v>
      </c>
      <c r="T601" s="148" t="s">
        <v>2240</v>
      </c>
      <c r="U601" s="147">
        <v>1</v>
      </c>
      <c r="V601" s="121">
        <v>48</v>
      </c>
      <c r="W601" s="121">
        <v>395</v>
      </c>
      <c r="X601" s="114" t="s">
        <v>84</v>
      </c>
      <c r="Y601" s="115" t="s">
        <v>85</v>
      </c>
      <c r="Z601" s="115" t="s">
        <v>1774</v>
      </c>
      <c r="AA601" s="113" t="s">
        <v>87</v>
      </c>
      <c r="AB601" s="122">
        <v>173.95</v>
      </c>
      <c r="AC601" s="122">
        <f>IF(C601="DENALI", AB601*0.495, IF(C601="SCHNEIDER ELECTRIC", AB601*1.136, IF(C601="WWT", AB601*1.2, AC601)))+AB601</f>
        <v>260.05525</v>
      </c>
      <c r="AD601" s="129">
        <f>AC601-AB601</f>
        <v>86.105250000000012</v>
      </c>
      <c r="AE601" s="122">
        <v>31471.08</v>
      </c>
      <c r="AF601" s="130">
        <f>AB601/U601</f>
        <v>173.95</v>
      </c>
      <c r="AG601" s="130">
        <f>AB601/V601</f>
        <v>3.6239583333333329</v>
      </c>
      <c r="AH601" s="123">
        <f>AB601/S601</f>
        <v>0.32392923649906891</v>
      </c>
      <c r="AI601" s="124" t="s">
        <v>97</v>
      </c>
      <c r="AJ601" s="125" t="s">
        <v>349</v>
      </c>
      <c r="AK601"/>
      <c r="AM601" s="80"/>
    </row>
    <row r="602" spans="1:39" ht="28.5" customHeight="1">
      <c r="A602" s="113" t="s">
        <v>73</v>
      </c>
      <c r="B602" s="114" t="s">
        <v>140</v>
      </c>
      <c r="C602" s="113" t="s">
        <v>36</v>
      </c>
      <c r="D602" s="113" t="s">
        <v>75</v>
      </c>
      <c r="E602" s="115" t="s">
        <v>2241</v>
      </c>
      <c r="F602" s="113" t="s">
        <v>207</v>
      </c>
      <c r="G602" s="116" t="s">
        <v>2242</v>
      </c>
      <c r="H602" s="79">
        <v>46227</v>
      </c>
      <c r="I602" s="114" t="s">
        <v>79</v>
      </c>
      <c r="J602" s="117" t="s">
        <v>2243</v>
      </c>
      <c r="K602" s="118">
        <v>46219</v>
      </c>
      <c r="L602" s="114" t="s">
        <v>81</v>
      </c>
      <c r="M602" s="119">
        <v>46223</v>
      </c>
      <c r="N602" s="128">
        <v>46223</v>
      </c>
      <c r="O602" s="120">
        <f>NETWORKDAYS.INTL(K602,N602,1,$AM$2:$AM$10)-1</f>
        <v>2</v>
      </c>
      <c r="P602" s="114" t="s">
        <v>81</v>
      </c>
      <c r="Q602" s="114" t="s">
        <v>79</v>
      </c>
      <c r="R602" s="115"/>
      <c r="S602" s="145">
        <v>481</v>
      </c>
      <c r="T602" s="148" t="s">
        <v>2244</v>
      </c>
      <c r="U602" s="147">
        <v>1</v>
      </c>
      <c r="V602" s="121">
        <v>6</v>
      </c>
      <c r="W602" s="121">
        <v>628</v>
      </c>
      <c r="X602" s="114" t="s">
        <v>84</v>
      </c>
      <c r="Y602" s="115" t="s">
        <v>85</v>
      </c>
      <c r="Z602" s="115" t="s">
        <v>86</v>
      </c>
      <c r="AA602" s="113" t="s">
        <v>87</v>
      </c>
      <c r="AB602" s="122">
        <v>181.1</v>
      </c>
      <c r="AC602" s="122">
        <f>IF(C602="DENALI", AB602*0.495, IF(C602="SCHNEIDER ELECTRIC", AB602*1.136, IF(C602="WWT", AB602*1.2, AC602)))+AB602</f>
        <v>386.82959999999997</v>
      </c>
      <c r="AD602" s="129">
        <f>AC602-AB602</f>
        <v>205.72959999999998</v>
      </c>
      <c r="AE602" s="122">
        <v>6274.56</v>
      </c>
      <c r="AF602" s="130">
        <f>AB602/U602</f>
        <v>181.1</v>
      </c>
      <c r="AG602" s="130">
        <f>AB602/V602</f>
        <v>30.183333333333334</v>
      </c>
      <c r="AH602" s="123">
        <f>AB602/S602</f>
        <v>0.3765072765072765</v>
      </c>
      <c r="AI602" s="124" t="s">
        <v>155</v>
      </c>
      <c r="AJ602" s="125" t="s">
        <v>98</v>
      </c>
      <c r="AK602"/>
      <c r="AM602" s="80"/>
    </row>
    <row r="603" spans="1:39" ht="28.5" customHeight="1">
      <c r="A603" s="113" t="s">
        <v>73</v>
      </c>
      <c r="B603" s="114" t="s">
        <v>140</v>
      </c>
      <c r="C603" s="113" t="s">
        <v>36</v>
      </c>
      <c r="D603" s="113" t="s">
        <v>90</v>
      </c>
      <c r="E603" s="115" t="s">
        <v>1453</v>
      </c>
      <c r="F603" s="113" t="s">
        <v>142</v>
      </c>
      <c r="G603" s="116" t="s">
        <v>2245</v>
      </c>
      <c r="H603" s="79">
        <v>46227</v>
      </c>
      <c r="I603" s="114" t="s">
        <v>79</v>
      </c>
      <c r="J603" s="117" t="s">
        <v>2246</v>
      </c>
      <c r="K603" s="118">
        <v>46219</v>
      </c>
      <c r="L603" s="114" t="s">
        <v>79</v>
      </c>
      <c r="M603" s="119">
        <v>46225</v>
      </c>
      <c r="N603" s="128">
        <v>46230</v>
      </c>
      <c r="O603" s="120">
        <f>NETWORKDAYS.INTL(K603,N603,1,$AM$2:$AM$10)-1</f>
        <v>7</v>
      </c>
      <c r="P603" s="114" t="s">
        <v>81</v>
      </c>
      <c r="Q603" s="114" t="s">
        <v>79</v>
      </c>
      <c r="R603" s="115" t="s">
        <v>2247</v>
      </c>
      <c r="S603" s="145">
        <v>1986</v>
      </c>
      <c r="T603" s="148" t="s">
        <v>2248</v>
      </c>
      <c r="U603" s="147">
        <v>1</v>
      </c>
      <c r="V603" s="121">
        <v>3</v>
      </c>
      <c r="W603" s="121">
        <v>256</v>
      </c>
      <c r="X603" s="114" t="s">
        <v>84</v>
      </c>
      <c r="Y603" s="169" t="s">
        <v>85</v>
      </c>
      <c r="Z603" s="169" t="s">
        <v>86</v>
      </c>
      <c r="AA603" s="202" t="s">
        <v>87</v>
      </c>
      <c r="AB603" s="179">
        <v>354.2</v>
      </c>
      <c r="AC603" s="179">
        <f>IF(C603="DENALI", AB603*0.495, IF(C603="SCHNEIDER ELECTRIC", AB603*1.136, IF(C603="WWT", AB603*1.2, AC603)))+AB603</f>
        <v>756.57119999999986</v>
      </c>
      <c r="AD603" s="288">
        <f>AC603-AB603</f>
        <v>402.37119999999987</v>
      </c>
      <c r="AE603" s="179">
        <v>52983.74</v>
      </c>
      <c r="AF603" s="235">
        <f>AB603/U603</f>
        <v>354.2</v>
      </c>
      <c r="AG603" s="235">
        <f>AB603/V603</f>
        <v>118.06666666666666</v>
      </c>
      <c r="AH603" s="236">
        <f>AB603/S603</f>
        <v>0.17834843907351461</v>
      </c>
      <c r="AI603" s="237" t="s">
        <v>183</v>
      </c>
      <c r="AJ603" s="125" t="s">
        <v>2249</v>
      </c>
      <c r="AK603"/>
      <c r="AM603" s="80"/>
    </row>
    <row r="604" spans="1:39" ht="28.5" customHeight="1">
      <c r="A604" s="113" t="s">
        <v>73</v>
      </c>
      <c r="B604" s="114" t="s">
        <v>74</v>
      </c>
      <c r="C604" s="113" t="s">
        <v>35</v>
      </c>
      <c r="D604" s="113" t="s">
        <v>218</v>
      </c>
      <c r="E604" s="115" t="s">
        <v>1284</v>
      </c>
      <c r="F604" s="113" t="s">
        <v>207</v>
      </c>
      <c r="G604" s="116">
        <v>23607317</v>
      </c>
      <c r="H604" s="79">
        <v>46227</v>
      </c>
      <c r="I604" s="114" t="s">
        <v>81</v>
      </c>
      <c r="J604" s="117" t="s">
        <v>2250</v>
      </c>
      <c r="K604" s="118">
        <v>46219</v>
      </c>
      <c r="L604" s="114" t="s">
        <v>81</v>
      </c>
      <c r="M604" s="119">
        <v>46220</v>
      </c>
      <c r="N604" s="128">
        <v>46220</v>
      </c>
      <c r="O604" s="120">
        <f>NETWORKDAYS.INTL(K604,N604,1,$AM$2:$AM$10)-1</f>
        <v>1</v>
      </c>
      <c r="P604" s="114" t="s">
        <v>81</v>
      </c>
      <c r="Q604" s="114" t="s">
        <v>79</v>
      </c>
      <c r="R604" s="115"/>
      <c r="S604" s="145">
        <v>191</v>
      </c>
      <c r="T604" s="148" t="s">
        <v>2251</v>
      </c>
      <c r="U604" s="147">
        <v>4</v>
      </c>
      <c r="V604" s="121">
        <v>960</v>
      </c>
      <c r="W604" s="121">
        <v>1200</v>
      </c>
      <c r="X604" s="167" t="s">
        <v>113</v>
      </c>
      <c r="Y604" s="175" t="s">
        <v>85</v>
      </c>
      <c r="Z604" s="175" t="s">
        <v>2252</v>
      </c>
      <c r="AA604" s="148" t="s">
        <v>87</v>
      </c>
      <c r="AB604" s="283">
        <v>1312.1</v>
      </c>
      <c r="AC604" s="283">
        <f>IF(C604="DENALI", AB604*0.495, IF(C604="SCHNEIDER ELECTRIC", AB604*1.136, IF(C604="WWT", AB604*1.2, AC604)))+AB604</f>
        <v>1961.5894999999998</v>
      </c>
      <c r="AD604" s="284">
        <f>AC604-AB604</f>
        <v>649.48949999999991</v>
      </c>
      <c r="AE604" s="283">
        <v>261032.16</v>
      </c>
      <c r="AF604" s="232">
        <f>AB604/U604</f>
        <v>328.02499999999998</v>
      </c>
      <c r="AG604" s="232">
        <f>AB604/V604</f>
        <v>1.3667708333333333</v>
      </c>
      <c r="AH604" s="233">
        <f>AB604/S604</f>
        <v>6.8696335078534023</v>
      </c>
      <c r="AI604" s="76" t="s">
        <v>97</v>
      </c>
      <c r="AJ604" s="349" t="s">
        <v>349</v>
      </c>
      <c r="AK604"/>
      <c r="AM604" s="80"/>
    </row>
    <row r="605" spans="1:39" ht="28.5" customHeight="1">
      <c r="A605" s="113" t="s">
        <v>73</v>
      </c>
      <c r="B605" s="114" t="s">
        <v>74</v>
      </c>
      <c r="C605" s="113" t="s">
        <v>36</v>
      </c>
      <c r="D605" s="113" t="s">
        <v>90</v>
      </c>
      <c r="E605" s="115" t="s">
        <v>1368</v>
      </c>
      <c r="F605" s="113" t="s">
        <v>90</v>
      </c>
      <c r="G605" s="116" t="s">
        <v>2253</v>
      </c>
      <c r="H605" s="79">
        <v>46230</v>
      </c>
      <c r="I605" s="114" t="s">
        <v>79</v>
      </c>
      <c r="J605" s="117" t="s">
        <v>2254</v>
      </c>
      <c r="K605" s="118">
        <v>46220</v>
      </c>
      <c r="L605" s="114" t="s">
        <v>81</v>
      </c>
      <c r="M605" s="119">
        <v>46223</v>
      </c>
      <c r="N605" s="128">
        <v>46223</v>
      </c>
      <c r="O605" s="120">
        <f>NETWORKDAYS.INTL(K605,N605,1,$AM$2:$AM$10)-1</f>
        <v>1</v>
      </c>
      <c r="P605" s="114" t="s">
        <v>81</v>
      </c>
      <c r="Q605" s="114" t="s">
        <v>79</v>
      </c>
      <c r="R605" s="115"/>
      <c r="S605" s="145">
        <v>130</v>
      </c>
      <c r="T605" s="148" t="s">
        <v>2154</v>
      </c>
      <c r="U605" s="147">
        <v>1</v>
      </c>
      <c r="V605" s="121">
        <v>3</v>
      </c>
      <c r="W605" s="121">
        <v>256</v>
      </c>
      <c r="X605" s="114" t="s">
        <v>84</v>
      </c>
      <c r="Y605" s="176" t="s">
        <v>85</v>
      </c>
      <c r="Z605" s="176" t="s">
        <v>86</v>
      </c>
      <c r="AA605" s="307" t="s">
        <v>87</v>
      </c>
      <c r="AB605" s="351">
        <v>188.02</v>
      </c>
      <c r="AC605" s="351">
        <f>IF(C605="DENALI", AB605*0.495, IF(C605="SCHNEIDER ELECTRIC", AB605*1.136, IF(C605="WWT", AB605*1.2, AC605)))+AB605</f>
        <v>401.61072000000001</v>
      </c>
      <c r="AD605" s="352">
        <f>AC605-AB605</f>
        <v>213.59072</v>
      </c>
      <c r="AE605" s="351">
        <v>4640.46</v>
      </c>
      <c r="AF605" s="353">
        <f>AB605/U605</f>
        <v>188.02</v>
      </c>
      <c r="AG605" s="353">
        <f>AB605/V605</f>
        <v>62.673333333333339</v>
      </c>
      <c r="AH605" s="354">
        <f>AB605/S605</f>
        <v>1.4463076923076923</v>
      </c>
      <c r="AI605" s="154" t="s">
        <v>1044</v>
      </c>
      <c r="AJ605" s="125" t="s">
        <v>98</v>
      </c>
      <c r="AK605"/>
      <c r="AM605" s="80"/>
    </row>
    <row r="606" spans="1:39" ht="28.5" customHeight="1">
      <c r="A606" s="113" t="s">
        <v>73</v>
      </c>
      <c r="B606" s="114" t="s">
        <v>74</v>
      </c>
      <c r="C606" s="113" t="s">
        <v>36</v>
      </c>
      <c r="D606" s="113" t="s">
        <v>90</v>
      </c>
      <c r="E606" s="115" t="s">
        <v>2255</v>
      </c>
      <c r="F606" s="113" t="s">
        <v>2256</v>
      </c>
      <c r="G606" s="116" t="s">
        <v>2257</v>
      </c>
      <c r="H606" s="79">
        <v>46230</v>
      </c>
      <c r="I606" s="114" t="s">
        <v>79</v>
      </c>
      <c r="J606" s="117" t="s">
        <v>2258</v>
      </c>
      <c r="K606" s="118">
        <v>46220</v>
      </c>
      <c r="L606" s="114" t="s">
        <v>81</v>
      </c>
      <c r="M606" s="119">
        <v>46225</v>
      </c>
      <c r="N606" s="128">
        <v>46224</v>
      </c>
      <c r="O606" s="120">
        <f>NETWORKDAYS.INTL(K606,N606,1,$AM$2:$AM$10)-1</f>
        <v>2</v>
      </c>
      <c r="P606" s="114" t="s">
        <v>81</v>
      </c>
      <c r="Q606" s="114" t="s">
        <v>79</v>
      </c>
      <c r="R606" s="115"/>
      <c r="S606" s="145">
        <v>1306</v>
      </c>
      <c r="T606" s="148" t="s">
        <v>2259</v>
      </c>
      <c r="U606" s="147">
        <v>1</v>
      </c>
      <c r="V606" s="121">
        <v>3</v>
      </c>
      <c r="W606" s="121">
        <v>366</v>
      </c>
      <c r="X606" s="114" t="s">
        <v>84</v>
      </c>
      <c r="Y606" s="115" t="s">
        <v>85</v>
      </c>
      <c r="Z606" s="115" t="s">
        <v>86</v>
      </c>
      <c r="AA606" s="113" t="s">
        <v>87</v>
      </c>
      <c r="AB606" s="122">
        <v>268.08</v>
      </c>
      <c r="AC606" s="122">
        <f>IF(C606="DENALI", AB606*0.495, IF(C606="SCHNEIDER ELECTRIC", AB606*1.136, IF(C606="WWT", AB606*1.2, AC606)))+AB606</f>
        <v>572.61887999999999</v>
      </c>
      <c r="AD606" s="129">
        <f>AC606-AB606</f>
        <v>304.53888000000001</v>
      </c>
      <c r="AE606" s="122">
        <v>9912.49</v>
      </c>
      <c r="AF606" s="130">
        <f>AB606/U606</f>
        <v>268.08</v>
      </c>
      <c r="AG606" s="130">
        <f>AB606/V606</f>
        <v>89.36</v>
      </c>
      <c r="AH606" s="123">
        <f>AB606/S606</f>
        <v>0.20526799387442571</v>
      </c>
      <c r="AI606" s="124" t="s">
        <v>155</v>
      </c>
      <c r="AJ606" s="125" t="s">
        <v>98</v>
      </c>
      <c r="AK606"/>
      <c r="AM606" s="80"/>
    </row>
    <row r="607" spans="1:39" ht="28.5" customHeight="1">
      <c r="A607" s="113" t="s">
        <v>73</v>
      </c>
      <c r="B607" s="114" t="s">
        <v>74</v>
      </c>
      <c r="C607" s="113" t="s">
        <v>36</v>
      </c>
      <c r="D607" s="113" t="s">
        <v>90</v>
      </c>
      <c r="E607" s="115" t="s">
        <v>2260</v>
      </c>
      <c r="F607" s="113" t="s">
        <v>92</v>
      </c>
      <c r="G607" s="116" t="s">
        <v>2261</v>
      </c>
      <c r="H607" s="79">
        <v>46230</v>
      </c>
      <c r="I607" s="114" t="s">
        <v>79</v>
      </c>
      <c r="J607" s="117" t="s">
        <v>2262</v>
      </c>
      <c r="K607" s="118">
        <v>46220</v>
      </c>
      <c r="L607" s="114" t="s">
        <v>79</v>
      </c>
      <c r="M607" s="119">
        <v>46225</v>
      </c>
      <c r="N607" s="128">
        <v>46227</v>
      </c>
      <c r="O607" s="120">
        <f>NETWORKDAYS.INTL(K607,N607,1,$AM$2:$AM$10)-1</f>
        <v>5</v>
      </c>
      <c r="P607" s="114" t="s">
        <v>81</v>
      </c>
      <c r="Q607" s="114" t="s">
        <v>79</v>
      </c>
      <c r="R607" s="115"/>
      <c r="S607" s="145">
        <v>1373</v>
      </c>
      <c r="T607" s="148" t="s">
        <v>2263</v>
      </c>
      <c r="U607" s="147">
        <v>1</v>
      </c>
      <c r="V607" s="121">
        <v>9</v>
      </c>
      <c r="W607" s="121">
        <v>836</v>
      </c>
      <c r="X607" s="114" t="s">
        <v>84</v>
      </c>
      <c r="Y607" s="115" t="s">
        <v>85</v>
      </c>
      <c r="Z607" s="115" t="s">
        <v>86</v>
      </c>
      <c r="AA607" s="113" t="s">
        <v>87</v>
      </c>
      <c r="AB607" s="122">
        <v>323.73</v>
      </c>
      <c r="AC607" s="122">
        <f>IF(C607="DENALI", AB607*0.495, IF(C607="SCHNEIDER ELECTRIC", AB607*1.136, IF(C607="WWT", AB607*1.2, AC607)))+AB607</f>
        <v>691.48728000000006</v>
      </c>
      <c r="AD607" s="129">
        <f>AC607-AB607</f>
        <v>367.75728000000004</v>
      </c>
      <c r="AE607" s="122">
        <v>25380.69</v>
      </c>
      <c r="AF607" s="130">
        <f>AB607/U607</f>
        <v>323.73</v>
      </c>
      <c r="AG607" s="130">
        <f>AB607/V607</f>
        <v>35.97</v>
      </c>
      <c r="AH607" s="123">
        <f>AB607/S607</f>
        <v>0.23578295702840496</v>
      </c>
      <c r="AI607" s="124" t="s">
        <v>155</v>
      </c>
      <c r="AJ607" s="125" t="s">
        <v>98</v>
      </c>
      <c r="AK607"/>
      <c r="AM607" s="80"/>
    </row>
    <row r="608" spans="1:39" ht="28.5" customHeight="1">
      <c r="A608" s="113" t="s">
        <v>73</v>
      </c>
      <c r="B608" s="114" t="s">
        <v>74</v>
      </c>
      <c r="C608" s="113" t="s">
        <v>36</v>
      </c>
      <c r="D608" s="113" t="s">
        <v>90</v>
      </c>
      <c r="E608" s="115" t="s">
        <v>824</v>
      </c>
      <c r="F608" s="113" t="s">
        <v>345</v>
      </c>
      <c r="G608" s="116" t="s">
        <v>2264</v>
      </c>
      <c r="H608" s="79">
        <v>46230</v>
      </c>
      <c r="I608" s="114" t="s">
        <v>79</v>
      </c>
      <c r="J608" s="117" t="s">
        <v>2265</v>
      </c>
      <c r="K608" s="118">
        <v>46220</v>
      </c>
      <c r="L608" s="114" t="s">
        <v>81</v>
      </c>
      <c r="M608" s="119">
        <v>46227</v>
      </c>
      <c r="N608" s="128">
        <v>46227</v>
      </c>
      <c r="O608" s="120">
        <f>NETWORKDAYS.INTL(K608,N608,1,$AM$2:$AM$10)-1</f>
        <v>5</v>
      </c>
      <c r="P608" s="114" t="s">
        <v>81</v>
      </c>
      <c r="Q608" s="114" t="s">
        <v>79</v>
      </c>
      <c r="R608" s="115"/>
      <c r="S608" s="145">
        <v>2643</v>
      </c>
      <c r="T608" s="148" t="s">
        <v>2266</v>
      </c>
      <c r="U608" s="147">
        <v>1</v>
      </c>
      <c r="V608" s="121">
        <v>2</v>
      </c>
      <c r="W608" s="121">
        <v>184</v>
      </c>
      <c r="X608" s="114" t="s">
        <v>84</v>
      </c>
      <c r="Y608" s="115" t="s">
        <v>85</v>
      </c>
      <c r="Z608" s="115" t="s">
        <v>86</v>
      </c>
      <c r="AA608" s="113" t="s">
        <v>87</v>
      </c>
      <c r="AB608" s="122">
        <v>259.57</v>
      </c>
      <c r="AC608" s="122">
        <f>IF(C608="DENALI", AB608*0.495, IF(C608="SCHNEIDER ELECTRIC", AB608*1.136, IF(C608="WWT", AB608*1.2, AC608)))+AB608</f>
        <v>554.44151999999997</v>
      </c>
      <c r="AD608" s="129">
        <f>AC608-AB608</f>
        <v>294.87151999999998</v>
      </c>
      <c r="AE608" s="122">
        <v>3093.64</v>
      </c>
      <c r="AF608" s="130">
        <f>AB608/U608</f>
        <v>259.57</v>
      </c>
      <c r="AG608" s="130">
        <f>AB608/V608</f>
        <v>129.785</v>
      </c>
      <c r="AH608" s="123">
        <f>AB608/S608</f>
        <v>9.8210367007188798E-2</v>
      </c>
      <c r="AI608" s="124" t="s">
        <v>97</v>
      </c>
      <c r="AJ608" s="125" t="s">
        <v>2267</v>
      </c>
      <c r="AK608"/>
      <c r="AM608" s="80"/>
    </row>
    <row r="609" spans="1:39" ht="28.5" customHeight="1">
      <c r="A609" s="113" t="s">
        <v>73</v>
      </c>
      <c r="B609" s="114" t="s">
        <v>74</v>
      </c>
      <c r="C609" s="113" t="s">
        <v>36</v>
      </c>
      <c r="D609" s="113" t="s">
        <v>75</v>
      </c>
      <c r="E609" s="115" t="s">
        <v>824</v>
      </c>
      <c r="F609" s="113" t="s">
        <v>345</v>
      </c>
      <c r="G609" s="116" t="s">
        <v>2268</v>
      </c>
      <c r="H609" s="79">
        <v>46230</v>
      </c>
      <c r="I609" s="114" t="s">
        <v>79</v>
      </c>
      <c r="J609" s="117" t="s">
        <v>2269</v>
      </c>
      <c r="K609" s="118">
        <v>46223</v>
      </c>
      <c r="L609" s="114" t="s">
        <v>81</v>
      </c>
      <c r="M609" s="119">
        <v>46230</v>
      </c>
      <c r="N609" s="128">
        <v>46227</v>
      </c>
      <c r="O609" s="120">
        <f>NETWORKDAYS.INTL(K609,N609,1,$AM$2:$AM$10)-1</f>
        <v>4</v>
      </c>
      <c r="P609" s="114" t="s">
        <v>81</v>
      </c>
      <c r="Q609" s="114" t="s">
        <v>79</v>
      </c>
      <c r="R609" s="115"/>
      <c r="S609" s="145">
        <v>92</v>
      </c>
      <c r="T609" s="148" t="s">
        <v>2266</v>
      </c>
      <c r="U609" s="147">
        <v>3</v>
      </c>
      <c r="V609" s="121">
        <v>17</v>
      </c>
      <c r="W609" s="121">
        <v>2665</v>
      </c>
      <c r="X609" s="114" t="s">
        <v>84</v>
      </c>
      <c r="Y609" s="115" t="s">
        <v>85</v>
      </c>
      <c r="Z609" s="115" t="s">
        <v>86</v>
      </c>
      <c r="AA609" s="113" t="s">
        <v>87</v>
      </c>
      <c r="AB609" s="122">
        <v>288.64999999999998</v>
      </c>
      <c r="AC609" s="122">
        <f>IF(C609="DENALI", AB609*0.495, IF(C609="SCHNEIDER ELECTRIC", AB609*1.136, IF(C609="WWT", AB609*1.2, AC609)))+AB609</f>
        <v>616.55639999999994</v>
      </c>
      <c r="AD609" s="129">
        <f>AC609-AB609</f>
        <v>327.90639999999996</v>
      </c>
      <c r="AE609" s="122">
        <v>73083.490000000005</v>
      </c>
      <c r="AF609" s="130">
        <f>AB609/U609</f>
        <v>96.216666666666654</v>
      </c>
      <c r="AG609" s="130">
        <f>AB609/V609</f>
        <v>16.97941176470588</v>
      </c>
      <c r="AH609" s="123">
        <f>AB609/S609</f>
        <v>3.1374999999999997</v>
      </c>
      <c r="AI609" s="124" t="s">
        <v>97</v>
      </c>
      <c r="AJ609" s="125" t="s">
        <v>2267</v>
      </c>
      <c r="AK609"/>
      <c r="AM609" s="80"/>
    </row>
    <row r="610" spans="1:39" ht="28.5" customHeight="1">
      <c r="A610" s="113" t="s">
        <v>73</v>
      </c>
      <c r="B610" s="114" t="s">
        <v>74</v>
      </c>
      <c r="C610" s="113" t="s">
        <v>36</v>
      </c>
      <c r="D610" s="113" t="s">
        <v>90</v>
      </c>
      <c r="E610" s="115" t="s">
        <v>2260</v>
      </c>
      <c r="F610" s="113" t="s">
        <v>92</v>
      </c>
      <c r="G610" s="116" t="s">
        <v>2270</v>
      </c>
      <c r="H610" s="79">
        <v>46230</v>
      </c>
      <c r="I610" s="114" t="s">
        <v>79</v>
      </c>
      <c r="J610" s="117" t="s">
        <v>2271</v>
      </c>
      <c r="K610" s="118">
        <v>46223</v>
      </c>
      <c r="L610" s="114" t="s">
        <v>81</v>
      </c>
      <c r="M610" s="119">
        <v>46226</v>
      </c>
      <c r="N610" s="128">
        <v>46225</v>
      </c>
      <c r="O610" s="120">
        <f>NETWORKDAYS.INTL(K610,N610,1,$AM$2:$AM$10)-1</f>
        <v>2</v>
      </c>
      <c r="P610" s="114" t="s">
        <v>81</v>
      </c>
      <c r="Q610" s="114" t="s">
        <v>79</v>
      </c>
      <c r="R610" s="115"/>
      <c r="S610" s="145">
        <v>1373</v>
      </c>
      <c r="T610" s="148" t="s">
        <v>2263</v>
      </c>
      <c r="U610" s="147">
        <v>1</v>
      </c>
      <c r="V610" s="121">
        <v>9</v>
      </c>
      <c r="W610" s="121">
        <v>836</v>
      </c>
      <c r="X610" s="114" t="s">
        <v>84</v>
      </c>
      <c r="Y610" s="115" t="s">
        <v>85</v>
      </c>
      <c r="Z610" s="115" t="s">
        <v>86</v>
      </c>
      <c r="AA610" s="113" t="s">
        <v>87</v>
      </c>
      <c r="AB610" s="122">
        <v>325.89999999999998</v>
      </c>
      <c r="AC610" s="122">
        <f>IF(C610="DENALI", AB610*0.495, IF(C610="SCHNEIDER ELECTRIC", AB610*1.136, IF(C610="WWT", AB610*1.2, AC610)))+AB610</f>
        <v>696.12239999999997</v>
      </c>
      <c r="AD610" s="129">
        <f>AC610-AB610</f>
        <v>370.22239999999999</v>
      </c>
      <c r="AE610" s="122">
        <v>25380.69</v>
      </c>
      <c r="AF610" s="130">
        <f>AB610/U610</f>
        <v>325.89999999999998</v>
      </c>
      <c r="AG610" s="130">
        <f>AB610/V610</f>
        <v>36.211111111111109</v>
      </c>
      <c r="AH610" s="123">
        <f>AB610/S610</f>
        <v>0.23736343772760377</v>
      </c>
      <c r="AI610" s="124" t="s">
        <v>155</v>
      </c>
      <c r="AJ610" s="125" t="s">
        <v>2272</v>
      </c>
      <c r="AK610"/>
      <c r="AM610" s="80"/>
    </row>
    <row r="611" spans="1:39" ht="28.5" customHeight="1">
      <c r="A611" s="113" t="s">
        <v>73</v>
      </c>
      <c r="B611" s="114" t="s">
        <v>74</v>
      </c>
      <c r="C611" s="113" t="s">
        <v>36</v>
      </c>
      <c r="D611" s="113" t="s">
        <v>90</v>
      </c>
      <c r="E611" s="115" t="s">
        <v>2273</v>
      </c>
      <c r="F611" s="113" t="s">
        <v>2274</v>
      </c>
      <c r="G611" s="116" t="s">
        <v>2275</v>
      </c>
      <c r="H611" s="79">
        <v>46231</v>
      </c>
      <c r="I611" s="114" t="s">
        <v>79</v>
      </c>
      <c r="J611" s="117" t="s">
        <v>2276</v>
      </c>
      <c r="K611" s="118">
        <v>46220</v>
      </c>
      <c r="L611" s="114" t="s">
        <v>79</v>
      </c>
      <c r="M611" s="119">
        <v>46239</v>
      </c>
      <c r="N611" s="128">
        <v>46227</v>
      </c>
      <c r="O611" s="120">
        <f>NETWORKDAYS.INTL(K611,N611,1,$AM$2:$AM$10)-1</f>
        <v>5</v>
      </c>
      <c r="P611" s="114" t="s">
        <v>81</v>
      </c>
      <c r="Q611" s="114" t="s">
        <v>79</v>
      </c>
      <c r="R611" s="115"/>
      <c r="S611" s="145">
        <v>3412</v>
      </c>
      <c r="T611" s="148" t="s">
        <v>2277</v>
      </c>
      <c r="U611" s="147">
        <v>1</v>
      </c>
      <c r="V611" s="121">
        <v>3</v>
      </c>
      <c r="W611" s="121">
        <v>255</v>
      </c>
      <c r="X611" s="114" t="s">
        <v>84</v>
      </c>
      <c r="Y611" s="115" t="s">
        <v>85</v>
      </c>
      <c r="Z611" s="115" t="s">
        <v>86</v>
      </c>
      <c r="AA611" s="113" t="s">
        <v>87</v>
      </c>
      <c r="AB611" s="122">
        <v>732.39</v>
      </c>
      <c r="AC611" s="122">
        <f>IF(C611="DENALI", AB611*0.495, IF(C611="SCHNEIDER ELECTRIC", AB611*1.136, IF(C611="WWT", AB611*1.2, AC611)))+AB611</f>
        <v>1564.3850399999999</v>
      </c>
      <c r="AD611" s="129">
        <f>AC611-AB611</f>
        <v>831.9950399999999</v>
      </c>
      <c r="AE611" s="122">
        <v>64019.22</v>
      </c>
      <c r="AF611" s="130">
        <f>AB611/U611</f>
        <v>732.39</v>
      </c>
      <c r="AG611" s="130">
        <f>AB611/V611</f>
        <v>244.13</v>
      </c>
      <c r="AH611" s="123">
        <f>AB611/S611</f>
        <v>0.21465123094958968</v>
      </c>
      <c r="AI611" s="124" t="s">
        <v>183</v>
      </c>
      <c r="AJ611" s="125" t="s">
        <v>2249</v>
      </c>
      <c r="AK611"/>
      <c r="AM611" s="80"/>
    </row>
    <row r="612" spans="1:39" ht="28.5" customHeight="1">
      <c r="A612" s="113" t="s">
        <v>73</v>
      </c>
      <c r="B612" s="114" t="s">
        <v>74</v>
      </c>
      <c r="C612" s="113" t="s">
        <v>36</v>
      </c>
      <c r="D612" s="113" t="s">
        <v>90</v>
      </c>
      <c r="E612" s="243" t="s">
        <v>2278</v>
      </c>
      <c r="F612" s="113" t="s">
        <v>189</v>
      </c>
      <c r="G612" s="116" t="s">
        <v>2279</v>
      </c>
      <c r="H612" s="79">
        <v>46231</v>
      </c>
      <c r="I612" s="114" t="s">
        <v>79</v>
      </c>
      <c r="J612" s="117" t="s">
        <v>2280</v>
      </c>
      <c r="K612" s="118">
        <v>46223</v>
      </c>
      <c r="L612" s="114" t="s">
        <v>79</v>
      </c>
      <c r="M612" s="119">
        <v>46225</v>
      </c>
      <c r="N612" s="128">
        <v>46227</v>
      </c>
      <c r="O612" s="120">
        <f>NETWORKDAYS.INTL(K612,N612,1,$AM$2:$AM$10)-1</f>
        <v>4</v>
      </c>
      <c r="P612" s="114" t="s">
        <v>81</v>
      </c>
      <c r="Q612" s="114" t="s">
        <v>79</v>
      </c>
      <c r="R612" s="115"/>
      <c r="S612" s="145">
        <v>627</v>
      </c>
      <c r="T612" s="148" t="s">
        <v>2281</v>
      </c>
      <c r="U612" s="147">
        <v>1</v>
      </c>
      <c r="V612" s="121">
        <v>3</v>
      </c>
      <c r="W612" s="121">
        <v>366</v>
      </c>
      <c r="X612" s="114" t="s">
        <v>84</v>
      </c>
      <c r="Y612" s="115" t="s">
        <v>85</v>
      </c>
      <c r="Z612" s="115" t="s">
        <v>86</v>
      </c>
      <c r="AA612" s="113" t="s">
        <v>87</v>
      </c>
      <c r="AB612" s="122">
        <v>276.83999999999997</v>
      </c>
      <c r="AC612" s="122">
        <f>IF(C612="DENALI", AB612*0.495, IF(C612="SCHNEIDER ELECTRIC", AB612*1.136, IF(C612="WWT", AB612*1.2, AC612)))+AB612</f>
        <v>591.33024</v>
      </c>
      <c r="AD612" s="129">
        <f>AC612-AB612</f>
        <v>314.49024000000003</v>
      </c>
      <c r="AE612" s="122">
        <v>19824.98</v>
      </c>
      <c r="AF612" s="130">
        <f>AB612/U612</f>
        <v>276.83999999999997</v>
      </c>
      <c r="AG612" s="130">
        <f>AB612/V612</f>
        <v>92.279999999999987</v>
      </c>
      <c r="AH612" s="123">
        <f>AB612/S612</f>
        <v>0.44153110047846889</v>
      </c>
      <c r="AI612" s="124" t="s">
        <v>155</v>
      </c>
      <c r="AJ612" s="125" t="s">
        <v>2272</v>
      </c>
      <c r="AK612"/>
      <c r="AM612" s="80"/>
    </row>
    <row r="613" spans="1:39" ht="28.5" customHeight="1">
      <c r="A613" s="113" t="s">
        <v>73</v>
      </c>
      <c r="B613" s="114" t="s">
        <v>74</v>
      </c>
      <c r="C613" s="113" t="s">
        <v>36</v>
      </c>
      <c r="D613" s="113" t="s">
        <v>90</v>
      </c>
      <c r="E613" s="115" t="s">
        <v>2282</v>
      </c>
      <c r="F613" s="113" t="s">
        <v>92</v>
      </c>
      <c r="G613" s="116" t="s">
        <v>2283</v>
      </c>
      <c r="H613" s="79">
        <v>46231</v>
      </c>
      <c r="I613" s="114" t="s">
        <v>79</v>
      </c>
      <c r="J613" s="117" t="s">
        <v>2284</v>
      </c>
      <c r="K613" s="118">
        <v>46223</v>
      </c>
      <c r="L613" s="114" t="s">
        <v>81</v>
      </c>
      <c r="M613" s="119">
        <v>46226</v>
      </c>
      <c r="N613" s="128">
        <v>46226</v>
      </c>
      <c r="O613" s="120">
        <f>NETWORKDAYS.INTL(K613,N613,1,$AM$2:$AM$10)-1</f>
        <v>3</v>
      </c>
      <c r="P613" s="114" t="s">
        <v>81</v>
      </c>
      <c r="Q613" s="114" t="s">
        <v>79</v>
      </c>
      <c r="R613" s="115" t="s">
        <v>2285</v>
      </c>
      <c r="S613" s="145">
        <v>1414</v>
      </c>
      <c r="T613" s="148" t="s">
        <v>2286</v>
      </c>
      <c r="U613" s="147">
        <v>1</v>
      </c>
      <c r="V613" s="121">
        <v>6</v>
      </c>
      <c r="W613" s="121">
        <v>581</v>
      </c>
      <c r="X613" s="114" t="s">
        <v>84</v>
      </c>
      <c r="Y613" s="115" t="s">
        <v>85</v>
      </c>
      <c r="Z613" s="115" t="s">
        <v>86</v>
      </c>
      <c r="AA613" s="113" t="s">
        <v>87</v>
      </c>
      <c r="AB613" s="122">
        <v>306.91000000000003</v>
      </c>
      <c r="AC613" s="122">
        <f>IF(C613="DENALI", AB613*0.495, IF(C613="SCHNEIDER ELECTRIC", AB613*1.136, IF(C613="WWT", AB613*1.2, AC613)))+AB613</f>
        <v>655.5597600000001</v>
      </c>
      <c r="AD613" s="129">
        <f>AC613-AB613</f>
        <v>348.64976000000007</v>
      </c>
      <c r="AE613" s="122">
        <v>14552.95</v>
      </c>
      <c r="AF613" s="130">
        <f>AB613/U613</f>
        <v>306.91000000000003</v>
      </c>
      <c r="AG613" s="130">
        <f>AB613/V613</f>
        <v>51.151666666666671</v>
      </c>
      <c r="AH613" s="123">
        <f>AB613/S613</f>
        <v>0.21705091937765206</v>
      </c>
      <c r="AI613" s="124" t="s">
        <v>155</v>
      </c>
      <c r="AJ613" s="125" t="s">
        <v>2272</v>
      </c>
      <c r="AK613"/>
      <c r="AM613" s="80"/>
    </row>
    <row r="614" spans="1:39" ht="28.5" customHeight="1">
      <c r="A614" s="113" t="s">
        <v>73</v>
      </c>
      <c r="B614" s="114" t="s">
        <v>74</v>
      </c>
      <c r="C614" s="113" t="s">
        <v>36</v>
      </c>
      <c r="D614" s="113" t="s">
        <v>90</v>
      </c>
      <c r="E614" s="243" t="s">
        <v>2287</v>
      </c>
      <c r="F614" s="113" t="s">
        <v>92</v>
      </c>
      <c r="G614" s="116" t="s">
        <v>2288</v>
      </c>
      <c r="H614" s="79">
        <v>46232</v>
      </c>
      <c r="I614" s="114" t="s">
        <v>79</v>
      </c>
      <c r="J614" s="117" t="s">
        <v>2262</v>
      </c>
      <c r="K614" s="118">
        <v>46224</v>
      </c>
      <c r="L614" s="114" t="s">
        <v>81</v>
      </c>
      <c r="M614" s="119">
        <v>46230</v>
      </c>
      <c r="N614" s="128">
        <v>46227</v>
      </c>
      <c r="O614" s="120">
        <f>NETWORKDAYS.INTL(K614,N614,1,$AM$2:$AM$10)-1</f>
        <v>3</v>
      </c>
      <c r="P614" s="114" t="s">
        <v>81</v>
      </c>
      <c r="Q614" s="114" t="s">
        <v>79</v>
      </c>
      <c r="R614" s="115"/>
      <c r="S614" s="145">
        <v>1512</v>
      </c>
      <c r="T614" s="148" t="s">
        <v>2289</v>
      </c>
      <c r="U614" s="147">
        <v>1</v>
      </c>
      <c r="V614" s="121">
        <v>2</v>
      </c>
      <c r="W614" s="121">
        <v>278</v>
      </c>
      <c r="X614" s="114" t="s">
        <v>84</v>
      </c>
      <c r="Y614" s="115" t="s">
        <v>85</v>
      </c>
      <c r="Z614" s="115" t="s">
        <v>86</v>
      </c>
      <c r="AA614" s="113" t="s">
        <v>87</v>
      </c>
      <c r="AB614" s="122">
        <v>455.44</v>
      </c>
      <c r="AC614" s="122">
        <f>IF(C614="DENALI", AB614*0.495, IF(C614="SCHNEIDER ELECTRIC", AB614*1.136, IF(C614="WWT", AB614*1.2, AC614)))+AB614</f>
        <v>972.81983999999989</v>
      </c>
      <c r="AD614" s="129">
        <f>AC614-AB614</f>
        <v>517.37983999999983</v>
      </c>
      <c r="AE614" s="122">
        <v>135959.01999999999</v>
      </c>
      <c r="AF614" s="130">
        <f>AB614/U614</f>
        <v>455.44</v>
      </c>
      <c r="AG614" s="130">
        <f>AB614/V614</f>
        <v>227.72</v>
      </c>
      <c r="AH614" s="123">
        <f>AB614/S614</f>
        <v>0.30121693121693122</v>
      </c>
      <c r="AI614" s="124" t="s">
        <v>155</v>
      </c>
      <c r="AJ614" s="125" t="s">
        <v>2272</v>
      </c>
      <c r="AK614"/>
      <c r="AM614" s="80"/>
    </row>
    <row r="615" spans="1:39" ht="28.5" customHeight="1">
      <c r="A615" s="113" t="s">
        <v>73</v>
      </c>
      <c r="B615" s="114" t="s">
        <v>140</v>
      </c>
      <c r="C615" s="113" t="s">
        <v>35</v>
      </c>
      <c r="D615" s="113" t="s">
        <v>218</v>
      </c>
      <c r="E615" s="115" t="s">
        <v>1453</v>
      </c>
      <c r="F615" s="113" t="s">
        <v>142</v>
      </c>
      <c r="G615" s="116" t="s">
        <v>2290</v>
      </c>
      <c r="H615" s="79">
        <v>46231</v>
      </c>
      <c r="I615" s="114" t="s">
        <v>79</v>
      </c>
      <c r="J615" s="117" t="s">
        <v>2291</v>
      </c>
      <c r="K615" s="118">
        <v>46223</v>
      </c>
      <c r="L615" s="114" t="s">
        <v>81</v>
      </c>
      <c r="M615" s="119">
        <v>46225</v>
      </c>
      <c r="N615" s="128">
        <v>46226</v>
      </c>
      <c r="O615" s="120">
        <f>NETWORKDAYS.INTL(K615,N615,1,$AM$2:$AM$10)-1</f>
        <v>3</v>
      </c>
      <c r="P615" s="114" t="s">
        <v>81</v>
      </c>
      <c r="Q615" s="114" t="s">
        <v>79</v>
      </c>
      <c r="R615" s="115"/>
      <c r="S615" s="145">
        <v>441</v>
      </c>
      <c r="T615" s="148" t="s">
        <v>915</v>
      </c>
      <c r="U615" s="147">
        <v>1</v>
      </c>
      <c r="V615" s="121">
        <v>854</v>
      </c>
      <c r="W615" s="121">
        <v>350</v>
      </c>
      <c r="X615" s="114" t="s">
        <v>84</v>
      </c>
      <c r="Y615" s="115" t="s">
        <v>85</v>
      </c>
      <c r="Z615" s="115" t="s">
        <v>1208</v>
      </c>
      <c r="AA615" s="113" t="s">
        <v>87</v>
      </c>
      <c r="AB615" s="122">
        <v>200.92</v>
      </c>
      <c r="AC615" s="122">
        <f>IF(C615="DENALI", AB615*0.495, IF(C615="SCHNEIDER ELECTRIC", AB615*1.136, IF(C615="WWT", AB615*1.2, AC615)))+AB615</f>
        <v>300.37540000000001</v>
      </c>
      <c r="AD615" s="129">
        <f>AC615-AB615</f>
        <v>99.455400000000026</v>
      </c>
      <c r="AE615" s="122">
        <v>178519.31</v>
      </c>
      <c r="AF615" s="130">
        <f>AB615/U615</f>
        <v>200.92</v>
      </c>
      <c r="AG615" s="130">
        <f>AB615/V615</f>
        <v>0.23526932084309132</v>
      </c>
      <c r="AH615" s="123">
        <f>AB615/S615</f>
        <v>0.45560090702947842</v>
      </c>
      <c r="AI615" s="124" t="s">
        <v>147</v>
      </c>
      <c r="AJ615" s="125" t="s">
        <v>343</v>
      </c>
      <c r="AK615"/>
      <c r="AM615" s="80"/>
    </row>
    <row r="616" spans="1:39" ht="28.5" customHeight="1">
      <c r="A616" s="113" t="s">
        <v>73</v>
      </c>
      <c r="B616" s="114" t="s">
        <v>74</v>
      </c>
      <c r="C616" s="113" t="s">
        <v>35</v>
      </c>
      <c r="D616" s="113" t="s">
        <v>99</v>
      </c>
      <c r="E616" s="115" t="s">
        <v>580</v>
      </c>
      <c r="F616" s="113" t="s">
        <v>92</v>
      </c>
      <c r="G616" s="116">
        <v>23630402</v>
      </c>
      <c r="H616" s="79">
        <v>46231</v>
      </c>
      <c r="I616" s="114" t="s">
        <v>79</v>
      </c>
      <c r="J616" s="117" t="s">
        <v>2292</v>
      </c>
      <c r="K616" s="118">
        <v>46223</v>
      </c>
      <c r="L616" s="114" t="s">
        <v>81</v>
      </c>
      <c r="M616" s="119">
        <v>46225</v>
      </c>
      <c r="N616" s="128">
        <v>46225</v>
      </c>
      <c r="O616" s="120">
        <f>NETWORKDAYS.INTL(K616,N616,1,$AM$2:$AM$10)-1</f>
        <v>2</v>
      </c>
      <c r="P616" s="114" t="s">
        <v>81</v>
      </c>
      <c r="Q616" s="114" t="s">
        <v>79</v>
      </c>
      <c r="R616" s="115"/>
      <c r="S616" s="145">
        <v>2353</v>
      </c>
      <c r="T616" s="148" t="s">
        <v>2293</v>
      </c>
      <c r="U616" s="147">
        <v>4</v>
      </c>
      <c r="V616" s="121">
        <v>443</v>
      </c>
      <c r="W616" s="121">
        <v>2740</v>
      </c>
      <c r="X616" s="114" t="s">
        <v>113</v>
      </c>
      <c r="Y616" s="115" t="s">
        <v>85</v>
      </c>
      <c r="Z616" s="115" t="s">
        <v>2294</v>
      </c>
      <c r="AA616" s="113" t="s">
        <v>87</v>
      </c>
      <c r="AB616" s="122">
        <v>5089.8</v>
      </c>
      <c r="AC616" s="122">
        <f>IF(C616="DENALI", AB616*0.495, IF(C616="SCHNEIDER ELECTRIC", AB616*1.136, IF(C616="WWT", AB616*1.2, AC616)))+AB616</f>
        <v>7609.2510000000002</v>
      </c>
      <c r="AD616" s="129">
        <f>AC616-AB616</f>
        <v>2519.451</v>
      </c>
      <c r="AE616" s="122">
        <v>160727.66</v>
      </c>
      <c r="AF616" s="130">
        <f>AB616/U616</f>
        <v>1272.45</v>
      </c>
      <c r="AG616" s="130">
        <f>AB616/V616</f>
        <v>11.48939051918736</v>
      </c>
      <c r="AH616" s="123">
        <f>AB616/S616</f>
        <v>2.1631109222269442</v>
      </c>
      <c r="AI616" s="124" t="s">
        <v>622</v>
      </c>
      <c r="AJ616" s="125" t="s">
        <v>349</v>
      </c>
      <c r="AK616"/>
      <c r="AM616" s="80"/>
    </row>
    <row r="617" spans="1:39" ht="28.5" customHeight="1">
      <c r="A617" s="113" t="s">
        <v>73</v>
      </c>
      <c r="B617" s="114" t="s">
        <v>74</v>
      </c>
      <c r="C617" s="113" t="s">
        <v>35</v>
      </c>
      <c r="D617" s="113" t="s">
        <v>99</v>
      </c>
      <c r="E617" s="115" t="s">
        <v>1259</v>
      </c>
      <c r="F617" s="113" t="s">
        <v>99</v>
      </c>
      <c r="G617" s="116">
        <v>23637915</v>
      </c>
      <c r="H617" s="79">
        <v>46231</v>
      </c>
      <c r="I617" s="114" t="s">
        <v>79</v>
      </c>
      <c r="J617" s="117" t="s">
        <v>2295</v>
      </c>
      <c r="K617" s="118">
        <v>46223</v>
      </c>
      <c r="L617" s="114" t="s">
        <v>81</v>
      </c>
      <c r="M617" s="119">
        <v>46224</v>
      </c>
      <c r="N617" s="128">
        <v>46224</v>
      </c>
      <c r="O617" s="120">
        <f>NETWORKDAYS.INTL(K617,N617,1,$AM$2:$AM$10)-1</f>
        <v>1</v>
      </c>
      <c r="P617" s="114" t="s">
        <v>81</v>
      </c>
      <c r="Q617" s="114" t="s">
        <v>79</v>
      </c>
      <c r="R617" s="115"/>
      <c r="S617" s="145">
        <v>35</v>
      </c>
      <c r="T617" s="148" t="s">
        <v>1997</v>
      </c>
      <c r="U617" s="147">
        <v>1</v>
      </c>
      <c r="V617" s="121">
        <v>1</v>
      </c>
      <c r="W617" s="121">
        <v>35</v>
      </c>
      <c r="X617" s="114" t="s">
        <v>113</v>
      </c>
      <c r="Y617" s="115" t="s">
        <v>85</v>
      </c>
      <c r="Z617" s="115" t="s">
        <v>2120</v>
      </c>
      <c r="AA617" s="113" t="s">
        <v>87</v>
      </c>
      <c r="AB617" s="122">
        <v>754.02</v>
      </c>
      <c r="AC617" s="122">
        <f>IF(C617="DENALI", AB617*0.495, IF(C617="SCHNEIDER ELECTRIC", AB617*1.136, IF(C617="WWT", AB617*1.2, AC617)))+AB617</f>
        <v>1127.2599</v>
      </c>
      <c r="AD617" s="129">
        <f>AC617-AB617</f>
        <v>373.23990000000003</v>
      </c>
      <c r="AE617" s="122">
        <v>100</v>
      </c>
      <c r="AF617" s="130">
        <f>AB617/U617</f>
        <v>754.02</v>
      </c>
      <c r="AG617" s="130">
        <f>AB617/V617</f>
        <v>754.02</v>
      </c>
      <c r="AH617" s="123">
        <f>AB617/S617</f>
        <v>21.543428571428571</v>
      </c>
      <c r="AI617" s="124" t="s">
        <v>97</v>
      </c>
      <c r="AJ617" s="125" t="s">
        <v>349</v>
      </c>
      <c r="AK617"/>
      <c r="AM617" s="80"/>
    </row>
    <row r="618" spans="1:39" ht="28.5" customHeight="1">
      <c r="A618" s="113" t="s">
        <v>73</v>
      </c>
      <c r="B618" s="114" t="s">
        <v>74</v>
      </c>
      <c r="C618" s="113" t="s">
        <v>35</v>
      </c>
      <c r="D618" s="113" t="s">
        <v>99</v>
      </c>
      <c r="E618" s="115" t="s">
        <v>2010</v>
      </c>
      <c r="F618" s="113" t="s">
        <v>75</v>
      </c>
      <c r="G618" s="116">
        <v>23641880</v>
      </c>
      <c r="H618" s="79">
        <v>46231</v>
      </c>
      <c r="I618" s="114" t="s">
        <v>81</v>
      </c>
      <c r="J618" s="117" t="s">
        <v>2296</v>
      </c>
      <c r="K618" s="118">
        <v>46223</v>
      </c>
      <c r="L618" s="114" t="s">
        <v>81</v>
      </c>
      <c r="M618" s="119">
        <v>46224</v>
      </c>
      <c r="N618" s="128">
        <v>46225</v>
      </c>
      <c r="O618" s="120">
        <f>NETWORKDAYS.INTL(K618,N618,1,$AM$2:$AM$10)-1</f>
        <v>2</v>
      </c>
      <c r="P618" s="114" t="s">
        <v>81</v>
      </c>
      <c r="Q618" s="114" t="s">
        <v>79</v>
      </c>
      <c r="R618" s="115"/>
      <c r="S618" s="145">
        <v>2737</v>
      </c>
      <c r="T618" s="148" t="s">
        <v>2012</v>
      </c>
      <c r="U618" s="147">
        <v>1</v>
      </c>
      <c r="V618" s="121">
        <v>1</v>
      </c>
      <c r="W618" s="121">
        <v>35</v>
      </c>
      <c r="X618" s="114" t="s">
        <v>2213</v>
      </c>
      <c r="Y618" s="115" t="s">
        <v>85</v>
      </c>
      <c r="Z618" s="115" t="s">
        <v>2297</v>
      </c>
      <c r="AA618" s="113" t="s">
        <v>87</v>
      </c>
      <c r="AB618" s="122">
        <v>5050</v>
      </c>
      <c r="AC618" s="122">
        <v>12518</v>
      </c>
      <c r="AD618" s="129">
        <f>AC618-AB618</f>
        <v>7468</v>
      </c>
      <c r="AE618" s="122">
        <v>100</v>
      </c>
      <c r="AF618" s="130">
        <f>AB618/U618</f>
        <v>5050</v>
      </c>
      <c r="AG618" s="130">
        <f>AB618/V618</f>
        <v>5050</v>
      </c>
      <c r="AH618" s="123">
        <f>AB618/S618</f>
        <v>1.8450858604311289</v>
      </c>
      <c r="AI618" s="124" t="s">
        <v>97</v>
      </c>
      <c r="AJ618" s="125" t="s">
        <v>2221</v>
      </c>
      <c r="AK618"/>
      <c r="AM618" s="80"/>
    </row>
    <row r="619" spans="1:39" ht="28.5" customHeight="1">
      <c r="A619" s="113" t="s">
        <v>73</v>
      </c>
      <c r="B619" s="114" t="s">
        <v>74</v>
      </c>
      <c r="C619" s="113" t="s">
        <v>35</v>
      </c>
      <c r="D619" s="113" t="s">
        <v>99</v>
      </c>
      <c r="E619" s="115" t="s">
        <v>1288</v>
      </c>
      <c r="F619" s="113" t="s">
        <v>585</v>
      </c>
      <c r="G619" s="116">
        <v>23638455</v>
      </c>
      <c r="H619" s="79">
        <v>46232</v>
      </c>
      <c r="I619" s="114" t="s">
        <v>79</v>
      </c>
      <c r="J619" s="117" t="s">
        <v>2298</v>
      </c>
      <c r="K619" s="118">
        <v>46224</v>
      </c>
      <c r="L619" s="114" t="s">
        <v>81</v>
      </c>
      <c r="M619" s="119">
        <v>46226</v>
      </c>
      <c r="N619" s="128">
        <v>46226</v>
      </c>
      <c r="O619" s="120">
        <f>NETWORKDAYS.INTL(K619,N619,1,$AM$2:$AM$10)-1</f>
        <v>2</v>
      </c>
      <c r="P619" s="114" t="s">
        <v>81</v>
      </c>
      <c r="Q619" s="114" t="s">
        <v>79</v>
      </c>
      <c r="R619" s="115"/>
      <c r="S619" s="145">
        <v>1519</v>
      </c>
      <c r="T619" s="148" t="s">
        <v>2126</v>
      </c>
      <c r="U619" s="147">
        <v>1</v>
      </c>
      <c r="V619" s="121">
        <v>1</v>
      </c>
      <c r="W619" s="121">
        <v>35</v>
      </c>
      <c r="X619" s="114" t="s">
        <v>113</v>
      </c>
      <c r="Y619" s="115" t="s">
        <v>85</v>
      </c>
      <c r="Z619" s="115" t="s">
        <v>2299</v>
      </c>
      <c r="AA619" s="113" t="s">
        <v>87</v>
      </c>
      <c r="AB619" s="122">
        <v>2942.23</v>
      </c>
      <c r="AC619" s="122">
        <f>IF(C619="DENALI", AB619*0.495, IF(C619="SCHNEIDER ELECTRIC", AB619*1.136, IF(C619="WWT", AB619*1.2, AC619)))+AB619</f>
        <v>4398.6338500000002</v>
      </c>
      <c r="AD619" s="129">
        <f>AC619-AB619</f>
        <v>1456.4038500000001</v>
      </c>
      <c r="AE619" s="122">
        <v>100</v>
      </c>
      <c r="AF619" s="130">
        <f>AB619/U619</f>
        <v>2942.23</v>
      </c>
      <c r="AG619" s="130">
        <f>AB619/V619</f>
        <v>2942.23</v>
      </c>
      <c r="AH619" s="123">
        <f>AB619/S619</f>
        <v>1.9369519420671495</v>
      </c>
      <c r="AI619" s="124" t="s">
        <v>97</v>
      </c>
      <c r="AJ619" s="125" t="s">
        <v>349</v>
      </c>
      <c r="AK619"/>
      <c r="AM619" s="80"/>
    </row>
    <row r="620" spans="1:39" ht="28.5" customHeight="1">
      <c r="A620" s="113" t="s">
        <v>73</v>
      </c>
      <c r="B620" s="114" t="s">
        <v>74</v>
      </c>
      <c r="C620" s="113" t="s">
        <v>35</v>
      </c>
      <c r="D620" s="113" t="s">
        <v>218</v>
      </c>
      <c r="E620" s="115" t="s">
        <v>2300</v>
      </c>
      <c r="F620" s="113" t="s">
        <v>92</v>
      </c>
      <c r="G620" s="116" t="s">
        <v>2301</v>
      </c>
      <c r="H620" s="79">
        <v>46232</v>
      </c>
      <c r="I620" s="114" t="s">
        <v>81</v>
      </c>
      <c r="J620" s="117" t="s">
        <v>2302</v>
      </c>
      <c r="K620" s="118">
        <v>46224</v>
      </c>
      <c r="L620" s="114" t="s">
        <v>81</v>
      </c>
      <c r="M620" s="119">
        <v>46226</v>
      </c>
      <c r="N620" s="128">
        <v>46227</v>
      </c>
      <c r="O620" s="120">
        <f>NETWORKDAYS.INTL(K620,N620,1,$AM$2:$AM$10)-1</f>
        <v>3</v>
      </c>
      <c r="P620" s="114" t="s">
        <v>81</v>
      </c>
      <c r="Q620" s="114" t="s">
        <v>79</v>
      </c>
      <c r="R620" s="115"/>
      <c r="S620" s="145">
        <v>1028</v>
      </c>
      <c r="T620" s="148" t="s">
        <v>2303</v>
      </c>
      <c r="U620" s="147">
        <v>2</v>
      </c>
      <c r="V620" s="121">
        <v>195</v>
      </c>
      <c r="W620" s="121">
        <v>730</v>
      </c>
      <c r="X620" s="114" t="s">
        <v>84</v>
      </c>
      <c r="Y620" s="115" t="s">
        <v>85</v>
      </c>
      <c r="Z620" s="115" t="s">
        <v>86</v>
      </c>
      <c r="AA620" s="113" t="s">
        <v>87</v>
      </c>
      <c r="AB620" s="122">
        <v>400.13</v>
      </c>
      <c r="AC620" s="122">
        <f>IF(C620="DENALI", AB620*0.495, IF(C620="SCHNEIDER ELECTRIC", AB620*1.136, IF(C620="WWT", AB620*1.2, AC620)))+AB620</f>
        <v>598.19434999999999</v>
      </c>
      <c r="AD620" s="129">
        <f>AC620-AB620</f>
        <v>198.06434999999999</v>
      </c>
      <c r="AE620" s="122">
        <v>30127.5</v>
      </c>
      <c r="AF620" s="130">
        <f>AB620/U620</f>
        <v>200.065</v>
      </c>
      <c r="AG620" s="130">
        <f>AB620/V620</f>
        <v>2.0519487179487181</v>
      </c>
      <c r="AH620" s="123">
        <f>AB620/S620</f>
        <v>0.38923151750972762</v>
      </c>
      <c r="AI620" s="124" t="s">
        <v>97</v>
      </c>
      <c r="AJ620" s="125" t="s">
        <v>349</v>
      </c>
      <c r="AK620"/>
      <c r="AM620" s="80"/>
    </row>
    <row r="621" spans="1:39" ht="28.5" customHeight="1">
      <c r="A621" s="113" t="s">
        <v>73</v>
      </c>
      <c r="B621" s="114" t="s">
        <v>74</v>
      </c>
      <c r="C621" s="113" t="s">
        <v>35</v>
      </c>
      <c r="D621" s="113" t="s">
        <v>218</v>
      </c>
      <c r="E621" s="115" t="s">
        <v>2304</v>
      </c>
      <c r="F621" s="113" t="s">
        <v>457</v>
      </c>
      <c r="G621" s="116" t="s">
        <v>2305</v>
      </c>
      <c r="H621" s="79">
        <v>46232</v>
      </c>
      <c r="I621" s="114" t="s">
        <v>79</v>
      </c>
      <c r="J621" s="117" t="s">
        <v>2306</v>
      </c>
      <c r="K621" s="118">
        <v>46225</v>
      </c>
      <c r="L621" s="114" t="s">
        <v>79</v>
      </c>
      <c r="M621" s="119">
        <v>46227</v>
      </c>
      <c r="N621" s="128">
        <v>46245</v>
      </c>
      <c r="O621" s="120">
        <f>NETWORKDAYS.INTL(K621,N621,1,$AM$2:$AM$10)-1</f>
        <v>14</v>
      </c>
      <c r="P621" s="114" t="s">
        <v>79</v>
      </c>
      <c r="Q621" s="114" t="s">
        <v>79</v>
      </c>
      <c r="R621" s="115"/>
      <c r="S621" s="145">
        <v>338.5</v>
      </c>
      <c r="T621" s="148" t="s">
        <v>2307</v>
      </c>
      <c r="U621" s="147">
        <v>1</v>
      </c>
      <c r="V621" s="121">
        <v>11</v>
      </c>
      <c r="W621" s="121">
        <v>1045</v>
      </c>
      <c r="X621" s="114" t="s">
        <v>84</v>
      </c>
      <c r="Y621" s="115" t="s">
        <v>85</v>
      </c>
      <c r="Z621" s="115" t="s">
        <v>2308</v>
      </c>
      <c r="AA621" s="113" t="s">
        <v>87</v>
      </c>
      <c r="AB621" s="122">
        <v>408.6</v>
      </c>
      <c r="AC621" s="122">
        <f>IF(C621="DENALI", AB621*0.495, IF(C621="SCHNEIDER ELECTRIC", AB621*1.136, IF(C621="WWT", AB621*1.2, AC621)))+AB621</f>
        <v>610.85699999999997</v>
      </c>
      <c r="AD621" s="129">
        <f>AC621-AB621</f>
        <v>202.25699999999995</v>
      </c>
      <c r="AE621" s="122">
        <v>13028.11</v>
      </c>
      <c r="AF621" s="130">
        <f>AB621/U621</f>
        <v>408.6</v>
      </c>
      <c r="AG621" s="130">
        <f>AB621/V621</f>
        <v>37.145454545454548</v>
      </c>
      <c r="AH621" s="123">
        <f>AB621/S621</f>
        <v>1.2070901033973414</v>
      </c>
      <c r="AI621" s="124" t="s">
        <v>97</v>
      </c>
      <c r="AJ621" s="125" t="s">
        <v>349</v>
      </c>
      <c r="AK621"/>
      <c r="AM621" s="80"/>
    </row>
    <row r="622" spans="1:39" ht="28.5" customHeight="1">
      <c r="A622" s="113" t="s">
        <v>73</v>
      </c>
      <c r="B622" s="114" t="s">
        <v>74</v>
      </c>
      <c r="C622" s="113" t="s">
        <v>35</v>
      </c>
      <c r="D622" s="113" t="s">
        <v>218</v>
      </c>
      <c r="E622" s="115" t="s">
        <v>1748</v>
      </c>
      <c r="F622" s="113" t="s">
        <v>75</v>
      </c>
      <c r="G622" s="116" t="s">
        <v>2309</v>
      </c>
      <c r="H622" s="79">
        <v>46232</v>
      </c>
      <c r="I622" s="114" t="s">
        <v>79</v>
      </c>
      <c r="J622" s="117" t="s">
        <v>2310</v>
      </c>
      <c r="K622" s="118">
        <v>46224</v>
      </c>
      <c r="L622" s="114" t="s">
        <v>81</v>
      </c>
      <c r="M622" s="119">
        <v>46225</v>
      </c>
      <c r="N622" s="128">
        <v>46225</v>
      </c>
      <c r="O622" s="120">
        <f>NETWORKDAYS.INTL(K622,N622,1,$AM$2:$AM$10)-1</f>
        <v>1</v>
      </c>
      <c r="P622" s="114" t="s">
        <v>81</v>
      </c>
      <c r="Q622" s="114" t="s">
        <v>79</v>
      </c>
      <c r="R622" s="115"/>
      <c r="S622" s="145">
        <v>603</v>
      </c>
      <c r="T622" s="148" t="s">
        <v>2311</v>
      </c>
      <c r="U622" s="147">
        <v>1</v>
      </c>
      <c r="V622" s="121">
        <v>104</v>
      </c>
      <c r="W622" s="121">
        <v>400</v>
      </c>
      <c r="X622" s="114" t="s">
        <v>84</v>
      </c>
      <c r="Y622" s="115" t="s">
        <v>85</v>
      </c>
      <c r="Z622" s="115" t="s">
        <v>2312</v>
      </c>
      <c r="AA622" s="113" t="s">
        <v>87</v>
      </c>
      <c r="AB622" s="122">
        <v>175.01</v>
      </c>
      <c r="AC622" s="122">
        <f>IF(C622="DENALI", AB622*0.495, IF(C622="SCHNEIDER ELECTRIC", AB622*1.136, IF(C622="WWT", AB622*1.2, AC622)))+AB622</f>
        <v>261.63995</v>
      </c>
      <c r="AD622" s="129">
        <f>AC622-AB622</f>
        <v>86.629950000000008</v>
      </c>
      <c r="AE622" s="122">
        <v>34927.29</v>
      </c>
      <c r="AF622" s="130">
        <f>AB622/U622</f>
        <v>175.01</v>
      </c>
      <c r="AG622" s="130">
        <f>AB622/V622</f>
        <v>1.6827884615384614</v>
      </c>
      <c r="AH622" s="123">
        <f>AB622/S622</f>
        <v>0.29023217247097843</v>
      </c>
      <c r="AI622" s="124" t="s">
        <v>147</v>
      </c>
      <c r="AJ622" s="125" t="s">
        <v>343</v>
      </c>
      <c r="AK622"/>
      <c r="AM622" s="80"/>
    </row>
    <row r="623" spans="1:39" ht="28.5" customHeight="1">
      <c r="A623" s="113" t="s">
        <v>73</v>
      </c>
      <c r="B623" s="114" t="s">
        <v>74</v>
      </c>
      <c r="C623" s="113" t="s">
        <v>35</v>
      </c>
      <c r="D623" s="113" t="s">
        <v>218</v>
      </c>
      <c r="E623" s="115" t="s">
        <v>517</v>
      </c>
      <c r="F623" s="113" t="s">
        <v>207</v>
      </c>
      <c r="G623" s="116" t="s">
        <v>2313</v>
      </c>
      <c r="H623" s="79">
        <v>46232</v>
      </c>
      <c r="I623" s="114" t="s">
        <v>79</v>
      </c>
      <c r="J623" s="117" t="s">
        <v>2314</v>
      </c>
      <c r="K623" s="118">
        <v>46224</v>
      </c>
      <c r="L623" s="114" t="s">
        <v>81</v>
      </c>
      <c r="M623" s="119">
        <v>46225</v>
      </c>
      <c r="N623" s="128">
        <v>46225</v>
      </c>
      <c r="O623" s="120">
        <f>NETWORKDAYS.INTL(K623,N623,1,$AM$2:$AM$10)-1</f>
        <v>1</v>
      </c>
      <c r="P623" s="114" t="s">
        <v>81</v>
      </c>
      <c r="Q623" s="114" t="s">
        <v>79</v>
      </c>
      <c r="R623" s="115"/>
      <c r="S623" s="145">
        <v>104</v>
      </c>
      <c r="T623" s="148" t="s">
        <v>2315</v>
      </c>
      <c r="U623" s="147">
        <v>1</v>
      </c>
      <c r="V623" s="121">
        <v>20</v>
      </c>
      <c r="W623" s="121">
        <v>410</v>
      </c>
      <c r="X623" s="114" t="s">
        <v>84</v>
      </c>
      <c r="Y623" s="115" t="s">
        <v>85</v>
      </c>
      <c r="Z623" s="115" t="s">
        <v>1208</v>
      </c>
      <c r="AA623" s="113" t="s">
        <v>87</v>
      </c>
      <c r="AB623" s="122">
        <v>175.76</v>
      </c>
      <c r="AC623" s="122">
        <f>IF(C623="DENALI", AB623*0.495, IF(C623="SCHNEIDER ELECTRIC", AB623*1.136, IF(C623="WWT", AB623*1.2, AC623)))+AB623</f>
        <v>262.76119999999997</v>
      </c>
      <c r="AD623" s="129">
        <f>AC623-AB623</f>
        <v>87.001199999999983</v>
      </c>
      <c r="AE623" s="122">
        <v>43986.400000000001</v>
      </c>
      <c r="AF623" s="130">
        <f>AB623/U623</f>
        <v>175.76</v>
      </c>
      <c r="AG623" s="130">
        <f>AB623/V623</f>
        <v>8.7880000000000003</v>
      </c>
      <c r="AH623" s="123">
        <f>AB623/S623</f>
        <v>1.69</v>
      </c>
      <c r="AI623" s="124" t="s">
        <v>147</v>
      </c>
      <c r="AJ623" s="125" t="s">
        <v>343</v>
      </c>
      <c r="AK623"/>
      <c r="AM623" s="80"/>
    </row>
    <row r="624" spans="1:39" ht="28.5" customHeight="1">
      <c r="A624" s="113" t="s">
        <v>73</v>
      </c>
      <c r="B624" s="114" t="s">
        <v>74</v>
      </c>
      <c r="C624" s="113" t="s">
        <v>35</v>
      </c>
      <c r="D624" s="113" t="s">
        <v>218</v>
      </c>
      <c r="E624" s="115" t="s">
        <v>2316</v>
      </c>
      <c r="F624" s="113" t="s">
        <v>1926</v>
      </c>
      <c r="G624" s="116" t="s">
        <v>2317</v>
      </c>
      <c r="H624" s="79">
        <v>46232</v>
      </c>
      <c r="I624" s="114" t="s">
        <v>79</v>
      </c>
      <c r="J624" s="117" t="s">
        <v>2318</v>
      </c>
      <c r="K624" s="118">
        <v>46224</v>
      </c>
      <c r="L624" s="114" t="s">
        <v>81</v>
      </c>
      <c r="M624" s="119">
        <v>46227</v>
      </c>
      <c r="N624" s="128">
        <v>46230</v>
      </c>
      <c r="O624" s="120">
        <f>NETWORKDAYS.INTL(K624,N624,1,$AM$2:$AM$10)-1</f>
        <v>4</v>
      </c>
      <c r="P624" s="114" t="s">
        <v>81</v>
      </c>
      <c r="Q624" s="114" t="s">
        <v>79</v>
      </c>
      <c r="R624" s="115"/>
      <c r="S624" s="145">
        <v>1254</v>
      </c>
      <c r="T624" s="148" t="s">
        <v>2319</v>
      </c>
      <c r="U624" s="147">
        <v>1</v>
      </c>
      <c r="V624" s="121">
        <v>215</v>
      </c>
      <c r="W624" s="121">
        <v>410</v>
      </c>
      <c r="X624" s="114" t="s">
        <v>84</v>
      </c>
      <c r="Y624" s="115" t="s">
        <v>85</v>
      </c>
      <c r="Z624" s="115" t="s">
        <v>86</v>
      </c>
      <c r="AA624" s="113" t="s">
        <v>87</v>
      </c>
      <c r="AB624" s="122">
        <v>336.39</v>
      </c>
      <c r="AC624" s="122">
        <f>IF(C624="DENALI", AB624*0.495, IF(C624="SCHNEIDER ELECTRIC", AB624*1.136, IF(C624="WWT", AB624*1.2, AC624)))+AB624</f>
        <v>502.90305000000001</v>
      </c>
      <c r="AD624" s="129">
        <f>AC624-AB624</f>
        <v>166.51305000000002</v>
      </c>
      <c r="AE624" s="122">
        <v>10509.26</v>
      </c>
      <c r="AF624" s="130">
        <f>AB624/U624</f>
        <v>336.39</v>
      </c>
      <c r="AG624" s="130">
        <f>AB624/V624</f>
        <v>1.5646046511627907</v>
      </c>
      <c r="AH624" s="123">
        <f>AB624/S624</f>
        <v>0.26825358851674641</v>
      </c>
      <c r="AI624" s="124" t="s">
        <v>183</v>
      </c>
      <c r="AJ624" s="125" t="s">
        <v>379</v>
      </c>
      <c r="AK624"/>
      <c r="AM624" s="80"/>
    </row>
    <row r="625" spans="1:39" ht="28.5" customHeight="1">
      <c r="A625" s="113" t="s">
        <v>73</v>
      </c>
      <c r="B625" s="114" t="s">
        <v>74</v>
      </c>
      <c r="C625" s="113" t="s">
        <v>36</v>
      </c>
      <c r="D625" s="113" t="s">
        <v>75</v>
      </c>
      <c r="E625" s="115" t="s">
        <v>2320</v>
      </c>
      <c r="F625" s="113" t="s">
        <v>396</v>
      </c>
      <c r="G625" s="116" t="s">
        <v>2321</v>
      </c>
      <c r="H625" s="79">
        <v>46232</v>
      </c>
      <c r="I625" s="114" t="s">
        <v>79</v>
      </c>
      <c r="J625" s="117" t="s">
        <v>2322</v>
      </c>
      <c r="K625" s="118">
        <v>46225</v>
      </c>
      <c r="L625" s="114" t="s">
        <v>81</v>
      </c>
      <c r="M625" s="119">
        <v>46227</v>
      </c>
      <c r="N625" s="128">
        <v>46233</v>
      </c>
      <c r="O625" s="120">
        <f>NETWORKDAYS.INTL(K625,N625,1,$AM$2:$AM$10)-1</f>
        <v>6</v>
      </c>
      <c r="P625" s="114" t="s">
        <v>81</v>
      </c>
      <c r="Q625" s="114" t="s">
        <v>79</v>
      </c>
      <c r="R625" s="115"/>
      <c r="S625" s="145">
        <v>803</v>
      </c>
      <c r="T625" s="148" t="s">
        <v>2323</v>
      </c>
      <c r="U625" s="147">
        <v>2</v>
      </c>
      <c r="V625" s="121">
        <v>14</v>
      </c>
      <c r="W625" s="121">
        <v>1247</v>
      </c>
      <c r="X625" s="114" t="s">
        <v>84</v>
      </c>
      <c r="Y625" s="115" t="s">
        <v>85</v>
      </c>
      <c r="Z625" s="115" t="s">
        <v>2312</v>
      </c>
      <c r="AA625" s="113" t="s">
        <v>87</v>
      </c>
      <c r="AB625" s="122">
        <v>324.7</v>
      </c>
      <c r="AC625" s="122">
        <f>IF(C625="DENALI", AB625*0.495, IF(C625="SCHNEIDER ELECTRIC", AB625*1.136, IF(C625="WWT", AB625*1.2, AC625)))+AB625</f>
        <v>693.55919999999992</v>
      </c>
      <c r="AD625" s="129">
        <f>AC625-AB625</f>
        <v>368.85919999999993</v>
      </c>
      <c r="AE625" s="122">
        <v>25924.39</v>
      </c>
      <c r="AF625" s="130">
        <f>AB625/U625</f>
        <v>162.35</v>
      </c>
      <c r="AG625" s="130">
        <f>AB625/V625</f>
        <v>23.192857142857143</v>
      </c>
      <c r="AH625" s="123">
        <f>AB625/S625</f>
        <v>0.40435865504358653</v>
      </c>
      <c r="AI625" s="124" t="s">
        <v>155</v>
      </c>
      <c r="AJ625" s="125" t="s">
        <v>2272</v>
      </c>
      <c r="AK625"/>
      <c r="AM625" s="80"/>
    </row>
    <row r="626" spans="1:39" ht="28.5" customHeight="1">
      <c r="A626" s="113" t="s">
        <v>73</v>
      </c>
      <c r="B626" s="114" t="s">
        <v>74</v>
      </c>
      <c r="C626" s="113" t="s">
        <v>35</v>
      </c>
      <c r="D626" s="113" t="s">
        <v>218</v>
      </c>
      <c r="E626" s="115" t="s">
        <v>416</v>
      </c>
      <c r="F626" s="113" t="s">
        <v>90</v>
      </c>
      <c r="G626" s="116" t="s">
        <v>2324</v>
      </c>
      <c r="H626" s="79">
        <v>46232</v>
      </c>
      <c r="I626" s="114" t="s">
        <v>79</v>
      </c>
      <c r="J626" s="117" t="s">
        <v>2325</v>
      </c>
      <c r="K626" s="118">
        <v>46225</v>
      </c>
      <c r="L626" s="114" t="s">
        <v>81</v>
      </c>
      <c r="M626" s="119">
        <v>46231</v>
      </c>
      <c r="N626" s="128">
        <v>46232</v>
      </c>
      <c r="O626" s="120">
        <f>NETWORKDAYS.INTL(K626,N626,1,$AM$2:$AM$10)-1</f>
        <v>5</v>
      </c>
      <c r="P626" s="114" t="s">
        <v>81</v>
      </c>
      <c r="Q626" s="114" t="s">
        <v>79</v>
      </c>
      <c r="R626" s="115"/>
      <c r="S626" s="145">
        <v>2266</v>
      </c>
      <c r="T626" s="148" t="s">
        <v>2326</v>
      </c>
      <c r="U626" s="147">
        <v>3</v>
      </c>
      <c r="V626" s="121">
        <v>856</v>
      </c>
      <c r="W626" s="121">
        <v>1460</v>
      </c>
      <c r="X626" s="114" t="s">
        <v>84</v>
      </c>
      <c r="Y626" s="115" t="s">
        <v>85</v>
      </c>
      <c r="Z626" s="115" t="s">
        <v>86</v>
      </c>
      <c r="AA626" s="113" t="s">
        <v>87</v>
      </c>
      <c r="AB626" s="122">
        <v>893.54</v>
      </c>
      <c r="AC626" s="122">
        <f>IF(C626="DENALI", AB626*0.495, IF(C626="SCHNEIDER ELECTRIC", AB626*1.136, IF(C626="WWT", AB626*1.2, AC626)))+AB626</f>
        <v>1335.8423</v>
      </c>
      <c r="AD626" s="129">
        <f>AC626-AB626</f>
        <v>442.30230000000006</v>
      </c>
      <c r="AE626" s="122">
        <v>149088.66</v>
      </c>
      <c r="AF626" s="130">
        <f>AB626/U626</f>
        <v>297.84666666666664</v>
      </c>
      <c r="AG626" s="130">
        <f>AB626/V626</f>
        <v>1.0438551401869158</v>
      </c>
      <c r="AH626" s="123">
        <f>AB626/S626</f>
        <v>0.39432480141218001</v>
      </c>
      <c r="AI626" s="124" t="s">
        <v>147</v>
      </c>
      <c r="AJ626" s="125" t="s">
        <v>343</v>
      </c>
      <c r="AK626"/>
      <c r="AM626" s="80"/>
    </row>
    <row r="627" spans="1:39" ht="28.5" customHeight="1">
      <c r="A627" s="113" t="s">
        <v>73</v>
      </c>
      <c r="B627" s="114" t="s">
        <v>74</v>
      </c>
      <c r="C627" s="113" t="s">
        <v>35</v>
      </c>
      <c r="D627" s="113" t="s">
        <v>218</v>
      </c>
      <c r="E627" s="115" t="s">
        <v>2034</v>
      </c>
      <c r="F627" s="113" t="s">
        <v>90</v>
      </c>
      <c r="G627" s="116" t="s">
        <v>2327</v>
      </c>
      <c r="H627" s="79">
        <v>46233</v>
      </c>
      <c r="I627" s="114" t="s">
        <v>79</v>
      </c>
      <c r="J627" s="117" t="s">
        <v>2328</v>
      </c>
      <c r="K627" s="118">
        <v>46225</v>
      </c>
      <c r="L627" s="114" t="s">
        <v>81</v>
      </c>
      <c r="M627" s="119">
        <v>46227</v>
      </c>
      <c r="N627" s="128">
        <v>46230</v>
      </c>
      <c r="O627" s="120">
        <f>NETWORKDAYS.INTL(K627,N627,1,$AM$2:$AM$10)-1</f>
        <v>3</v>
      </c>
      <c r="P627" s="114" t="s">
        <v>81</v>
      </c>
      <c r="Q627" s="114" t="s">
        <v>79</v>
      </c>
      <c r="R627" s="115"/>
      <c r="S627" s="145">
        <v>660</v>
      </c>
      <c r="T627" s="148" t="s">
        <v>2329</v>
      </c>
      <c r="U627" s="147">
        <v>2</v>
      </c>
      <c r="V627" s="121">
        <v>320</v>
      </c>
      <c r="W627" s="121">
        <v>775</v>
      </c>
      <c r="X627" s="114" t="s">
        <v>84</v>
      </c>
      <c r="Y627" s="115" t="s">
        <v>85</v>
      </c>
      <c r="Z627" s="115" t="s">
        <v>86</v>
      </c>
      <c r="AA627" s="113" t="s">
        <v>87</v>
      </c>
      <c r="AB627" s="122">
        <v>287.51</v>
      </c>
      <c r="AC627" s="122">
        <f>IF(C627="DENALI", AB627*0.495, IF(C627="SCHNEIDER ELECTRIC", AB627*1.136, IF(C627="WWT", AB627*1.2, AC627)))+AB627</f>
        <v>429.82745</v>
      </c>
      <c r="AD627" s="129">
        <f>AC627-AB627</f>
        <v>142.31745000000001</v>
      </c>
      <c r="AE627" s="122">
        <v>100548.46</v>
      </c>
      <c r="AF627" s="130">
        <f>AB627/U627</f>
        <v>143.755</v>
      </c>
      <c r="AG627" s="130">
        <f>AB627/V627</f>
        <v>0.89846874999999993</v>
      </c>
      <c r="AH627" s="123">
        <f>AB627/S627</f>
        <v>0.43562121212121213</v>
      </c>
      <c r="AI627" s="124" t="s">
        <v>1044</v>
      </c>
      <c r="AJ627" s="125" t="s">
        <v>349</v>
      </c>
      <c r="AK627"/>
      <c r="AM627" s="80"/>
    </row>
    <row r="628" spans="1:39" ht="28.5" customHeight="1">
      <c r="A628" s="113" t="s">
        <v>73</v>
      </c>
      <c r="B628" s="114" t="s">
        <v>74</v>
      </c>
      <c r="C628" s="113" t="s">
        <v>35</v>
      </c>
      <c r="D628" s="113" t="s">
        <v>99</v>
      </c>
      <c r="E628" s="115" t="s">
        <v>2330</v>
      </c>
      <c r="F628" s="113" t="s">
        <v>2256</v>
      </c>
      <c r="G628" s="116" t="s">
        <v>2331</v>
      </c>
      <c r="H628" s="79">
        <v>46233</v>
      </c>
      <c r="I628" s="114" t="s">
        <v>79</v>
      </c>
      <c r="J628" s="117" t="s">
        <v>2332</v>
      </c>
      <c r="K628" s="118">
        <v>46225</v>
      </c>
      <c r="L628" s="114" t="s">
        <v>81</v>
      </c>
      <c r="M628" s="119">
        <v>46227</v>
      </c>
      <c r="N628" s="128">
        <v>46231</v>
      </c>
      <c r="O628" s="120">
        <f>NETWORKDAYS.INTL(K628,N628,1,$AM$2:$AM$10)-1</f>
        <v>4</v>
      </c>
      <c r="P628" s="114" t="s">
        <v>81</v>
      </c>
      <c r="Q628" s="114" t="s">
        <v>79</v>
      </c>
      <c r="R628" s="115"/>
      <c r="S628" s="145">
        <v>1998</v>
      </c>
      <c r="T628" s="148" t="s">
        <v>2333</v>
      </c>
      <c r="U628" s="147">
        <v>1</v>
      </c>
      <c r="V628" s="121">
        <v>49</v>
      </c>
      <c r="W628" s="121">
        <v>980</v>
      </c>
      <c r="X628" s="114" t="s">
        <v>84</v>
      </c>
      <c r="Y628" s="115" t="s">
        <v>85</v>
      </c>
      <c r="Z628" s="115" t="s">
        <v>86</v>
      </c>
      <c r="AA628" s="113" t="s">
        <v>87</v>
      </c>
      <c r="AB628" s="122">
        <v>588.29</v>
      </c>
      <c r="AC628" s="122">
        <f>IF(C628="DENALI", AB628*0.495, IF(C628="SCHNEIDER ELECTRIC", AB628*1.136, IF(C628="WWT", AB628*1.2, AC628)))+AB628</f>
        <v>879.49354999999991</v>
      </c>
      <c r="AD628" s="129">
        <f>AC628-AB628</f>
        <v>291.20354999999995</v>
      </c>
      <c r="AE628" s="122">
        <v>94537.66</v>
      </c>
      <c r="AF628" s="130">
        <f>AB628/U628</f>
        <v>588.29</v>
      </c>
      <c r="AG628" s="130">
        <f>AB628/V628</f>
        <v>12.005918367346938</v>
      </c>
      <c r="AH628" s="123">
        <f>AB628/S628</f>
        <v>0.2944394394394394</v>
      </c>
      <c r="AI628" s="124" t="s">
        <v>97</v>
      </c>
      <c r="AJ628" s="125" t="s">
        <v>349</v>
      </c>
      <c r="AK628"/>
      <c r="AM628" s="80"/>
    </row>
    <row r="629" spans="1:39" ht="28.5" customHeight="1">
      <c r="A629" s="113" t="s">
        <v>73</v>
      </c>
      <c r="B629" s="114" t="s">
        <v>74</v>
      </c>
      <c r="C629" s="113" t="s">
        <v>35</v>
      </c>
      <c r="D629" s="113" t="s">
        <v>99</v>
      </c>
      <c r="E629" s="115" t="s">
        <v>2334</v>
      </c>
      <c r="F629" s="113" t="s">
        <v>396</v>
      </c>
      <c r="G629" s="116" t="s">
        <v>2335</v>
      </c>
      <c r="H629" s="79">
        <v>46233</v>
      </c>
      <c r="I629" s="114" t="s">
        <v>79</v>
      </c>
      <c r="J629" s="117" t="s">
        <v>2336</v>
      </c>
      <c r="K629" s="118">
        <v>46225</v>
      </c>
      <c r="L629" s="114" t="s">
        <v>81</v>
      </c>
      <c r="M629" s="119">
        <v>46230</v>
      </c>
      <c r="N629" s="128">
        <v>46232</v>
      </c>
      <c r="O629" s="120">
        <f>NETWORKDAYS.INTL(K629,N629,1,$AM$2:$AM$10)-1</f>
        <v>5</v>
      </c>
      <c r="P629" s="114" t="s">
        <v>81</v>
      </c>
      <c r="Q629" s="114" t="s">
        <v>79</v>
      </c>
      <c r="R629" s="115"/>
      <c r="S629" s="145">
        <v>2090</v>
      </c>
      <c r="T629" s="148" t="s">
        <v>2337</v>
      </c>
      <c r="U629" s="147">
        <v>1</v>
      </c>
      <c r="V629" s="121">
        <v>58</v>
      </c>
      <c r="W629" s="121">
        <v>1145</v>
      </c>
      <c r="X629" s="114" t="s">
        <v>84</v>
      </c>
      <c r="Y629" s="115" t="s">
        <v>85</v>
      </c>
      <c r="Z629" s="115" t="s">
        <v>86</v>
      </c>
      <c r="AA629" s="113" t="s">
        <v>87</v>
      </c>
      <c r="AB629" s="122">
        <v>987.09</v>
      </c>
      <c r="AC629" s="122">
        <f>IF(C629="DENALI", AB629*0.495, IF(C629="SCHNEIDER ELECTRIC", AB629*1.136, IF(C629="WWT", AB629*1.2, AC629)))+AB629</f>
        <v>1475.69955</v>
      </c>
      <c r="AD629" s="129">
        <f>AC629-AB629</f>
        <v>488.60955000000001</v>
      </c>
      <c r="AE629" s="122">
        <v>111901.72</v>
      </c>
      <c r="AF629" s="130">
        <f>AB629/U629</f>
        <v>987.09</v>
      </c>
      <c r="AG629" s="130">
        <f>AB629/V629</f>
        <v>17.018793103448278</v>
      </c>
      <c r="AH629" s="123">
        <f>AB629/S629</f>
        <v>0.47229186602870815</v>
      </c>
      <c r="AI629" s="124" t="s">
        <v>97</v>
      </c>
      <c r="AJ629" s="125" t="s">
        <v>349</v>
      </c>
      <c r="AK629"/>
      <c r="AM629" s="80"/>
    </row>
    <row r="630" spans="1:39" ht="28.5" customHeight="1">
      <c r="A630" s="113" t="s">
        <v>73</v>
      </c>
      <c r="B630" s="114" t="s">
        <v>74</v>
      </c>
      <c r="C630" s="113" t="s">
        <v>36</v>
      </c>
      <c r="D630" s="113" t="s">
        <v>90</v>
      </c>
      <c r="E630" s="115" t="s">
        <v>2338</v>
      </c>
      <c r="F630" s="113" t="s">
        <v>585</v>
      </c>
      <c r="G630" s="116" t="s">
        <v>2339</v>
      </c>
      <c r="H630" s="79">
        <v>46233</v>
      </c>
      <c r="I630" s="114" t="s">
        <v>79</v>
      </c>
      <c r="J630" s="117" t="s">
        <v>2340</v>
      </c>
      <c r="K630" s="118">
        <v>46225</v>
      </c>
      <c r="L630" s="114" t="s">
        <v>81</v>
      </c>
      <c r="M630" s="119">
        <v>46227</v>
      </c>
      <c r="N630" s="128">
        <v>46226</v>
      </c>
      <c r="O630" s="120">
        <f>NETWORKDAYS.INTL(K630,N630,1,$AM$2:$AM$10)-1</f>
        <v>1</v>
      </c>
      <c r="P630" s="114" t="s">
        <v>81</v>
      </c>
      <c r="Q630" s="114" t="s">
        <v>79</v>
      </c>
      <c r="R630" s="115"/>
      <c r="S630" s="145">
        <v>336.2</v>
      </c>
      <c r="T630" s="148" t="s">
        <v>2341</v>
      </c>
      <c r="U630" s="147">
        <v>1</v>
      </c>
      <c r="V630" s="121">
        <v>9</v>
      </c>
      <c r="W630" s="121">
        <v>683</v>
      </c>
      <c r="X630" s="114" t="s">
        <v>84</v>
      </c>
      <c r="Y630" s="115" t="s">
        <v>85</v>
      </c>
      <c r="Z630" s="115" t="s">
        <v>86</v>
      </c>
      <c r="AA630" s="113" t="s">
        <v>87</v>
      </c>
      <c r="AB630" s="122">
        <v>234.76</v>
      </c>
      <c r="AC630" s="122">
        <f>IF(C630="DENALI", AB630*0.495, IF(C630="SCHNEIDER ELECTRIC", AB630*1.136, IF(C630="WWT", AB630*1.2, AC630)))+AB630</f>
        <v>501.44735999999995</v>
      </c>
      <c r="AD630" s="129">
        <f>AC630-AB630</f>
        <v>266.68735999999996</v>
      </c>
      <c r="AE630" s="122">
        <v>17386.32</v>
      </c>
      <c r="AF630" s="130">
        <f>AB630/U630</f>
        <v>234.76</v>
      </c>
      <c r="AG630" s="130">
        <f>AB630/V630</f>
        <v>26.084444444444443</v>
      </c>
      <c r="AH630" s="123">
        <f>AB630/S630</f>
        <v>0.69827483640690069</v>
      </c>
      <c r="AI630" s="124" t="s">
        <v>97</v>
      </c>
      <c r="AJ630" s="125" t="s">
        <v>2267</v>
      </c>
      <c r="AK630"/>
      <c r="AM630" s="80"/>
    </row>
    <row r="631" spans="1:39" ht="28.5" customHeight="1">
      <c r="A631" s="113" t="s">
        <v>73</v>
      </c>
      <c r="B631" s="114" t="s">
        <v>74</v>
      </c>
      <c r="C631" s="113" t="s">
        <v>35</v>
      </c>
      <c r="D631" s="113" t="s">
        <v>99</v>
      </c>
      <c r="E631" s="115" t="s">
        <v>2342</v>
      </c>
      <c r="F631" s="113" t="s">
        <v>2256</v>
      </c>
      <c r="G631" s="116" t="s">
        <v>2343</v>
      </c>
      <c r="H631" s="79">
        <v>46233</v>
      </c>
      <c r="I631" s="114" t="s">
        <v>79</v>
      </c>
      <c r="J631" s="117" t="s">
        <v>2344</v>
      </c>
      <c r="K631" s="118">
        <v>46225</v>
      </c>
      <c r="L631" s="114" t="s">
        <v>81</v>
      </c>
      <c r="M631" s="119">
        <v>46227</v>
      </c>
      <c r="N631" s="128">
        <v>46232</v>
      </c>
      <c r="O631" s="120">
        <f>NETWORKDAYS.INTL(K631,N631,1,$AM$2:$AM$10)-1</f>
        <v>5</v>
      </c>
      <c r="P631" s="114" t="s">
        <v>81</v>
      </c>
      <c r="Q631" s="114" t="s">
        <v>79</v>
      </c>
      <c r="R631" s="115"/>
      <c r="S631" s="145">
        <v>2014</v>
      </c>
      <c r="T631" s="148" t="s">
        <v>2345</v>
      </c>
      <c r="U631" s="147">
        <v>1</v>
      </c>
      <c r="V631" s="121">
        <v>46</v>
      </c>
      <c r="W631" s="121">
        <v>930</v>
      </c>
      <c r="X631" s="114" t="s">
        <v>84</v>
      </c>
      <c r="Y631" s="115" t="s">
        <v>85</v>
      </c>
      <c r="Z631" s="115" t="s">
        <v>86</v>
      </c>
      <c r="AA631" s="113" t="s">
        <v>87</v>
      </c>
      <c r="AB631" s="122">
        <v>723.62</v>
      </c>
      <c r="AC631" s="122">
        <f>IF(C631="DENALI", AB631*0.495, IF(C631="SCHNEIDER ELECTRIC", AB631*1.136, IF(C631="WWT", AB631*1.2, AC631)))+AB631</f>
        <v>1081.8118999999999</v>
      </c>
      <c r="AD631" s="129">
        <f>AC631-AB631</f>
        <v>358.19189999999992</v>
      </c>
      <c r="AE631" s="122">
        <v>94537.66</v>
      </c>
      <c r="AF631" s="130">
        <f>AB631/U631</f>
        <v>723.62</v>
      </c>
      <c r="AG631" s="130">
        <f>AB631/V631</f>
        <v>15.730869565217391</v>
      </c>
      <c r="AH631" s="123">
        <f>AB631/S631</f>
        <v>0.35929493545183716</v>
      </c>
      <c r="AI631" s="124" t="s">
        <v>97</v>
      </c>
      <c r="AJ631" s="125" t="s">
        <v>349</v>
      </c>
      <c r="AK631"/>
      <c r="AM631" s="80"/>
    </row>
    <row r="632" spans="1:39" ht="28.5" customHeight="1">
      <c r="A632" s="113" t="s">
        <v>73</v>
      </c>
      <c r="B632" s="114" t="s">
        <v>74</v>
      </c>
      <c r="C632" s="113" t="s">
        <v>36</v>
      </c>
      <c r="D632" s="113" t="s">
        <v>90</v>
      </c>
      <c r="E632" s="115" t="s">
        <v>1186</v>
      </c>
      <c r="F632" s="113" t="s">
        <v>99</v>
      </c>
      <c r="G632" s="116" t="s">
        <v>2346</v>
      </c>
      <c r="H632" s="79">
        <v>46233</v>
      </c>
      <c r="I632" s="114" t="s">
        <v>79</v>
      </c>
      <c r="J632" s="117" t="s">
        <v>2347</v>
      </c>
      <c r="K632" s="118">
        <v>46225</v>
      </c>
      <c r="L632" s="114" t="s">
        <v>81</v>
      </c>
      <c r="M632" s="119">
        <v>46227</v>
      </c>
      <c r="N632" s="128">
        <v>46227</v>
      </c>
      <c r="O632" s="120">
        <f>NETWORKDAYS.INTL(K632,N632,1,$AM$2:$AM$10)-1</f>
        <v>2</v>
      </c>
      <c r="P632" s="114" t="s">
        <v>81</v>
      </c>
      <c r="Q632" s="114" t="s">
        <v>79</v>
      </c>
      <c r="R632" s="115"/>
      <c r="S632" s="145">
        <v>1147.7</v>
      </c>
      <c r="T632" s="148" t="s">
        <v>2348</v>
      </c>
      <c r="U632" s="147">
        <v>1</v>
      </c>
      <c r="V632" s="121">
        <v>3</v>
      </c>
      <c r="W632" s="121">
        <v>366</v>
      </c>
      <c r="X632" s="114" t="s">
        <v>84</v>
      </c>
      <c r="Y632" s="115" t="s">
        <v>85</v>
      </c>
      <c r="Z632" s="115" t="s">
        <v>86</v>
      </c>
      <c r="AA632" s="113" t="s">
        <v>87</v>
      </c>
      <c r="AB632" s="122">
        <v>353.45</v>
      </c>
      <c r="AC632" s="122">
        <f>IF(C632="DENALI", AB632*0.495, IF(C632="SCHNEIDER ELECTRIC", AB632*1.136, IF(C632="WWT", AB632*1.2, AC632)))+AB632</f>
        <v>754.9692</v>
      </c>
      <c r="AD632" s="129">
        <f>AC632-AB632</f>
        <v>401.51920000000001</v>
      </c>
      <c r="AE632" s="122">
        <v>67866.89</v>
      </c>
      <c r="AF632" s="130">
        <f>AB632/U632</f>
        <v>353.45</v>
      </c>
      <c r="AG632" s="130">
        <f>AB632/V632</f>
        <v>117.81666666666666</v>
      </c>
      <c r="AH632" s="123">
        <f>AB632/S632</f>
        <v>0.3079637535941448</v>
      </c>
      <c r="AI632" s="124" t="s">
        <v>155</v>
      </c>
      <c r="AJ632" s="125" t="s">
        <v>2272</v>
      </c>
      <c r="AK632"/>
      <c r="AM632" s="80"/>
    </row>
    <row r="633" spans="1:39" ht="28.5" customHeight="1">
      <c r="A633" s="113" t="s">
        <v>73</v>
      </c>
      <c r="B633" s="114" t="s">
        <v>74</v>
      </c>
      <c r="C633" s="113" t="s">
        <v>36</v>
      </c>
      <c r="D633" s="113" t="s">
        <v>90</v>
      </c>
      <c r="E633" s="115" t="s">
        <v>2349</v>
      </c>
      <c r="F633" s="113" t="s">
        <v>90</v>
      </c>
      <c r="G633" s="116" t="s">
        <v>2350</v>
      </c>
      <c r="H633" s="79">
        <v>46234</v>
      </c>
      <c r="I633" s="114" t="s">
        <v>79</v>
      </c>
      <c r="J633" s="117" t="s">
        <v>2351</v>
      </c>
      <c r="K633" s="118">
        <v>46226</v>
      </c>
      <c r="L633" s="114" t="s">
        <v>81</v>
      </c>
      <c r="M633" s="119">
        <v>46227</v>
      </c>
      <c r="N633" s="128">
        <v>46234</v>
      </c>
      <c r="O633" s="120">
        <f>NETWORKDAYS.INTL(K633,N633,1,$AM$2:$AM$10)-1</f>
        <v>6</v>
      </c>
      <c r="P633" s="114" t="s">
        <v>81</v>
      </c>
      <c r="Q633" s="114" t="s">
        <v>79</v>
      </c>
      <c r="R633" s="115"/>
      <c r="S633" s="145">
        <v>10</v>
      </c>
      <c r="T633" s="148" t="s">
        <v>2352</v>
      </c>
      <c r="U633" s="147">
        <v>1</v>
      </c>
      <c r="V633" s="121">
        <v>8</v>
      </c>
      <c r="W633" s="121">
        <v>1016</v>
      </c>
      <c r="X633" s="114" t="s">
        <v>84</v>
      </c>
      <c r="Y633" s="115" t="s">
        <v>85</v>
      </c>
      <c r="Z633" s="115" t="s">
        <v>86</v>
      </c>
      <c r="AA633" s="113" t="s">
        <v>87</v>
      </c>
      <c r="AB633" s="122">
        <v>191.47</v>
      </c>
      <c r="AC633" s="122">
        <f>IF(C633="DENALI", AB633*0.495, IF(C633="SCHNEIDER ELECTRIC", AB633*1.136, IF(C633="WWT", AB633*1.2, AC633)))+AB633</f>
        <v>408.97991999999999</v>
      </c>
      <c r="AD633" s="129">
        <f>AC633-AB633</f>
        <v>217.50991999999999</v>
      </c>
      <c r="AE633" s="122">
        <v>107043.3</v>
      </c>
      <c r="AF633" s="130">
        <f>AB633/U633</f>
        <v>191.47</v>
      </c>
      <c r="AG633" s="130">
        <f>AB633/V633</f>
        <v>23.93375</v>
      </c>
      <c r="AH633" s="123">
        <f>AB633/S633</f>
        <v>19.146999999999998</v>
      </c>
      <c r="AI633" s="124" t="s">
        <v>115</v>
      </c>
      <c r="AJ633" s="125" t="s">
        <v>2353</v>
      </c>
      <c r="AK633"/>
      <c r="AM633" s="80"/>
    </row>
    <row r="634" spans="1:39" ht="28.5" customHeight="1">
      <c r="A634" s="113" t="s">
        <v>73</v>
      </c>
      <c r="B634" s="114" t="s">
        <v>74</v>
      </c>
      <c r="C634" s="113" t="s">
        <v>36</v>
      </c>
      <c r="D634" s="113" t="s">
        <v>90</v>
      </c>
      <c r="E634" s="115" t="s">
        <v>2354</v>
      </c>
      <c r="F634" s="113" t="s">
        <v>1103</v>
      </c>
      <c r="G634" s="116" t="s">
        <v>2355</v>
      </c>
      <c r="H634" s="79">
        <v>46234</v>
      </c>
      <c r="I634" s="114" t="s">
        <v>79</v>
      </c>
      <c r="J634" s="117" t="s">
        <v>2356</v>
      </c>
      <c r="K634" s="118">
        <v>46226</v>
      </c>
      <c r="L634" s="114" t="s">
        <v>81</v>
      </c>
      <c r="M634" s="119">
        <v>46232</v>
      </c>
      <c r="N634" s="128">
        <v>46230</v>
      </c>
      <c r="O634" s="120">
        <f>NETWORKDAYS.INTL(K634,N634,1,$AM$2:$AM$10)-1</f>
        <v>2</v>
      </c>
      <c r="P634" s="114" t="s">
        <v>81</v>
      </c>
      <c r="Q634" s="114" t="s">
        <v>79</v>
      </c>
      <c r="R634" s="115"/>
      <c r="S634" s="145">
        <v>1580</v>
      </c>
      <c r="T634" s="148" t="s">
        <v>2357</v>
      </c>
      <c r="U634" s="147">
        <v>1</v>
      </c>
      <c r="V634" s="121">
        <v>3</v>
      </c>
      <c r="W634" s="121">
        <v>378</v>
      </c>
      <c r="X634" s="114" t="s">
        <v>84</v>
      </c>
      <c r="Y634" s="115" t="s">
        <v>85</v>
      </c>
      <c r="Z634" s="115" t="s">
        <v>86</v>
      </c>
      <c r="AA634" s="113" t="s">
        <v>87</v>
      </c>
      <c r="AB634" s="122">
        <v>257.60000000000002</v>
      </c>
      <c r="AC634" s="122">
        <f>IF(C634="DENALI", AB634*0.495, IF(C634="SCHNEIDER ELECTRIC", AB634*1.136, IF(C634="WWT", AB634*1.2, AC634)))+AB634</f>
        <v>550.23360000000002</v>
      </c>
      <c r="AD634" s="129">
        <f>AC634-AB634</f>
        <v>292.6336</v>
      </c>
      <c r="AE634" s="122">
        <v>140410.4</v>
      </c>
      <c r="AF634" s="130">
        <f>AB634/U634</f>
        <v>257.60000000000002</v>
      </c>
      <c r="AG634" s="130">
        <f>AB634/V634</f>
        <v>85.866666666666674</v>
      </c>
      <c r="AH634" s="123">
        <f>AB634/S634</f>
        <v>0.16303797468354431</v>
      </c>
      <c r="AI634" s="124" t="s">
        <v>97</v>
      </c>
      <c r="AJ634" s="125" t="s">
        <v>2267</v>
      </c>
      <c r="AK634"/>
      <c r="AM634" s="80"/>
    </row>
    <row r="635" spans="1:39" ht="28.5" customHeight="1">
      <c r="A635" s="113" t="s">
        <v>73</v>
      </c>
      <c r="B635" s="114" t="s">
        <v>74</v>
      </c>
      <c r="C635" s="113" t="s">
        <v>36</v>
      </c>
      <c r="D635" s="113" t="s">
        <v>90</v>
      </c>
      <c r="E635" s="115" t="s">
        <v>2358</v>
      </c>
      <c r="F635" s="113" t="s">
        <v>92</v>
      </c>
      <c r="G635" s="116" t="s">
        <v>2359</v>
      </c>
      <c r="H635" s="79">
        <v>46233</v>
      </c>
      <c r="I635" s="114" t="s">
        <v>79</v>
      </c>
      <c r="J635" s="117" t="s">
        <v>2360</v>
      </c>
      <c r="K635" s="118">
        <v>46225</v>
      </c>
      <c r="L635" s="114" t="s">
        <v>81</v>
      </c>
      <c r="M635" s="119">
        <v>46230</v>
      </c>
      <c r="N635" s="128">
        <v>46227</v>
      </c>
      <c r="O635" s="120">
        <f>NETWORKDAYS.INTL(K635,N635,1,$AM$2:$AM$10)-1</f>
        <v>2</v>
      </c>
      <c r="P635" s="114" t="s">
        <v>81</v>
      </c>
      <c r="Q635" s="114" t="s">
        <v>79</v>
      </c>
      <c r="R635" s="115"/>
      <c r="S635" s="145">
        <v>1373.8</v>
      </c>
      <c r="T635" s="148" t="s">
        <v>2361</v>
      </c>
      <c r="U635" s="147">
        <v>1</v>
      </c>
      <c r="V635" s="121">
        <v>6</v>
      </c>
      <c r="W635" s="121">
        <v>861</v>
      </c>
      <c r="X635" s="114" t="s">
        <v>84</v>
      </c>
      <c r="Y635" s="115" t="s">
        <v>85</v>
      </c>
      <c r="Z635" s="115" t="s">
        <v>86</v>
      </c>
      <c r="AA635" s="113" t="s">
        <v>87</v>
      </c>
      <c r="AB635" s="122">
        <v>325.89999999999998</v>
      </c>
      <c r="AC635" s="122">
        <f>IF(C635="DENALI", AB635*0.495, IF(C635="SCHNEIDER ELECTRIC", AB635*1.136, IF(C635="WWT", AB635*1.2, AC635)))+AB635</f>
        <v>696.12239999999997</v>
      </c>
      <c r="AD635" s="129">
        <f>AC635-AB635</f>
        <v>370.22239999999999</v>
      </c>
      <c r="AE635" s="122">
        <v>22132.07</v>
      </c>
      <c r="AF635" s="130">
        <f>AB635/U635</f>
        <v>325.89999999999998</v>
      </c>
      <c r="AG635" s="130">
        <f>AB635/V635</f>
        <v>54.316666666666663</v>
      </c>
      <c r="AH635" s="123">
        <f>AB635/S635</f>
        <v>0.23722521473285776</v>
      </c>
      <c r="AI635" s="124" t="s">
        <v>97</v>
      </c>
      <c r="AJ635" s="125" t="s">
        <v>2267</v>
      </c>
      <c r="AK635"/>
      <c r="AM635" s="80"/>
    </row>
    <row r="636" spans="1:39" ht="28.5" customHeight="1">
      <c r="A636" s="113" t="s">
        <v>73</v>
      </c>
      <c r="B636" s="114" t="s">
        <v>74</v>
      </c>
      <c r="C636" s="113" t="s">
        <v>35</v>
      </c>
      <c r="D636" s="113" t="s">
        <v>218</v>
      </c>
      <c r="E636" s="115" t="s">
        <v>1548</v>
      </c>
      <c r="F636" s="113" t="s">
        <v>99</v>
      </c>
      <c r="G636" s="116" t="s">
        <v>2362</v>
      </c>
      <c r="H636" s="79">
        <v>46234</v>
      </c>
      <c r="I636" s="114" t="s">
        <v>79</v>
      </c>
      <c r="J636" s="117" t="s">
        <v>2363</v>
      </c>
      <c r="K636" s="118">
        <v>46226</v>
      </c>
      <c r="L636" s="114" t="s">
        <v>81</v>
      </c>
      <c r="M636" s="119">
        <v>46232</v>
      </c>
      <c r="N636" s="128">
        <v>46231</v>
      </c>
      <c r="O636" s="120">
        <f>NETWORKDAYS.INTL(K636,N636,1,$AM$2:$AM$10)-1</f>
        <v>3</v>
      </c>
      <c r="P636" s="114" t="s">
        <v>81</v>
      </c>
      <c r="Q636" s="114" t="s">
        <v>79</v>
      </c>
      <c r="R636" s="115"/>
      <c r="S636" s="145">
        <v>2089</v>
      </c>
      <c r="T636" s="148" t="s">
        <v>1568</v>
      </c>
      <c r="U636" s="147">
        <v>2</v>
      </c>
      <c r="V636" s="121">
        <v>300</v>
      </c>
      <c r="W636" s="121">
        <v>570</v>
      </c>
      <c r="X636" s="114" t="s">
        <v>84</v>
      </c>
      <c r="Y636" s="115" t="s">
        <v>85</v>
      </c>
      <c r="Z636" s="115" t="s">
        <v>86</v>
      </c>
      <c r="AA636" s="113" t="s">
        <v>87</v>
      </c>
      <c r="AB636" s="122">
        <v>1375.65</v>
      </c>
      <c r="AC636" s="122">
        <f>IF(C636="DENALI", AB636*0.495, IF(C636="SCHNEIDER ELECTRIC", AB636*1.136, IF(C636="WWT", AB636*1.2, AC636)))+AB636</f>
        <v>2056.5967500000002</v>
      </c>
      <c r="AD636" s="129">
        <f>AC636-AB636</f>
        <v>680.94675000000007</v>
      </c>
      <c r="AE636" s="122">
        <v>32517</v>
      </c>
      <c r="AF636" s="130">
        <f>AB636/U636</f>
        <v>687.82500000000005</v>
      </c>
      <c r="AG636" s="130">
        <f>AB636/V636</f>
        <v>4.5855000000000006</v>
      </c>
      <c r="AH636" s="123">
        <f>AB636/S636</f>
        <v>0.65852082336045958</v>
      </c>
      <c r="AI636" s="124" t="s">
        <v>1044</v>
      </c>
      <c r="AJ636" s="125" t="s">
        <v>349</v>
      </c>
      <c r="AK636"/>
      <c r="AM636" s="80"/>
    </row>
    <row r="637" spans="1:39" ht="28.5" customHeight="1">
      <c r="A637" s="113" t="s">
        <v>73</v>
      </c>
      <c r="B637" s="114" t="s">
        <v>74</v>
      </c>
      <c r="C637" s="113" t="s">
        <v>36</v>
      </c>
      <c r="D637" s="113" t="s">
        <v>90</v>
      </c>
      <c r="E637" s="115" t="s">
        <v>2364</v>
      </c>
      <c r="F637" s="113" t="s">
        <v>92</v>
      </c>
      <c r="G637" s="116" t="s">
        <v>2365</v>
      </c>
      <c r="H637" s="79">
        <v>46234</v>
      </c>
      <c r="I637" s="114" t="s">
        <v>79</v>
      </c>
      <c r="J637" s="117" t="s">
        <v>2366</v>
      </c>
      <c r="K637" s="118">
        <v>46226</v>
      </c>
      <c r="L637" s="114" t="s">
        <v>81</v>
      </c>
      <c r="M637" s="119">
        <v>46231</v>
      </c>
      <c r="N637" s="128">
        <v>46230</v>
      </c>
      <c r="O637" s="120">
        <f>NETWORKDAYS.INTL(K637,N637,1,$AM$2:$AM$10)-1</f>
        <v>2</v>
      </c>
      <c r="P637" s="114" t="s">
        <v>81</v>
      </c>
      <c r="Q637" s="114" t="s">
        <v>79</v>
      </c>
      <c r="R637" s="115"/>
      <c r="S637" s="145">
        <v>1373</v>
      </c>
      <c r="T637" s="148" t="s">
        <v>2367</v>
      </c>
      <c r="U637" s="147">
        <v>4</v>
      </c>
      <c r="V637" s="121">
        <v>25</v>
      </c>
      <c r="W637" s="121">
        <v>3601</v>
      </c>
      <c r="X637" s="114" t="s">
        <v>84</v>
      </c>
      <c r="Y637" s="115" t="s">
        <v>85</v>
      </c>
      <c r="Z637" s="115" t="s">
        <v>86</v>
      </c>
      <c r="AA637" s="113" t="s">
        <v>87</v>
      </c>
      <c r="AB637" s="122">
        <v>1932.34</v>
      </c>
      <c r="AC637" s="122">
        <f>IF(C637="DENALI", AB637*0.495, IF(C637="SCHNEIDER ELECTRIC", AB637*1.136, IF(C637="WWT", AB637*1.2, AC637)))+AB637</f>
        <v>4127.4782399999995</v>
      </c>
      <c r="AD637" s="129">
        <f>AC637-AB637</f>
        <v>2195.1382399999993</v>
      </c>
      <c r="AE637" s="122">
        <v>90544.89</v>
      </c>
      <c r="AF637" s="130">
        <f>AB637/U637</f>
        <v>483.08499999999998</v>
      </c>
      <c r="AG637" s="130">
        <f>AB637/V637</f>
        <v>77.293599999999998</v>
      </c>
      <c r="AH637" s="123">
        <f>AB637/S637</f>
        <v>1.4073852876911872</v>
      </c>
      <c r="AI637" s="124" t="s">
        <v>97</v>
      </c>
      <c r="AJ637" s="125" t="s">
        <v>98</v>
      </c>
      <c r="AK637"/>
      <c r="AM637" s="80"/>
    </row>
    <row r="638" spans="1:39" ht="28.5" customHeight="1">
      <c r="A638" s="113" t="s">
        <v>73</v>
      </c>
      <c r="B638" s="114" t="s">
        <v>74</v>
      </c>
      <c r="C638" s="113" t="s">
        <v>36</v>
      </c>
      <c r="D638" s="113" t="s">
        <v>90</v>
      </c>
      <c r="E638" s="115" t="s">
        <v>751</v>
      </c>
      <c r="F638" s="113" t="s">
        <v>92</v>
      </c>
      <c r="G638" s="116">
        <v>23667140</v>
      </c>
      <c r="H638" s="79">
        <v>46234</v>
      </c>
      <c r="I638" s="114" t="s">
        <v>79</v>
      </c>
      <c r="J638" s="117" t="s">
        <v>2368</v>
      </c>
      <c r="K638" s="118">
        <v>46226</v>
      </c>
      <c r="L638" s="114" t="s">
        <v>81</v>
      </c>
      <c r="M638" s="119">
        <v>46230</v>
      </c>
      <c r="N638" s="128">
        <v>46230</v>
      </c>
      <c r="O638" s="120">
        <f>NETWORKDAYS.INTL(K638,N638,1,$AM$2:$AM$10)-1</f>
        <v>2</v>
      </c>
      <c r="P638" s="114" t="s">
        <v>81</v>
      </c>
      <c r="Q638" s="114" t="s">
        <v>79</v>
      </c>
      <c r="R638" s="115"/>
      <c r="S638" s="145">
        <v>1369</v>
      </c>
      <c r="T638" s="148" t="s">
        <v>2369</v>
      </c>
      <c r="U638" s="147">
        <v>7</v>
      </c>
      <c r="V638" s="121">
        <v>42</v>
      </c>
      <c r="W638" s="121">
        <v>6411</v>
      </c>
      <c r="X638" s="114" t="s">
        <v>113</v>
      </c>
      <c r="Y638" s="115" t="s">
        <v>85</v>
      </c>
      <c r="Z638" s="115" t="s">
        <v>2370</v>
      </c>
      <c r="AA638" s="113" t="s">
        <v>87</v>
      </c>
      <c r="AB638" s="122">
        <v>5608.69</v>
      </c>
      <c r="AC638" s="122">
        <f>IF(C638="DENALI", AB638*0.495, IF(C638="SCHNEIDER ELECTRIC", AB638*1.136, IF(C638="WWT", AB638*1.2, AC638)))+AB638</f>
        <v>11980.161839999999</v>
      </c>
      <c r="AD638" s="129">
        <f>AC638-AB638</f>
        <v>6371.4718399999992</v>
      </c>
      <c r="AE638" s="122">
        <v>171892.69</v>
      </c>
      <c r="AF638" s="130">
        <f>AB638/U638</f>
        <v>801.24142857142851</v>
      </c>
      <c r="AG638" s="130">
        <f>AB638/V638</f>
        <v>133.5402380952381</v>
      </c>
      <c r="AH638" s="123">
        <f>AB638/S638</f>
        <v>4.0969247626004384</v>
      </c>
      <c r="AI638" s="124" t="s">
        <v>97</v>
      </c>
      <c r="AJ638" s="125" t="s">
        <v>98</v>
      </c>
      <c r="AK638"/>
      <c r="AM638" s="80"/>
    </row>
    <row r="639" spans="1:39" ht="28.5" customHeight="1">
      <c r="A639" s="113" t="s">
        <v>73</v>
      </c>
      <c r="B639" s="114" t="s">
        <v>74</v>
      </c>
      <c r="C639" s="113" t="s">
        <v>36</v>
      </c>
      <c r="D639" s="113" t="s">
        <v>90</v>
      </c>
      <c r="E639" s="115" t="s">
        <v>2371</v>
      </c>
      <c r="F639" s="113" t="s">
        <v>92</v>
      </c>
      <c r="G639" s="116" t="s">
        <v>2372</v>
      </c>
      <c r="H639" s="79">
        <v>46234</v>
      </c>
      <c r="I639" s="114" t="s">
        <v>79</v>
      </c>
      <c r="J639" s="117" t="s">
        <v>2373</v>
      </c>
      <c r="K639" s="118">
        <v>46226</v>
      </c>
      <c r="L639" s="114" t="s">
        <v>81</v>
      </c>
      <c r="M639" s="119">
        <v>46231</v>
      </c>
      <c r="N639" s="128">
        <v>46230</v>
      </c>
      <c r="O639" s="120">
        <f>NETWORKDAYS.INTL(K639,N639,1,$AM$2:$AM$10)-1</f>
        <v>2</v>
      </c>
      <c r="P639" s="114" t="s">
        <v>81</v>
      </c>
      <c r="Q639" s="114" t="s">
        <v>79</v>
      </c>
      <c r="R639" s="115"/>
      <c r="S639" s="145">
        <v>1369</v>
      </c>
      <c r="T639" s="148" t="s">
        <v>2374</v>
      </c>
      <c r="U639" s="147">
        <v>1</v>
      </c>
      <c r="V639" s="121">
        <v>3</v>
      </c>
      <c r="W639" s="121">
        <v>344</v>
      </c>
      <c r="X639" s="114" t="s">
        <v>84</v>
      </c>
      <c r="Y639" s="115" t="s">
        <v>85</v>
      </c>
      <c r="Z639" s="115" t="s">
        <v>86</v>
      </c>
      <c r="AA639" s="113" t="s">
        <v>87</v>
      </c>
      <c r="AB639" s="122">
        <v>297.27999999999997</v>
      </c>
      <c r="AC639" s="122">
        <f>IF(C639="DENALI", AB639*0.495, IF(C639="SCHNEIDER ELECTRIC", AB639*1.136, IF(C639="WWT", AB639*1.2, AC639)))+AB639</f>
        <v>634.99007999999992</v>
      </c>
      <c r="AD639" s="129">
        <f>AC639-AB639</f>
        <v>337.71007999999995</v>
      </c>
      <c r="AE639" s="122">
        <v>15042.25</v>
      </c>
      <c r="AF639" s="130">
        <f>AB639/U639</f>
        <v>297.27999999999997</v>
      </c>
      <c r="AG639" s="130">
        <f>AB639/V639</f>
        <v>99.09333333333332</v>
      </c>
      <c r="AH639" s="123">
        <f>AB639/S639</f>
        <v>0.21715120525931333</v>
      </c>
      <c r="AI639" s="124" t="s">
        <v>1365</v>
      </c>
      <c r="AJ639" s="125" t="s">
        <v>2267</v>
      </c>
      <c r="AK639"/>
      <c r="AM639" s="80"/>
    </row>
    <row r="640" spans="1:39" ht="28.5" customHeight="1">
      <c r="A640" s="113" t="s">
        <v>73</v>
      </c>
      <c r="B640" s="114" t="s">
        <v>74</v>
      </c>
      <c r="C640" s="113" t="s">
        <v>36</v>
      </c>
      <c r="D640" s="113" t="s">
        <v>90</v>
      </c>
      <c r="E640" s="115" t="s">
        <v>2375</v>
      </c>
      <c r="F640" s="113" t="s">
        <v>99</v>
      </c>
      <c r="G640" s="116" t="s">
        <v>2376</v>
      </c>
      <c r="H640" s="79">
        <v>46234</v>
      </c>
      <c r="I640" s="114" t="s">
        <v>79</v>
      </c>
      <c r="J640" s="117" t="s">
        <v>2377</v>
      </c>
      <c r="K640" s="118">
        <v>46226</v>
      </c>
      <c r="L640" s="114" t="s">
        <v>81</v>
      </c>
      <c r="M640" s="119">
        <v>46230</v>
      </c>
      <c r="N640" s="128">
        <v>46232</v>
      </c>
      <c r="O640" s="120">
        <f>NETWORKDAYS.INTL(K640,N640,1,$AM$2:$AM$10)-1</f>
        <v>4</v>
      </c>
      <c r="P640" s="114" t="s">
        <v>81</v>
      </c>
      <c r="Q640" s="114" t="s">
        <v>79</v>
      </c>
      <c r="R640" s="115"/>
      <c r="S640" s="145">
        <v>1102</v>
      </c>
      <c r="T640" s="148" t="s">
        <v>2378</v>
      </c>
      <c r="U640" s="147">
        <v>1</v>
      </c>
      <c r="V640" s="121">
        <v>6</v>
      </c>
      <c r="W640" s="121">
        <v>310</v>
      </c>
      <c r="X640" s="114" t="s">
        <v>84</v>
      </c>
      <c r="Y640" s="115" t="s">
        <v>85</v>
      </c>
      <c r="Z640" s="115" t="s">
        <v>86</v>
      </c>
      <c r="AA640" s="113" t="s">
        <v>87</v>
      </c>
      <c r="AB640" s="122">
        <v>330.96</v>
      </c>
      <c r="AC640" s="122">
        <f>IF(C640="DENALI", AB640*0.495, IF(C640="SCHNEIDER ELECTRIC", AB640*1.136, IF(C640="WWT", AB640*1.2, AC640)))+AB640</f>
        <v>706.9305599999999</v>
      </c>
      <c r="AD640" s="129">
        <f>AC640-AB640</f>
        <v>375.97055999999992</v>
      </c>
      <c r="AE640" s="122">
        <v>30465.9</v>
      </c>
      <c r="AF640" s="130">
        <f>AB640/U640</f>
        <v>330.96</v>
      </c>
      <c r="AG640" s="130">
        <f>AB640/V640</f>
        <v>55.16</v>
      </c>
      <c r="AH640" s="123">
        <f>AB640/S640</f>
        <v>0.30032667876588021</v>
      </c>
      <c r="AI640" s="124" t="s">
        <v>183</v>
      </c>
      <c r="AJ640" s="125" t="s">
        <v>2249</v>
      </c>
      <c r="AK640"/>
      <c r="AM640" s="80"/>
    </row>
    <row r="641" spans="1:39" ht="28.5" customHeight="1">
      <c r="A641" s="113" t="s">
        <v>73</v>
      </c>
      <c r="B641" s="114" t="s">
        <v>74</v>
      </c>
      <c r="C641" s="113" t="s">
        <v>36</v>
      </c>
      <c r="D641" s="113" t="s">
        <v>90</v>
      </c>
      <c r="E641" s="115" t="s">
        <v>2379</v>
      </c>
      <c r="F641" s="113" t="s">
        <v>585</v>
      </c>
      <c r="G641" s="116" t="s">
        <v>2380</v>
      </c>
      <c r="H641" s="79">
        <v>46234</v>
      </c>
      <c r="I641" s="114" t="s">
        <v>79</v>
      </c>
      <c r="J641" s="117" t="s">
        <v>2381</v>
      </c>
      <c r="K641" s="118">
        <v>46226</v>
      </c>
      <c r="L641" s="114" t="s">
        <v>81</v>
      </c>
      <c r="M641" s="119">
        <v>46230</v>
      </c>
      <c r="N641" s="128">
        <v>46230</v>
      </c>
      <c r="O641" s="120">
        <f>NETWORKDAYS.INTL(K641,N641,1,$AM$2:$AM$10)-1</f>
        <v>2</v>
      </c>
      <c r="P641" s="114" t="s">
        <v>81</v>
      </c>
      <c r="Q641" s="114" t="s">
        <v>79</v>
      </c>
      <c r="R641" s="115"/>
      <c r="S641" s="145">
        <v>511</v>
      </c>
      <c r="T641" s="148" t="s">
        <v>2382</v>
      </c>
      <c r="U641" s="147">
        <v>1</v>
      </c>
      <c r="V641" s="121">
        <v>4</v>
      </c>
      <c r="W641" s="121">
        <v>233</v>
      </c>
      <c r="X641" s="114" t="s">
        <v>84</v>
      </c>
      <c r="Y641" s="115" t="s">
        <v>85</v>
      </c>
      <c r="Z641" s="115" t="s">
        <v>86</v>
      </c>
      <c r="AA641" s="113" t="s">
        <v>87</v>
      </c>
      <c r="AB641" s="122">
        <v>234.75</v>
      </c>
      <c r="AC641" s="122">
        <f>IF(C641="DENALI", AB641*0.495, IF(C641="SCHNEIDER ELECTRIC", AB641*1.136, IF(C641="WWT", AB641*1.2, AC641)))+AB641</f>
        <v>501.42599999999999</v>
      </c>
      <c r="AD641" s="129">
        <f>AC641-AB641</f>
        <v>266.67599999999999</v>
      </c>
      <c r="AE641" s="122">
        <v>27233.34</v>
      </c>
      <c r="AF641" s="130">
        <f>AB641/U641</f>
        <v>234.75</v>
      </c>
      <c r="AG641" s="130">
        <f>AB641/V641</f>
        <v>58.6875</v>
      </c>
      <c r="AH641" s="123">
        <f>AB641/S641</f>
        <v>0.45939334637964774</v>
      </c>
      <c r="AI641" s="124">
        <v>1084</v>
      </c>
      <c r="AJ641" s="125" t="s">
        <v>2249</v>
      </c>
      <c r="AK641"/>
      <c r="AM641" s="80"/>
    </row>
    <row r="642" spans="1:39" ht="28.5" customHeight="1">
      <c r="A642" s="113" t="s">
        <v>73</v>
      </c>
      <c r="B642" s="114" t="s">
        <v>74</v>
      </c>
      <c r="C642" s="113" t="s">
        <v>36</v>
      </c>
      <c r="D642" s="113" t="s">
        <v>90</v>
      </c>
      <c r="E642" s="115" t="s">
        <v>2383</v>
      </c>
      <c r="F642" s="113" t="s">
        <v>92</v>
      </c>
      <c r="G642" s="116" t="s">
        <v>2384</v>
      </c>
      <c r="H642" s="79">
        <v>46234</v>
      </c>
      <c r="I642" s="114" t="s">
        <v>79</v>
      </c>
      <c r="J642" s="117" t="s">
        <v>2385</v>
      </c>
      <c r="K642" s="118">
        <v>46226</v>
      </c>
      <c r="L642" s="114" t="s">
        <v>81</v>
      </c>
      <c r="M642" s="119">
        <v>46231</v>
      </c>
      <c r="N642" s="128">
        <v>46231</v>
      </c>
      <c r="O642" s="120">
        <f>NETWORKDAYS.INTL(K642,N642,1,$AM$2:$AM$10)-1</f>
        <v>3</v>
      </c>
      <c r="P642" s="114" t="s">
        <v>81</v>
      </c>
      <c r="Q642" s="114" t="s">
        <v>79</v>
      </c>
      <c r="R642" s="115"/>
      <c r="S642" s="145">
        <v>1362</v>
      </c>
      <c r="T642" s="148" t="s">
        <v>2386</v>
      </c>
      <c r="U642" s="147">
        <v>1</v>
      </c>
      <c r="V642" s="121">
        <v>6</v>
      </c>
      <c r="W642" s="121">
        <v>471</v>
      </c>
      <c r="X642" s="114" t="s">
        <v>84</v>
      </c>
      <c r="Y642" s="115" t="s">
        <v>85</v>
      </c>
      <c r="Z642" s="115" t="s">
        <v>86</v>
      </c>
      <c r="AA642" s="113" t="s">
        <v>87</v>
      </c>
      <c r="AB642" s="122">
        <v>322.54000000000002</v>
      </c>
      <c r="AC642" s="122">
        <f>IF(C642="DENALI", AB642*0.495, IF(C642="SCHNEIDER ELECTRIC", AB642*1.136, IF(C642="WWT", AB642*1.2, AC642)))+AB642</f>
        <v>688.94543999999996</v>
      </c>
      <c r="AD642" s="129">
        <f>AC642-AB642</f>
        <v>366.40543999999994</v>
      </c>
      <c r="AE642" s="122">
        <v>18561.84</v>
      </c>
      <c r="AF642" s="130">
        <f>AB642/U642</f>
        <v>322.54000000000002</v>
      </c>
      <c r="AG642" s="130">
        <f>AB642/V642</f>
        <v>53.756666666666668</v>
      </c>
      <c r="AH642" s="123">
        <f>AB642/S642</f>
        <v>0.23681350954478708</v>
      </c>
      <c r="AI642" s="124" t="s">
        <v>155</v>
      </c>
      <c r="AJ642" s="125" t="s">
        <v>2272</v>
      </c>
      <c r="AK642"/>
      <c r="AM642" s="80"/>
    </row>
    <row r="643" spans="1:39" ht="28.5" customHeight="1">
      <c r="A643" s="113" t="s">
        <v>73</v>
      </c>
      <c r="B643" s="114" t="s">
        <v>74</v>
      </c>
      <c r="C643" s="113" t="s">
        <v>36</v>
      </c>
      <c r="D643" s="113" t="s">
        <v>90</v>
      </c>
      <c r="E643" s="115" t="s">
        <v>2387</v>
      </c>
      <c r="F643" s="113" t="s">
        <v>90</v>
      </c>
      <c r="G643" s="116" t="s">
        <v>2388</v>
      </c>
      <c r="H643" s="79">
        <v>46234</v>
      </c>
      <c r="I643" s="114" t="s">
        <v>79</v>
      </c>
      <c r="J643" s="117" t="s">
        <v>2389</v>
      </c>
      <c r="K643" s="118">
        <v>46226</v>
      </c>
      <c r="L643" s="114" t="s">
        <v>81</v>
      </c>
      <c r="M643" s="119">
        <v>46227</v>
      </c>
      <c r="N643" s="128">
        <v>46227</v>
      </c>
      <c r="O643" s="120">
        <f>NETWORKDAYS.INTL(K643,N643,1,$AM$2:$AM$10)-1</f>
        <v>1</v>
      </c>
      <c r="P643" s="114" t="s">
        <v>81</v>
      </c>
      <c r="Q643" s="114" t="s">
        <v>79</v>
      </c>
      <c r="R643" s="115"/>
      <c r="S643" s="145">
        <v>28</v>
      </c>
      <c r="T643" s="148" t="s">
        <v>2390</v>
      </c>
      <c r="U643" s="147">
        <v>1</v>
      </c>
      <c r="V643" s="121">
        <v>7</v>
      </c>
      <c r="W643" s="121">
        <v>311</v>
      </c>
      <c r="X643" s="114" t="s">
        <v>84</v>
      </c>
      <c r="Y643" s="115" t="s">
        <v>85</v>
      </c>
      <c r="Z643" s="115" t="s">
        <v>86</v>
      </c>
      <c r="AA643" s="113" t="s">
        <v>87</v>
      </c>
      <c r="AB643" s="122">
        <v>184.25</v>
      </c>
      <c r="AC643" s="122">
        <f>IF(C643="DENALI", AB643*0.495, IF(C643="SCHNEIDER ELECTRIC", AB643*1.136, IF(C643="WWT", AB643*1.2, AC643)))+AB643</f>
        <v>393.55799999999999</v>
      </c>
      <c r="AD643" s="129">
        <f>AC643-AB643</f>
        <v>209.30799999999999</v>
      </c>
      <c r="AE643" s="122">
        <v>49835.3</v>
      </c>
      <c r="AF643" s="130">
        <f>AB643/U643</f>
        <v>184.25</v>
      </c>
      <c r="AG643" s="130">
        <f>AB643/V643</f>
        <v>26.321428571428573</v>
      </c>
      <c r="AH643" s="123">
        <f>AB643/S643</f>
        <v>6.5803571428571432</v>
      </c>
      <c r="AI643" s="124" t="s">
        <v>155</v>
      </c>
      <c r="AJ643" s="125" t="s">
        <v>2272</v>
      </c>
      <c r="AK643"/>
      <c r="AM643" s="80"/>
    </row>
    <row r="644" spans="1:39" ht="28.5" customHeight="1">
      <c r="A644" s="113" t="s">
        <v>73</v>
      </c>
      <c r="B644" s="114" t="s">
        <v>74</v>
      </c>
      <c r="C644" s="113" t="s">
        <v>36</v>
      </c>
      <c r="D644" s="113" t="s">
        <v>90</v>
      </c>
      <c r="E644" s="115" t="s">
        <v>2391</v>
      </c>
      <c r="F644" s="113" t="s">
        <v>90</v>
      </c>
      <c r="G644" s="116" t="s">
        <v>2392</v>
      </c>
      <c r="H644" s="79">
        <v>46234</v>
      </c>
      <c r="I644" s="114" t="s">
        <v>79</v>
      </c>
      <c r="J644" s="117" t="s">
        <v>2393</v>
      </c>
      <c r="K644" s="118">
        <v>46226</v>
      </c>
      <c r="L644" s="114" t="s">
        <v>81</v>
      </c>
      <c r="M644" s="119">
        <v>46227</v>
      </c>
      <c r="N644" s="128">
        <v>46230</v>
      </c>
      <c r="O644" s="120">
        <f>NETWORKDAYS.INTL(K644,N644,1,$AM$2:$AM$10)-1</f>
        <v>2</v>
      </c>
      <c r="P644" s="114" t="s">
        <v>81</v>
      </c>
      <c r="Q644" s="114" t="s">
        <v>79</v>
      </c>
      <c r="R644" s="115"/>
      <c r="S644" s="145">
        <v>341</v>
      </c>
      <c r="T644" s="148" t="s">
        <v>2394</v>
      </c>
      <c r="U644" s="147">
        <v>1</v>
      </c>
      <c r="V644" s="121">
        <v>12</v>
      </c>
      <c r="W644" s="121">
        <v>964</v>
      </c>
      <c r="X644" s="114" t="s">
        <v>84</v>
      </c>
      <c r="Y644" s="115" t="s">
        <v>85</v>
      </c>
      <c r="Z644" s="115" t="s">
        <v>86</v>
      </c>
      <c r="AA644" s="113" t="s">
        <v>87</v>
      </c>
      <c r="AB644" s="122">
        <v>254.48</v>
      </c>
      <c r="AC644" s="122">
        <f>IF(C644="DENALI", AB644*0.495, IF(C644="SCHNEIDER ELECTRIC", AB644*1.136, IF(C644="WWT", AB644*1.2, AC644)))+AB644</f>
        <v>543.56927999999994</v>
      </c>
      <c r="AD644" s="129">
        <f>AC644-AB644</f>
        <v>289.08927999999992</v>
      </c>
      <c r="AE644" s="122">
        <v>5959.2</v>
      </c>
      <c r="AF644" s="130">
        <f>AB644/U644</f>
        <v>254.48</v>
      </c>
      <c r="AG644" s="130">
        <f>AB644/V644</f>
        <v>21.206666666666667</v>
      </c>
      <c r="AH644" s="123">
        <f>AB644/S644</f>
        <v>0.74627565982404687</v>
      </c>
      <c r="AI644" s="124" t="s">
        <v>97</v>
      </c>
      <c r="AJ644" s="125" t="s">
        <v>2267</v>
      </c>
      <c r="AK644"/>
      <c r="AM644" s="80"/>
    </row>
    <row r="645" spans="1:39" ht="28.5" customHeight="1">
      <c r="A645" s="113" t="s">
        <v>73</v>
      </c>
      <c r="B645" s="114" t="s">
        <v>74</v>
      </c>
      <c r="C645" s="113" t="s">
        <v>36</v>
      </c>
      <c r="D645" s="113" t="s">
        <v>90</v>
      </c>
      <c r="E645" s="115" t="s">
        <v>2395</v>
      </c>
      <c r="F645" s="113" t="s">
        <v>90</v>
      </c>
      <c r="G645" s="116" t="s">
        <v>2396</v>
      </c>
      <c r="H645" s="79">
        <v>46234</v>
      </c>
      <c r="I645" s="114" t="s">
        <v>79</v>
      </c>
      <c r="J645" s="117" t="s">
        <v>2397</v>
      </c>
      <c r="K645" s="118">
        <v>46226</v>
      </c>
      <c r="L645" s="114" t="s">
        <v>81</v>
      </c>
      <c r="M645" s="119">
        <v>46227</v>
      </c>
      <c r="N645" s="128">
        <v>46227</v>
      </c>
      <c r="O645" s="120">
        <f>NETWORKDAYS.INTL(K645,N645,1,$AM$2:$AM$10)-1</f>
        <v>1</v>
      </c>
      <c r="P645" s="114" t="s">
        <v>81</v>
      </c>
      <c r="Q645" s="114" t="s">
        <v>79</v>
      </c>
      <c r="R645" s="115"/>
      <c r="S645" s="145">
        <v>75</v>
      </c>
      <c r="T645" s="148" t="s">
        <v>2398</v>
      </c>
      <c r="U645" s="147">
        <v>1</v>
      </c>
      <c r="V645" s="121">
        <v>5</v>
      </c>
      <c r="W645" s="121">
        <v>349</v>
      </c>
      <c r="X645" s="114" t="s">
        <v>84</v>
      </c>
      <c r="Y645" s="115" t="s">
        <v>85</v>
      </c>
      <c r="Z645" s="115" t="s">
        <v>86</v>
      </c>
      <c r="AA645" s="113" t="s">
        <v>87</v>
      </c>
      <c r="AB645" s="122">
        <v>211.91</v>
      </c>
      <c r="AC645" s="122">
        <f>IF(C645="DENALI", AB645*0.495, IF(C645="SCHNEIDER ELECTRIC", AB645*1.136, IF(C645="WWT", AB645*1.2, AC645)))+AB645</f>
        <v>452.63975999999997</v>
      </c>
      <c r="AD645" s="129">
        <f>AC645-AB645</f>
        <v>240.72975999999997</v>
      </c>
      <c r="AE645" s="122">
        <v>14865.16</v>
      </c>
      <c r="AF645" s="130">
        <f>AB645/U645</f>
        <v>211.91</v>
      </c>
      <c r="AG645" s="130">
        <f>AB645/V645</f>
        <v>42.381999999999998</v>
      </c>
      <c r="AH645" s="123">
        <f>AB645/S645</f>
        <v>2.8254666666666668</v>
      </c>
      <c r="AI645" s="124" t="s">
        <v>147</v>
      </c>
      <c r="AJ645" s="125" t="s">
        <v>2267</v>
      </c>
      <c r="AK645"/>
      <c r="AM645" s="80"/>
    </row>
    <row r="646" spans="1:39" ht="28.5" customHeight="1">
      <c r="A646" s="113" t="s">
        <v>73</v>
      </c>
      <c r="B646" s="114" t="s">
        <v>74</v>
      </c>
      <c r="C646" s="113" t="s">
        <v>36</v>
      </c>
      <c r="D646" s="113" t="s">
        <v>90</v>
      </c>
      <c r="E646" s="115" t="s">
        <v>2399</v>
      </c>
      <c r="F646" s="113" t="s">
        <v>92</v>
      </c>
      <c r="G646" s="116" t="s">
        <v>2400</v>
      </c>
      <c r="H646" s="79">
        <v>46234</v>
      </c>
      <c r="I646" s="114" t="s">
        <v>79</v>
      </c>
      <c r="J646" s="117" t="s">
        <v>2401</v>
      </c>
      <c r="K646" s="118">
        <v>46226</v>
      </c>
      <c r="L646" s="114" t="s">
        <v>81</v>
      </c>
      <c r="M646" s="119">
        <v>46231</v>
      </c>
      <c r="N646" s="128">
        <v>46231</v>
      </c>
      <c r="O646" s="120">
        <f>NETWORKDAYS.INTL(K646,N646,1,$AM$2:$AM$10)-1</f>
        <v>3</v>
      </c>
      <c r="P646" s="114" t="s">
        <v>81</v>
      </c>
      <c r="Q646" s="114" t="s">
        <v>79</v>
      </c>
      <c r="R646" s="115"/>
      <c r="S646" s="145">
        <v>1423</v>
      </c>
      <c r="T646" s="148" t="s">
        <v>2402</v>
      </c>
      <c r="U646" s="147">
        <v>1</v>
      </c>
      <c r="V646" s="121">
        <v>7</v>
      </c>
      <c r="W646" s="121">
        <v>620</v>
      </c>
      <c r="X646" s="114" t="s">
        <v>84</v>
      </c>
      <c r="Y646" s="115" t="s">
        <v>85</v>
      </c>
      <c r="Z646" s="115" t="s">
        <v>86</v>
      </c>
      <c r="AA646" s="113" t="s">
        <v>87</v>
      </c>
      <c r="AB646" s="122">
        <v>306.91000000000003</v>
      </c>
      <c r="AC646" s="122">
        <f>IF(C646="DENALI", AB646*0.495, IF(C646="SCHNEIDER ELECTRIC", AB646*1.136, IF(C646="WWT", AB646*1.2, AC646)))+AB646</f>
        <v>655.5597600000001</v>
      </c>
      <c r="AD646" s="129">
        <f>AC646-AB646</f>
        <v>348.64976000000007</v>
      </c>
      <c r="AE646" s="122">
        <v>13397.97</v>
      </c>
      <c r="AF646" s="130">
        <f>AB646/U646</f>
        <v>306.91000000000003</v>
      </c>
      <c r="AG646" s="130">
        <f>AB646/V646</f>
        <v>43.844285714285718</v>
      </c>
      <c r="AH646" s="123">
        <f>AB646/S646</f>
        <v>0.21567814476458189</v>
      </c>
      <c r="AI646" s="124" t="s">
        <v>155</v>
      </c>
      <c r="AJ646" s="125" t="s">
        <v>2272</v>
      </c>
      <c r="AK646"/>
      <c r="AM646" s="80"/>
    </row>
    <row r="647" spans="1:39" ht="28.5" customHeight="1">
      <c r="A647" s="113" t="s">
        <v>73</v>
      </c>
      <c r="B647" s="114" t="s">
        <v>74</v>
      </c>
      <c r="C647" s="113" t="s">
        <v>36</v>
      </c>
      <c r="D647" s="113" t="s">
        <v>90</v>
      </c>
      <c r="E647" s="115" t="s">
        <v>2403</v>
      </c>
      <c r="F647" s="113" t="s">
        <v>2404</v>
      </c>
      <c r="G647" s="116" t="s">
        <v>2405</v>
      </c>
      <c r="H647" s="79">
        <v>46234</v>
      </c>
      <c r="I647" s="114" t="s">
        <v>79</v>
      </c>
      <c r="J647" s="117" t="s">
        <v>2406</v>
      </c>
      <c r="K647" s="118">
        <v>46226</v>
      </c>
      <c r="L647" s="114" t="s">
        <v>81</v>
      </c>
      <c r="M647" s="119">
        <v>46231</v>
      </c>
      <c r="N647" s="128">
        <v>46230</v>
      </c>
      <c r="O647" s="120">
        <f>NETWORKDAYS.INTL(K647,N647,1,$AM$2:$AM$10)-1</f>
        <v>2</v>
      </c>
      <c r="P647" s="114" t="s">
        <v>81</v>
      </c>
      <c r="Q647" s="114" t="s">
        <v>79</v>
      </c>
      <c r="R647" s="115"/>
      <c r="S647" s="145">
        <v>1205</v>
      </c>
      <c r="T647" s="148" t="s">
        <v>2407</v>
      </c>
      <c r="U647" s="147">
        <v>1</v>
      </c>
      <c r="V647" s="121">
        <v>3</v>
      </c>
      <c r="W647" s="121">
        <v>195</v>
      </c>
      <c r="X647" s="114" t="s">
        <v>84</v>
      </c>
      <c r="Y647" s="115" t="s">
        <v>85</v>
      </c>
      <c r="Z647" s="115" t="s">
        <v>86</v>
      </c>
      <c r="AA647" s="113" t="s">
        <v>87</v>
      </c>
      <c r="AB647" s="122">
        <v>315.32</v>
      </c>
      <c r="AC647" s="122">
        <f>IF(C647="DENALI", AB647*0.495, IF(C647="SCHNEIDER ELECTRIC", AB647*1.136, IF(C647="WWT", AB647*1.2, AC647)))+AB647</f>
        <v>673.52351999999996</v>
      </c>
      <c r="AD647" s="129">
        <f>AC647-AB647</f>
        <v>358.20351999999997</v>
      </c>
      <c r="AE647" s="122">
        <v>31296.07</v>
      </c>
      <c r="AF647" s="130">
        <f>AB647/U647</f>
        <v>315.32</v>
      </c>
      <c r="AG647" s="130">
        <f>AB647/V647</f>
        <v>105.10666666666667</v>
      </c>
      <c r="AH647" s="123">
        <f>AB647/S647</f>
        <v>0.26167634854771782</v>
      </c>
      <c r="AI647" s="124" t="s">
        <v>183</v>
      </c>
      <c r="AJ647" s="125" t="s">
        <v>2249</v>
      </c>
      <c r="AK647"/>
      <c r="AM647" s="80"/>
    </row>
    <row r="648" spans="1:39" ht="28.5" customHeight="1">
      <c r="A648" s="113" t="s">
        <v>73</v>
      </c>
      <c r="B648" s="114" t="s">
        <v>74</v>
      </c>
      <c r="C648" s="113" t="s">
        <v>36</v>
      </c>
      <c r="D648" s="113" t="s">
        <v>90</v>
      </c>
      <c r="E648" s="115" t="s">
        <v>2408</v>
      </c>
      <c r="F648" s="113" t="s">
        <v>99</v>
      </c>
      <c r="G648" s="116" t="s">
        <v>2409</v>
      </c>
      <c r="H648" s="79">
        <v>46234</v>
      </c>
      <c r="I648" s="114" t="s">
        <v>79</v>
      </c>
      <c r="J648" s="117" t="s">
        <v>2410</v>
      </c>
      <c r="K648" s="118">
        <v>46226</v>
      </c>
      <c r="L648" s="114" t="s">
        <v>81</v>
      </c>
      <c r="M648" s="119">
        <v>46230</v>
      </c>
      <c r="N648" s="128">
        <v>46248</v>
      </c>
      <c r="O648" s="120">
        <f>NETWORKDAYS.INTL(K648,N648,1,$AM$2:$AM$10)-1</f>
        <v>16</v>
      </c>
      <c r="P648" s="114" t="s">
        <v>79</v>
      </c>
      <c r="Q648" s="114" t="s">
        <v>81</v>
      </c>
      <c r="R648" s="115" t="s">
        <v>2411</v>
      </c>
      <c r="S648" s="145">
        <v>1157</v>
      </c>
      <c r="T648" s="148" t="s">
        <v>2412</v>
      </c>
      <c r="U648" s="147">
        <v>1</v>
      </c>
      <c r="V648" s="121">
        <v>6</v>
      </c>
      <c r="W648" s="121">
        <v>310</v>
      </c>
      <c r="X648" s="114" t="s">
        <v>84</v>
      </c>
      <c r="Y648" s="115" t="s">
        <v>85</v>
      </c>
      <c r="Z648" s="115" t="s">
        <v>86</v>
      </c>
      <c r="AA648" s="113" t="s">
        <v>87</v>
      </c>
      <c r="AB648" s="122">
        <v>315.42</v>
      </c>
      <c r="AC648" s="122">
        <f>IF(C648="DENALI", AB648*0.495, IF(C648="SCHNEIDER ELECTRIC", AB648*1.136, IF(C648="WWT", AB648*1.2, AC648)))+AB648</f>
        <v>673.73712</v>
      </c>
      <c r="AD648" s="129">
        <f>AC648-AB648</f>
        <v>358.31711999999999</v>
      </c>
      <c r="AE648" s="122">
        <v>31669.9</v>
      </c>
      <c r="AF648" s="130">
        <f>AB648/U648</f>
        <v>315.42</v>
      </c>
      <c r="AG648" s="130">
        <f>AB648/V648</f>
        <v>52.57</v>
      </c>
      <c r="AH648" s="123">
        <f>AB648/S648</f>
        <v>0.27261884183232499</v>
      </c>
      <c r="AI648" s="124" t="s">
        <v>1508</v>
      </c>
      <c r="AJ648" s="125" t="s">
        <v>2413</v>
      </c>
      <c r="AK648"/>
      <c r="AM648" s="80"/>
    </row>
    <row r="649" spans="1:39" ht="28.5" customHeight="1">
      <c r="A649" s="113" t="s">
        <v>73</v>
      </c>
      <c r="B649" s="114" t="s">
        <v>74</v>
      </c>
      <c r="C649" s="113" t="s">
        <v>36</v>
      </c>
      <c r="D649" s="113" t="s">
        <v>90</v>
      </c>
      <c r="E649" s="115" t="s">
        <v>2414</v>
      </c>
      <c r="F649" s="113" t="s">
        <v>90</v>
      </c>
      <c r="G649" s="116" t="s">
        <v>2415</v>
      </c>
      <c r="H649" s="79">
        <v>46234</v>
      </c>
      <c r="I649" s="114" t="s">
        <v>79</v>
      </c>
      <c r="J649" s="117" t="s">
        <v>2416</v>
      </c>
      <c r="K649" s="118">
        <v>46226</v>
      </c>
      <c r="L649" s="114" t="s">
        <v>81</v>
      </c>
      <c r="M649" s="119">
        <v>46227</v>
      </c>
      <c r="N649" s="128">
        <v>46227</v>
      </c>
      <c r="O649" s="120">
        <f>NETWORKDAYS.INTL(K649,N649,1,$AM$2:$AM$10)-1</f>
        <v>1</v>
      </c>
      <c r="P649" s="114" t="s">
        <v>81</v>
      </c>
      <c r="Q649" s="114" t="s">
        <v>79</v>
      </c>
      <c r="R649" s="115"/>
      <c r="S649" s="145">
        <v>23</v>
      </c>
      <c r="T649" s="148" t="s">
        <v>2417</v>
      </c>
      <c r="U649" s="147">
        <v>1</v>
      </c>
      <c r="V649" s="121">
        <v>4</v>
      </c>
      <c r="W649" s="121">
        <v>272</v>
      </c>
      <c r="X649" s="114" t="s">
        <v>84</v>
      </c>
      <c r="Y649" s="115" t="s">
        <v>85</v>
      </c>
      <c r="Z649" s="115" t="s">
        <v>86</v>
      </c>
      <c r="AA649" s="113" t="s">
        <v>87</v>
      </c>
      <c r="AB649" s="122">
        <v>189.06</v>
      </c>
      <c r="AC649" s="122">
        <f>IF(C649="DENALI", AB649*0.495, IF(C649="SCHNEIDER ELECTRIC", AB649*1.136, IF(C649="WWT", AB649*1.2, AC649)))+AB649</f>
        <v>403.83215999999999</v>
      </c>
      <c r="AD649" s="129">
        <f>AC649-AB649</f>
        <v>214.77215999999999</v>
      </c>
      <c r="AE649" s="122">
        <v>9477.56</v>
      </c>
      <c r="AF649" s="130">
        <f>AB649/U649</f>
        <v>189.06</v>
      </c>
      <c r="AG649" s="130">
        <f>AB649/V649</f>
        <v>47.265000000000001</v>
      </c>
      <c r="AH649" s="123">
        <f>AB649/S649</f>
        <v>8.2200000000000006</v>
      </c>
      <c r="AI649" s="124" t="s">
        <v>97</v>
      </c>
      <c r="AJ649" s="125" t="s">
        <v>2267</v>
      </c>
      <c r="AK649"/>
      <c r="AM649" s="80"/>
    </row>
    <row r="650" spans="1:39" ht="106.5">
      <c r="A650" s="113" t="s">
        <v>73</v>
      </c>
      <c r="B650" s="114" t="s">
        <v>74</v>
      </c>
      <c r="C650" s="113" t="s">
        <v>35</v>
      </c>
      <c r="D650" s="113" t="s">
        <v>99</v>
      </c>
      <c r="E650" s="115" t="s">
        <v>141</v>
      </c>
      <c r="F650" s="113" t="s">
        <v>142</v>
      </c>
      <c r="G650" s="116">
        <v>23669551</v>
      </c>
      <c r="H650" s="79">
        <v>46237</v>
      </c>
      <c r="I650" s="114" t="s">
        <v>79</v>
      </c>
      <c r="J650" s="117" t="s">
        <v>2418</v>
      </c>
      <c r="K650" s="118">
        <v>46227</v>
      </c>
      <c r="L650" s="114" t="s">
        <v>81</v>
      </c>
      <c r="M650" s="119">
        <v>46231</v>
      </c>
      <c r="N650" s="128">
        <v>46231</v>
      </c>
      <c r="O650" s="120">
        <f>NETWORKDAYS.INTL(K650,N650,1,$AM$2:$AM$10)-1</f>
        <v>2</v>
      </c>
      <c r="P650" s="114" t="s">
        <v>81</v>
      </c>
      <c r="Q650" s="114" t="s">
        <v>79</v>
      </c>
      <c r="R650" s="115"/>
      <c r="S650" s="145">
        <v>2432</v>
      </c>
      <c r="T650" s="148" t="s">
        <v>2419</v>
      </c>
      <c r="U650" s="147">
        <v>20</v>
      </c>
      <c r="V650" s="121">
        <v>20</v>
      </c>
      <c r="W650" s="121">
        <v>10000</v>
      </c>
      <c r="X650" s="114" t="s">
        <v>113</v>
      </c>
      <c r="Y650" s="115" t="s">
        <v>85</v>
      </c>
      <c r="Z650" s="115" t="s">
        <v>2420</v>
      </c>
      <c r="AA650" s="113" t="s">
        <v>87</v>
      </c>
      <c r="AB650" s="122">
        <v>5401.2</v>
      </c>
      <c r="AC650" s="122">
        <f>IF(C650="DENALI", AB650*0.495, IF(C650="SCHNEIDER ELECTRIC", AB650*1.136, IF(C650="WWT", AB650*1.2, AC650)))+AB650</f>
        <v>8074.7939999999999</v>
      </c>
      <c r="AD650" s="129">
        <f>AC650-AB650</f>
        <v>2673.5940000000001</v>
      </c>
      <c r="AE650" s="122">
        <v>37106.559999999998</v>
      </c>
      <c r="AF650" s="130">
        <f>AB650/U650</f>
        <v>270.06</v>
      </c>
      <c r="AG650" s="130">
        <f>AB650/V650</f>
        <v>270.06</v>
      </c>
      <c r="AH650" s="123">
        <f>AB650/S650</f>
        <v>2.2208881578947368</v>
      </c>
      <c r="AI650" s="124" t="s">
        <v>183</v>
      </c>
      <c r="AJ650" s="125" t="s">
        <v>89</v>
      </c>
      <c r="AK650"/>
      <c r="AM650" s="80"/>
    </row>
    <row r="651" spans="1:39" ht="28.5" customHeight="1">
      <c r="A651" s="113" t="s">
        <v>73</v>
      </c>
      <c r="B651" s="114" t="s">
        <v>74</v>
      </c>
      <c r="C651" s="113" t="s">
        <v>36</v>
      </c>
      <c r="D651" s="113" t="s">
        <v>90</v>
      </c>
      <c r="E651" s="115" t="s">
        <v>2421</v>
      </c>
      <c r="F651" s="113" t="s">
        <v>90</v>
      </c>
      <c r="G651" s="116" t="s">
        <v>2422</v>
      </c>
      <c r="H651" s="79">
        <v>46234</v>
      </c>
      <c r="I651" s="114" t="s">
        <v>79</v>
      </c>
      <c r="J651" s="117" t="s">
        <v>2423</v>
      </c>
      <c r="K651" s="118">
        <v>46226</v>
      </c>
      <c r="L651" s="114" t="s">
        <v>81</v>
      </c>
      <c r="M651" s="119">
        <v>46227</v>
      </c>
      <c r="N651" s="128">
        <v>46227</v>
      </c>
      <c r="O651" s="120">
        <f>NETWORKDAYS.INTL(K651,N651,1,$AM$2:$AM$10)-1</f>
        <v>1</v>
      </c>
      <c r="P651" s="114" t="s">
        <v>81</v>
      </c>
      <c r="Q651" s="114" t="s">
        <v>79</v>
      </c>
      <c r="R651" s="115"/>
      <c r="S651" s="145">
        <v>23</v>
      </c>
      <c r="T651" s="148" t="s">
        <v>2424</v>
      </c>
      <c r="U651" s="147">
        <v>1</v>
      </c>
      <c r="V651" s="121">
        <v>6</v>
      </c>
      <c r="W651" s="121">
        <v>502</v>
      </c>
      <c r="X651" s="114" t="s">
        <v>84</v>
      </c>
      <c r="Y651" s="115" t="s">
        <v>85</v>
      </c>
      <c r="Z651" s="115" t="s">
        <v>86</v>
      </c>
      <c r="AA651" s="113" t="s">
        <v>87</v>
      </c>
      <c r="AB651" s="122">
        <v>189.06</v>
      </c>
      <c r="AC651" s="122">
        <f>IF(C651="DENALI", AB651*0.495, IF(C651="SCHNEIDER ELECTRIC", AB651*1.136, IF(C651="WWT", AB651*1.2, AC651)))+AB651</f>
        <v>403.83215999999999</v>
      </c>
      <c r="AD651" s="129">
        <f>AC651-AB651</f>
        <v>214.77215999999999</v>
      </c>
      <c r="AE651" s="122">
        <v>2979.6</v>
      </c>
      <c r="AF651" s="130">
        <f>AB651/U651</f>
        <v>189.06</v>
      </c>
      <c r="AG651" s="130">
        <f>AB651/V651</f>
        <v>31.51</v>
      </c>
      <c r="AH651" s="123">
        <f>AB651/S651</f>
        <v>8.2200000000000006</v>
      </c>
      <c r="AI651" s="124" t="s">
        <v>97</v>
      </c>
      <c r="AJ651" s="125" t="s">
        <v>2267</v>
      </c>
      <c r="AK651"/>
      <c r="AM651" s="80"/>
    </row>
    <row r="652" spans="1:39" ht="28.5" customHeight="1">
      <c r="A652" s="113" t="s">
        <v>73</v>
      </c>
      <c r="B652" s="114" t="s">
        <v>140</v>
      </c>
      <c r="C652" s="113" t="s">
        <v>36</v>
      </c>
      <c r="D652" s="113" t="s">
        <v>90</v>
      </c>
      <c r="E652" s="115" t="s">
        <v>2425</v>
      </c>
      <c r="F652" s="113" t="s">
        <v>90</v>
      </c>
      <c r="G652" s="116" t="s">
        <v>2426</v>
      </c>
      <c r="H652" s="79">
        <v>46234</v>
      </c>
      <c r="I652" s="114" t="s">
        <v>79</v>
      </c>
      <c r="J652" s="117" t="s">
        <v>2427</v>
      </c>
      <c r="K652" s="118">
        <v>46226</v>
      </c>
      <c r="L652" s="114" t="s">
        <v>81</v>
      </c>
      <c r="M652" s="119">
        <v>46230</v>
      </c>
      <c r="N652" s="128">
        <v>46227</v>
      </c>
      <c r="O652" s="120">
        <f>NETWORKDAYS.INTL(K652,N652,1,$AM$2:$AM$10)-1</f>
        <v>1</v>
      </c>
      <c r="P652" s="114" t="s">
        <v>81</v>
      </c>
      <c r="Q652" s="114" t="s">
        <v>79</v>
      </c>
      <c r="R652" s="115"/>
      <c r="S652" s="145">
        <v>125</v>
      </c>
      <c r="T652" s="148" t="s">
        <v>2428</v>
      </c>
      <c r="U652" s="147">
        <v>1</v>
      </c>
      <c r="V652" s="121">
        <v>7</v>
      </c>
      <c r="W652" s="121">
        <v>349</v>
      </c>
      <c r="X652" s="114" t="s">
        <v>84</v>
      </c>
      <c r="Y652" s="115" t="s">
        <v>85</v>
      </c>
      <c r="Z652" s="115" t="s">
        <v>86</v>
      </c>
      <c r="AA652" s="113" t="s">
        <v>87</v>
      </c>
      <c r="AB652" s="122">
        <v>191.47</v>
      </c>
      <c r="AC652" s="122">
        <f>IF(C652="DENALI", AB652*0.495, IF(C652="SCHNEIDER ELECTRIC", AB652*1.136, IF(C652="WWT", AB652*1.2, AC652)))+AB652</f>
        <v>408.97991999999999</v>
      </c>
      <c r="AD652" s="129">
        <f>AC652-AB652</f>
        <v>217.50991999999999</v>
      </c>
      <c r="AE652" s="122">
        <v>23497.08</v>
      </c>
      <c r="AF652" s="130">
        <f>AB652/U652</f>
        <v>191.47</v>
      </c>
      <c r="AG652" s="130">
        <f>AB652/V652</f>
        <v>27.352857142857143</v>
      </c>
      <c r="AH652" s="123">
        <f>AB652/S652</f>
        <v>1.53176</v>
      </c>
      <c r="AI652" s="124" t="s">
        <v>155</v>
      </c>
      <c r="AJ652" s="125" t="s">
        <v>98</v>
      </c>
      <c r="AK652"/>
      <c r="AM652" s="80"/>
    </row>
    <row r="653" spans="1:39" ht="28.5" customHeight="1">
      <c r="A653" s="113" t="s">
        <v>73</v>
      </c>
      <c r="B653" s="114" t="s">
        <v>74</v>
      </c>
      <c r="C653" s="113" t="s">
        <v>36</v>
      </c>
      <c r="D653" s="113" t="s">
        <v>90</v>
      </c>
      <c r="E653" s="115" t="s">
        <v>2429</v>
      </c>
      <c r="F653" s="113" t="s">
        <v>90</v>
      </c>
      <c r="G653" s="116" t="s">
        <v>2430</v>
      </c>
      <c r="H653" s="79">
        <v>46234</v>
      </c>
      <c r="I653" s="114" t="s">
        <v>79</v>
      </c>
      <c r="J653" s="117" t="s">
        <v>2431</v>
      </c>
      <c r="K653" s="118">
        <v>46226</v>
      </c>
      <c r="L653" s="114" t="s">
        <v>81</v>
      </c>
      <c r="M653" s="119">
        <v>46227</v>
      </c>
      <c r="N653" s="128">
        <v>46230</v>
      </c>
      <c r="O653" s="120">
        <f>NETWORKDAYS.INTL(K653,N653,1,$AM$2:$AM$10)-1</f>
        <v>2</v>
      </c>
      <c r="P653" s="114" t="s">
        <v>81</v>
      </c>
      <c r="Q653" s="114" t="s">
        <v>79</v>
      </c>
      <c r="R653" s="115"/>
      <c r="S653" s="145">
        <v>340</v>
      </c>
      <c r="T653" s="148" t="s">
        <v>2432</v>
      </c>
      <c r="U653" s="147">
        <v>1</v>
      </c>
      <c r="V653" s="121">
        <v>3</v>
      </c>
      <c r="W653" s="121">
        <v>233</v>
      </c>
      <c r="X653" s="114" t="s">
        <v>84</v>
      </c>
      <c r="Y653" s="115" t="s">
        <v>85</v>
      </c>
      <c r="Z653" s="115" t="s">
        <v>86</v>
      </c>
      <c r="AA653" s="113" t="s">
        <v>87</v>
      </c>
      <c r="AB653" s="122">
        <v>226.34</v>
      </c>
      <c r="AC653" s="122">
        <f>IF(C653="DENALI", AB653*0.495, IF(C653="SCHNEIDER ELECTRIC", AB653*1.136, IF(C653="WWT", AB653*1.2, AC653)))+AB653</f>
        <v>483.46223999999995</v>
      </c>
      <c r="AD653" s="129">
        <f>AC653-AB653</f>
        <v>257.12223999999992</v>
      </c>
      <c r="AE653" s="122">
        <v>11194.58</v>
      </c>
      <c r="AF653" s="130">
        <f>AB653/U653</f>
        <v>226.34</v>
      </c>
      <c r="AG653" s="130">
        <f>AB653/V653</f>
        <v>75.446666666666673</v>
      </c>
      <c r="AH653" s="123">
        <f>AB653/S653</f>
        <v>0.66570588235294115</v>
      </c>
      <c r="AI653" s="124" t="s">
        <v>97</v>
      </c>
      <c r="AJ653" s="125" t="s">
        <v>2267</v>
      </c>
      <c r="AK653"/>
      <c r="AM653" s="80"/>
    </row>
    <row r="654" spans="1:39" ht="28.5" customHeight="1">
      <c r="A654" s="113" t="s">
        <v>73</v>
      </c>
      <c r="B654" s="114" t="s">
        <v>74</v>
      </c>
      <c r="C654" s="113" t="s">
        <v>36</v>
      </c>
      <c r="D654" s="113" t="s">
        <v>90</v>
      </c>
      <c r="E654" s="115" t="s">
        <v>2433</v>
      </c>
      <c r="F654" s="113" t="s">
        <v>92</v>
      </c>
      <c r="G654" s="116" t="s">
        <v>2434</v>
      </c>
      <c r="H654" s="79">
        <v>46234</v>
      </c>
      <c r="I654" s="114" t="s">
        <v>79</v>
      </c>
      <c r="J654" s="117" t="s">
        <v>2435</v>
      </c>
      <c r="K654" s="118">
        <v>46227</v>
      </c>
      <c r="L654" s="114" t="s">
        <v>81</v>
      </c>
      <c r="M654" s="119">
        <v>46232</v>
      </c>
      <c r="N654" s="128">
        <v>46231</v>
      </c>
      <c r="O654" s="120">
        <f>NETWORKDAYS.INTL(K654,N654,1,$AM$2:$AM$10)-1</f>
        <v>2</v>
      </c>
      <c r="P654" s="114" t="s">
        <v>81</v>
      </c>
      <c r="Q654" s="114" t="s">
        <v>79</v>
      </c>
      <c r="R654" s="115"/>
      <c r="S654" s="145">
        <v>1370</v>
      </c>
      <c r="T654" s="148" t="s">
        <v>2436</v>
      </c>
      <c r="U654" s="147">
        <v>1</v>
      </c>
      <c r="V654" s="121">
        <v>8</v>
      </c>
      <c r="W654" s="121">
        <v>659</v>
      </c>
      <c r="X654" s="114" t="s">
        <v>84</v>
      </c>
      <c r="Y654" s="115" t="s">
        <v>85</v>
      </c>
      <c r="Z654" s="115" t="s">
        <v>86</v>
      </c>
      <c r="AA654" s="113" t="s">
        <v>87</v>
      </c>
      <c r="AB654" s="122">
        <v>322.54000000000002</v>
      </c>
      <c r="AC654" s="122">
        <f>IF(C654="DENALI", AB654*0.495, IF(C654="SCHNEIDER ELECTRIC", AB654*1.136, IF(C654="WWT", AB654*1.2, AC654)))+AB654</f>
        <v>688.94543999999996</v>
      </c>
      <c r="AD654" s="129">
        <f>AC654-AB654</f>
        <v>366.40543999999994</v>
      </c>
      <c r="AE654" s="122">
        <v>41510.11</v>
      </c>
      <c r="AF654" s="130">
        <f>AB654/U654</f>
        <v>322.54000000000002</v>
      </c>
      <c r="AG654" s="130">
        <f>AB654/V654</f>
        <v>40.317500000000003</v>
      </c>
      <c r="AH654" s="123">
        <f>AB654/S654</f>
        <v>0.23543065693430659</v>
      </c>
      <c r="AI654" s="124" t="s">
        <v>155</v>
      </c>
      <c r="AJ654" s="125" t="s">
        <v>2272</v>
      </c>
      <c r="AK654"/>
      <c r="AM654" s="80"/>
    </row>
    <row r="655" spans="1:39" ht="28.5" customHeight="1">
      <c r="A655" s="113" t="s">
        <v>73</v>
      </c>
      <c r="B655" s="114" t="s">
        <v>74</v>
      </c>
      <c r="C655" s="113" t="s">
        <v>36</v>
      </c>
      <c r="D655" s="113" t="s">
        <v>90</v>
      </c>
      <c r="E655" s="115" t="s">
        <v>2437</v>
      </c>
      <c r="F655" s="113" t="s">
        <v>90</v>
      </c>
      <c r="G655" s="116" t="s">
        <v>2438</v>
      </c>
      <c r="H655" s="79">
        <v>46237</v>
      </c>
      <c r="I655" s="114" t="s">
        <v>79</v>
      </c>
      <c r="J655" s="117" t="s">
        <v>2439</v>
      </c>
      <c r="K655" s="118">
        <v>46227</v>
      </c>
      <c r="L655" s="114" t="s">
        <v>81</v>
      </c>
      <c r="M655" s="119">
        <v>46230</v>
      </c>
      <c r="N655" s="128">
        <v>46227</v>
      </c>
      <c r="O655" s="120">
        <f>NETWORKDAYS.INTL(K655,N655,1,$AM$2:$AM$10)-1</f>
        <v>0</v>
      </c>
      <c r="P655" s="114" t="s">
        <v>81</v>
      </c>
      <c r="Q655" s="114" t="s">
        <v>79</v>
      </c>
      <c r="R655" s="115"/>
      <c r="S655" s="145">
        <v>23</v>
      </c>
      <c r="T655" s="148" t="s">
        <v>2440</v>
      </c>
      <c r="U655" s="147">
        <v>1</v>
      </c>
      <c r="V655" s="121">
        <v>9</v>
      </c>
      <c r="W655" s="121">
        <v>272</v>
      </c>
      <c r="X655" s="114" t="s">
        <v>84</v>
      </c>
      <c r="Y655" s="115" t="s">
        <v>85</v>
      </c>
      <c r="Z655" s="115" t="s">
        <v>86</v>
      </c>
      <c r="AA655" s="113" t="s">
        <v>87</v>
      </c>
      <c r="AB655" s="122">
        <v>491.02</v>
      </c>
      <c r="AC655" s="122">
        <f>IF(C655="DENALI", AB655*0.495, IF(C655="SCHNEIDER ELECTRIC", AB655*1.136, IF(C655="WWT", AB655*1.2, AC655)))+AB655</f>
        <v>1048.8187199999998</v>
      </c>
      <c r="AD655" s="129">
        <f>AC655-AB655</f>
        <v>557.79871999999978</v>
      </c>
      <c r="AE655" s="122">
        <v>297717.76000000001</v>
      </c>
      <c r="AF655" s="130">
        <f>AB655/U655</f>
        <v>491.02</v>
      </c>
      <c r="AG655" s="130">
        <f>AB655/V655</f>
        <v>54.557777777777773</v>
      </c>
      <c r="AH655" s="123">
        <f>AB655/S655</f>
        <v>21.348695652173912</v>
      </c>
      <c r="AI655" s="124" t="s">
        <v>97</v>
      </c>
      <c r="AJ655" s="125" t="s">
        <v>98</v>
      </c>
      <c r="AK655"/>
      <c r="AM655" s="80"/>
    </row>
    <row r="656" spans="1:39" ht="28.5" customHeight="1">
      <c r="A656" s="113" t="s">
        <v>73</v>
      </c>
      <c r="B656" s="114" t="s">
        <v>74</v>
      </c>
      <c r="C656" s="113" t="s">
        <v>36</v>
      </c>
      <c r="D656" s="113" t="s">
        <v>90</v>
      </c>
      <c r="E656" s="115" t="s">
        <v>2282</v>
      </c>
      <c r="F656" s="113" t="s">
        <v>92</v>
      </c>
      <c r="G656" s="116" t="s">
        <v>2441</v>
      </c>
      <c r="H656" s="79">
        <v>46234</v>
      </c>
      <c r="I656" s="114" t="s">
        <v>79</v>
      </c>
      <c r="J656" s="117" t="s">
        <v>2442</v>
      </c>
      <c r="K656" s="118">
        <v>46226</v>
      </c>
      <c r="L656" s="114" t="s">
        <v>81</v>
      </c>
      <c r="M656" s="119">
        <v>46232</v>
      </c>
      <c r="N656" s="128">
        <v>46232</v>
      </c>
      <c r="O656" s="120">
        <f>NETWORKDAYS.INTL(K656,N656,1,$AM$2:$AM$10)-1</f>
        <v>4</v>
      </c>
      <c r="P656" s="114" t="s">
        <v>81</v>
      </c>
      <c r="Q656" s="114" t="s">
        <v>79</v>
      </c>
      <c r="R656" s="115"/>
      <c r="S656" s="145">
        <v>1414</v>
      </c>
      <c r="T656" s="148" t="s">
        <v>2286</v>
      </c>
      <c r="U656" s="147">
        <v>1</v>
      </c>
      <c r="V656" s="121">
        <v>3</v>
      </c>
      <c r="W656" s="121">
        <v>256</v>
      </c>
      <c r="X656" s="114" t="s">
        <v>84</v>
      </c>
      <c r="Y656" s="115" t="s">
        <v>85</v>
      </c>
      <c r="Z656" s="115" t="s">
        <v>86</v>
      </c>
      <c r="AA656" s="113" t="s">
        <v>87</v>
      </c>
      <c r="AB656" s="122">
        <v>640.91</v>
      </c>
      <c r="AC656" s="122">
        <f>IF(C656="DENALI", AB656*0.495, IF(C656="SCHNEIDER ELECTRIC", AB656*1.136, IF(C656="WWT", AB656*1.2, AC656)))+AB656</f>
        <v>1368.9837599999998</v>
      </c>
      <c r="AD656" s="129">
        <f>AC656-AB656</f>
        <v>728.07375999999988</v>
      </c>
      <c r="AE656" s="122">
        <v>23497.08</v>
      </c>
      <c r="AF656" s="130">
        <f>AB656/U656</f>
        <v>640.91</v>
      </c>
      <c r="AG656" s="130">
        <f>AB656/V656</f>
        <v>213.63666666666666</v>
      </c>
      <c r="AH656" s="123">
        <f>AB656/S656</f>
        <v>0.45326025459688823</v>
      </c>
      <c r="AI656" s="124" t="s">
        <v>155</v>
      </c>
      <c r="AJ656" s="125" t="s">
        <v>2272</v>
      </c>
      <c r="AK656"/>
      <c r="AM656" s="80"/>
    </row>
    <row r="657" spans="1:39" ht="28.5" customHeight="1">
      <c r="A657" s="113" t="s">
        <v>73</v>
      </c>
      <c r="B657" s="114" t="s">
        <v>140</v>
      </c>
      <c r="C657" s="113" t="s">
        <v>2210</v>
      </c>
      <c r="D657" s="113" t="s">
        <v>90</v>
      </c>
      <c r="E657" s="115" t="s">
        <v>141</v>
      </c>
      <c r="F657" s="113" t="s">
        <v>142</v>
      </c>
      <c r="G657" s="116">
        <v>23677521</v>
      </c>
      <c r="H657" s="79">
        <v>46234</v>
      </c>
      <c r="I657" s="114" t="s">
        <v>81</v>
      </c>
      <c r="J657" s="117" t="s">
        <v>2443</v>
      </c>
      <c r="K657" s="118">
        <v>46227</v>
      </c>
      <c r="L657" s="114" t="s">
        <v>81</v>
      </c>
      <c r="M657" s="119">
        <v>46230</v>
      </c>
      <c r="N657" s="128">
        <v>46230</v>
      </c>
      <c r="O657" s="120">
        <f>NETWORKDAYS.INTL(K657,N657,1,$AM$2:$AM$10)-1</f>
        <v>1</v>
      </c>
      <c r="P657" s="114" t="s">
        <v>81</v>
      </c>
      <c r="Q657" s="114" t="s">
        <v>79</v>
      </c>
      <c r="R657" s="115" t="s">
        <v>2444</v>
      </c>
      <c r="S657" s="145">
        <v>2277</v>
      </c>
      <c r="T657" s="148" t="s">
        <v>2445</v>
      </c>
      <c r="U657" s="147">
        <v>1</v>
      </c>
      <c r="V657" s="121">
        <v>101</v>
      </c>
      <c r="W657" s="121">
        <v>790</v>
      </c>
      <c r="X657" s="114" t="s">
        <v>113</v>
      </c>
      <c r="Y657" s="115" t="s">
        <v>85</v>
      </c>
      <c r="Z657" s="115" t="s">
        <v>2294</v>
      </c>
      <c r="AA657" s="113" t="s">
        <v>87</v>
      </c>
      <c r="AB657" s="122">
        <v>6306.4</v>
      </c>
      <c r="AC657" s="122">
        <v>10400</v>
      </c>
      <c r="AD657" s="129">
        <f>AC657-AB657</f>
        <v>4093.6000000000004</v>
      </c>
      <c r="AE657" s="122">
        <v>88084.12</v>
      </c>
      <c r="AF657" s="130">
        <f>AB657/U657</f>
        <v>6306.4</v>
      </c>
      <c r="AG657" s="130">
        <f>AB657/V657</f>
        <v>62.439603960396035</v>
      </c>
      <c r="AH657" s="123">
        <f>AB657/S657</f>
        <v>2.7696091348265259</v>
      </c>
      <c r="AI657" s="124" t="s">
        <v>97</v>
      </c>
      <c r="AJ657" s="125" t="s">
        <v>2446</v>
      </c>
      <c r="AK657"/>
      <c r="AM657" s="80"/>
    </row>
    <row r="658" spans="1:39" ht="28.5" customHeight="1">
      <c r="A658" s="113" t="s">
        <v>73</v>
      </c>
      <c r="B658" s="114" t="s">
        <v>74</v>
      </c>
      <c r="C658" s="113" t="s">
        <v>36</v>
      </c>
      <c r="D658" s="113" t="s">
        <v>90</v>
      </c>
      <c r="E658" s="115" t="s">
        <v>2447</v>
      </c>
      <c r="F658" s="113" t="s">
        <v>92</v>
      </c>
      <c r="G658" s="116" t="s">
        <v>2448</v>
      </c>
      <c r="H658" s="79">
        <v>46234</v>
      </c>
      <c r="I658" s="114" t="s">
        <v>79</v>
      </c>
      <c r="J658" s="117" t="s">
        <v>2449</v>
      </c>
      <c r="K658" s="118">
        <v>46227</v>
      </c>
      <c r="L658" s="114" t="s">
        <v>81</v>
      </c>
      <c r="M658" s="119">
        <v>46233</v>
      </c>
      <c r="N658" s="128">
        <v>46231</v>
      </c>
      <c r="O658" s="120">
        <f>NETWORKDAYS.INTL(K658,N658,1,$AM$2:$AM$10)-1</f>
        <v>2</v>
      </c>
      <c r="P658" s="114" t="s">
        <v>81</v>
      </c>
      <c r="Q658" s="114" t="s">
        <v>79</v>
      </c>
      <c r="R658" s="115"/>
      <c r="S658" s="145">
        <v>1438</v>
      </c>
      <c r="T658" s="148" t="s">
        <v>2450</v>
      </c>
      <c r="U658" s="147">
        <v>1</v>
      </c>
      <c r="V658" s="121">
        <v>5</v>
      </c>
      <c r="W658" s="121">
        <v>272</v>
      </c>
      <c r="X658" s="114" t="s">
        <v>84</v>
      </c>
      <c r="Y658" s="115" t="s">
        <v>85</v>
      </c>
      <c r="Z658" s="115" t="s">
        <v>86</v>
      </c>
      <c r="AA658" s="113" t="s">
        <v>87</v>
      </c>
      <c r="AB658" s="122">
        <v>306.91000000000003</v>
      </c>
      <c r="AC658" s="122">
        <f>IF(C658="DENALI", AB658*0.495, IF(C658="SCHNEIDER ELECTRIC", AB658*1.136, IF(C658="WWT", AB658*1.2, AC658)))+AB658</f>
        <v>655.5597600000001</v>
      </c>
      <c r="AD658" s="129">
        <f>AC658-AB658</f>
        <v>348.64976000000007</v>
      </c>
      <c r="AE658" s="122">
        <v>30622.1</v>
      </c>
      <c r="AF658" s="130">
        <f>AB658/U658</f>
        <v>306.91000000000003</v>
      </c>
      <c r="AG658" s="130">
        <f>AB658/V658</f>
        <v>61.382000000000005</v>
      </c>
      <c r="AH658" s="123">
        <f>AB658/S658</f>
        <v>0.21342837273991658</v>
      </c>
      <c r="AI658" s="124" t="s">
        <v>183</v>
      </c>
      <c r="AJ658" s="125" t="s">
        <v>98</v>
      </c>
      <c r="AK658"/>
      <c r="AM658" s="80"/>
    </row>
    <row r="659" spans="1:39" ht="28.5" customHeight="1">
      <c r="A659" s="113" t="s">
        <v>73</v>
      </c>
      <c r="B659" s="114" t="s">
        <v>74</v>
      </c>
      <c r="C659" s="113" t="s">
        <v>36</v>
      </c>
      <c r="D659" s="113" t="s">
        <v>75</v>
      </c>
      <c r="E659" s="115" t="s">
        <v>498</v>
      </c>
      <c r="F659" s="113" t="s">
        <v>228</v>
      </c>
      <c r="G659" s="116" t="s">
        <v>2451</v>
      </c>
      <c r="H659" s="79">
        <v>46238</v>
      </c>
      <c r="I659" s="114" t="s">
        <v>79</v>
      </c>
      <c r="J659" s="117" t="s">
        <v>2452</v>
      </c>
      <c r="K659" s="118">
        <v>46230</v>
      </c>
      <c r="L659" s="114" t="s">
        <v>81</v>
      </c>
      <c r="M659" s="119">
        <v>46232</v>
      </c>
      <c r="N659" s="128">
        <v>46234</v>
      </c>
      <c r="O659" s="120">
        <f>NETWORKDAYS.INTL(K659,N659,1,$AM$2:$AM$10)-1</f>
        <v>4</v>
      </c>
      <c r="P659" s="114" t="s">
        <v>81</v>
      </c>
      <c r="Q659" s="114" t="s">
        <v>79</v>
      </c>
      <c r="R659" s="115"/>
      <c r="S659" s="145">
        <v>655</v>
      </c>
      <c r="T659" s="148" t="s">
        <v>2453</v>
      </c>
      <c r="U659" s="147">
        <v>2</v>
      </c>
      <c r="V659" s="121">
        <v>10</v>
      </c>
      <c r="W659" s="121">
        <v>1466</v>
      </c>
      <c r="X659" s="114" t="s">
        <v>84</v>
      </c>
      <c r="Y659" s="115" t="s">
        <v>85</v>
      </c>
      <c r="Z659" s="115" t="s">
        <v>86</v>
      </c>
      <c r="AA659" s="113" t="s">
        <v>87</v>
      </c>
      <c r="AB659" s="122">
        <v>407.76</v>
      </c>
      <c r="AC659" s="122">
        <f>IF(C659="DENALI", AB659*0.495, IF(C659="SCHNEIDER ELECTRIC", AB659*1.136, IF(C659="WWT", AB659*1.2, AC659)))+AB659</f>
        <v>870.97535999999991</v>
      </c>
      <c r="AD659" s="129">
        <f>AC659-AB659</f>
        <v>463.21535999999992</v>
      </c>
      <c r="AE659" s="122">
        <v>8503.48</v>
      </c>
      <c r="AF659" s="130">
        <f>AB659/U659</f>
        <v>203.88</v>
      </c>
      <c r="AG659" s="130">
        <f>AB659/V659</f>
        <v>40.775999999999996</v>
      </c>
      <c r="AH659" s="123">
        <f>AB659/S659</f>
        <v>0.62253435114503819</v>
      </c>
      <c r="AI659" s="124" t="s">
        <v>97</v>
      </c>
      <c r="AJ659" s="125" t="s">
        <v>2267</v>
      </c>
      <c r="AK659"/>
      <c r="AM659" s="80"/>
    </row>
    <row r="660" spans="1:39" ht="28.5" customHeight="1">
      <c r="A660" s="113" t="s">
        <v>73</v>
      </c>
      <c r="B660" s="114" t="s">
        <v>74</v>
      </c>
      <c r="C660" s="113" t="s">
        <v>36</v>
      </c>
      <c r="D660" s="113" t="s">
        <v>90</v>
      </c>
      <c r="E660" s="115" t="s">
        <v>2454</v>
      </c>
      <c r="F660" s="113" t="s">
        <v>90</v>
      </c>
      <c r="G660" s="116" t="s">
        <v>2455</v>
      </c>
      <c r="H660" s="79">
        <v>46238</v>
      </c>
      <c r="I660" s="114" t="s">
        <v>79</v>
      </c>
      <c r="J660" s="117" t="s">
        <v>2456</v>
      </c>
      <c r="K660" s="118">
        <v>46230</v>
      </c>
      <c r="L660" s="114" t="s">
        <v>81</v>
      </c>
      <c r="M660" s="119">
        <v>46231</v>
      </c>
      <c r="N660" s="128">
        <v>46233</v>
      </c>
      <c r="O660" s="120">
        <f>NETWORKDAYS.INTL(K660,N660,1,$AM$2:$AM$10)-1</f>
        <v>3</v>
      </c>
      <c r="P660" s="114" t="s">
        <v>81</v>
      </c>
      <c r="Q660" s="114" t="s">
        <v>79</v>
      </c>
      <c r="R660" s="115"/>
      <c r="S660" s="145">
        <v>9</v>
      </c>
      <c r="T660" s="148" t="s">
        <v>2457</v>
      </c>
      <c r="U660" s="147">
        <v>1</v>
      </c>
      <c r="V660" s="121">
        <v>2</v>
      </c>
      <c r="W660" s="121">
        <v>267</v>
      </c>
      <c r="X660" s="114" t="s">
        <v>84</v>
      </c>
      <c r="Y660" s="115" t="s">
        <v>85</v>
      </c>
      <c r="Z660" s="115" t="s">
        <v>86</v>
      </c>
      <c r="AA660" s="113" t="s">
        <v>87</v>
      </c>
      <c r="AB660" s="122">
        <v>193.32</v>
      </c>
      <c r="AC660" s="122">
        <f>IF(C660="DENALI", AB660*0.495, IF(C660="SCHNEIDER ELECTRIC", AB660*1.136, IF(C660="WWT", AB660*1.2, AC660)))+AB660</f>
        <v>412.93151999999998</v>
      </c>
      <c r="AD660" s="129">
        <f>AC660-AB660</f>
        <v>219.61151999999998</v>
      </c>
      <c r="AE660" s="122">
        <v>5110.25</v>
      </c>
      <c r="AF660" s="130">
        <f>AB660/U660</f>
        <v>193.32</v>
      </c>
      <c r="AG660" s="130">
        <f>AB660/V660</f>
        <v>96.66</v>
      </c>
      <c r="AH660" s="123">
        <f>AB660/S660</f>
        <v>21.48</v>
      </c>
      <c r="AI660" s="124" t="s">
        <v>97</v>
      </c>
      <c r="AJ660" s="125" t="s">
        <v>98</v>
      </c>
      <c r="AK660"/>
      <c r="AM660" s="80"/>
    </row>
    <row r="661" spans="1:39" ht="28.5" customHeight="1">
      <c r="A661" s="113" t="s">
        <v>73</v>
      </c>
      <c r="B661" s="114" t="s">
        <v>74</v>
      </c>
      <c r="C661" s="113" t="s">
        <v>36</v>
      </c>
      <c r="D661" s="113" t="s">
        <v>90</v>
      </c>
      <c r="E661" s="115" t="s">
        <v>2458</v>
      </c>
      <c r="F661" s="113" t="s">
        <v>90</v>
      </c>
      <c r="G661" s="116" t="s">
        <v>2459</v>
      </c>
      <c r="H661" s="79">
        <v>46238</v>
      </c>
      <c r="I661" s="114" t="s">
        <v>79</v>
      </c>
      <c r="J661" s="117" t="s">
        <v>2460</v>
      </c>
      <c r="K661" s="118">
        <v>46230</v>
      </c>
      <c r="L661" s="114" t="s">
        <v>81</v>
      </c>
      <c r="M661" s="119">
        <v>46231</v>
      </c>
      <c r="N661" s="128">
        <v>46231</v>
      </c>
      <c r="O661" s="120">
        <f>NETWORKDAYS.INTL(K661,N661,1,$AM$2:$AM$10)-1</f>
        <v>1</v>
      </c>
      <c r="P661" s="114" t="s">
        <v>81</v>
      </c>
      <c r="Q661" s="114" t="s">
        <v>79</v>
      </c>
      <c r="R661" s="115"/>
      <c r="S661" s="145">
        <v>23</v>
      </c>
      <c r="T661" s="148" t="s">
        <v>2461</v>
      </c>
      <c r="U661" s="147">
        <v>1</v>
      </c>
      <c r="V661" s="121">
        <v>3</v>
      </c>
      <c r="W661" s="121">
        <v>271</v>
      </c>
      <c r="X661" s="114" t="s">
        <v>84</v>
      </c>
      <c r="Y661" s="115" t="s">
        <v>85</v>
      </c>
      <c r="Z661" s="115" t="s">
        <v>86</v>
      </c>
      <c r="AA661" s="113" t="s">
        <v>87</v>
      </c>
      <c r="AB661" s="122">
        <v>190.88</v>
      </c>
      <c r="AC661" s="122">
        <f>IF(C661="DENALI", AB661*0.495, IF(C661="SCHNEIDER ELECTRIC", AB661*1.136, IF(C661="WWT", AB661*1.2, AC661)))+AB661</f>
        <v>407.71967999999998</v>
      </c>
      <c r="AD661" s="129">
        <f>AC661-AB661</f>
        <v>216.83967999999999</v>
      </c>
      <c r="AE661" s="122">
        <v>1489.8</v>
      </c>
      <c r="AF661" s="130">
        <f>AB661/U661</f>
        <v>190.88</v>
      </c>
      <c r="AG661" s="130">
        <f>AB661/V661</f>
        <v>63.626666666666665</v>
      </c>
      <c r="AH661" s="123">
        <f>AB661/S661</f>
        <v>8.299130434782608</v>
      </c>
      <c r="AI661" s="124" t="s">
        <v>88</v>
      </c>
      <c r="AJ661" s="125" t="s">
        <v>98</v>
      </c>
      <c r="AK661"/>
      <c r="AM661" s="80"/>
    </row>
    <row r="662" spans="1:39" ht="28.5" customHeight="1">
      <c r="A662" s="113" t="s">
        <v>73</v>
      </c>
      <c r="B662" s="114" t="s">
        <v>74</v>
      </c>
      <c r="C662" s="113" t="s">
        <v>36</v>
      </c>
      <c r="D662" s="113" t="s">
        <v>90</v>
      </c>
      <c r="E662" s="115" t="s">
        <v>2462</v>
      </c>
      <c r="F662" s="113" t="s">
        <v>90</v>
      </c>
      <c r="G662" s="116" t="s">
        <v>2463</v>
      </c>
      <c r="H662" s="79">
        <v>46238</v>
      </c>
      <c r="I662" s="114" t="s">
        <v>79</v>
      </c>
      <c r="J662" s="117" t="s">
        <v>2464</v>
      </c>
      <c r="K662" s="118">
        <v>46230</v>
      </c>
      <c r="L662" s="114" t="s">
        <v>81</v>
      </c>
      <c r="M662" s="119">
        <v>46231</v>
      </c>
      <c r="N662" s="128">
        <v>46231</v>
      </c>
      <c r="O662" s="120">
        <f>NETWORKDAYS.INTL(K662,N662,1,$AM$2:$AM$10)-1</f>
        <v>1</v>
      </c>
      <c r="P662" s="114" t="s">
        <v>81</v>
      </c>
      <c r="Q662" s="114" t="s">
        <v>79</v>
      </c>
      <c r="R662" s="115"/>
      <c r="S662" s="145">
        <v>35</v>
      </c>
      <c r="T662" s="148" t="s">
        <v>2465</v>
      </c>
      <c r="U662" s="147">
        <v>1</v>
      </c>
      <c r="V662" s="121">
        <v>2</v>
      </c>
      <c r="W662" s="121">
        <v>271</v>
      </c>
      <c r="X662" s="114" t="s">
        <v>84</v>
      </c>
      <c r="Y662" s="115" t="s">
        <v>85</v>
      </c>
      <c r="Z662" s="115" t="s">
        <v>86</v>
      </c>
      <c r="AA662" s="113" t="s">
        <v>87</v>
      </c>
      <c r="AB662" s="122">
        <v>230.88</v>
      </c>
      <c r="AC662" s="122">
        <f>IF(C662="DENALI", AB662*0.495, IF(C662="SCHNEIDER ELECTRIC", AB662*1.136, IF(C662="WWT", AB662*1.2, AC662)))+AB662</f>
        <v>493.15967999999998</v>
      </c>
      <c r="AD662" s="129">
        <f>AC662-AB662</f>
        <v>262.27967999999998</v>
      </c>
      <c r="AE662" s="122">
        <v>10428.6</v>
      </c>
      <c r="AF662" s="130">
        <f>AB662/U662</f>
        <v>230.88</v>
      </c>
      <c r="AG662" s="130">
        <f>AB662/V662</f>
        <v>115.44</v>
      </c>
      <c r="AH662" s="123">
        <f>AB662/S662</f>
        <v>6.5965714285714281</v>
      </c>
      <c r="AI662" s="124" t="s">
        <v>2466</v>
      </c>
      <c r="AJ662" s="125" t="s">
        <v>2267</v>
      </c>
      <c r="AK662"/>
      <c r="AM662" s="80"/>
    </row>
    <row r="663" spans="1:39" ht="28.5" customHeight="1">
      <c r="A663" s="113" t="s">
        <v>73</v>
      </c>
      <c r="B663" s="114" t="s">
        <v>74</v>
      </c>
      <c r="C663" s="113" t="s">
        <v>36</v>
      </c>
      <c r="D663" s="113" t="s">
        <v>75</v>
      </c>
      <c r="E663" s="115" t="s">
        <v>2467</v>
      </c>
      <c r="F663" s="113" t="s">
        <v>1390</v>
      </c>
      <c r="G663" s="116" t="s">
        <v>2468</v>
      </c>
      <c r="H663" s="79">
        <v>46238</v>
      </c>
      <c r="I663" s="114" t="s">
        <v>79</v>
      </c>
      <c r="J663" s="117" t="s">
        <v>2469</v>
      </c>
      <c r="K663" s="118">
        <v>46230</v>
      </c>
      <c r="L663" s="114" t="s">
        <v>81</v>
      </c>
      <c r="M663" s="119">
        <v>46232</v>
      </c>
      <c r="N663" s="128">
        <v>46234</v>
      </c>
      <c r="O663" s="120">
        <f>NETWORKDAYS.INTL(K663,N663,1,$AM$2:$AM$10)-1</f>
        <v>4</v>
      </c>
      <c r="P663" s="114" t="s">
        <v>81</v>
      </c>
      <c r="Q663" s="114" t="s">
        <v>79</v>
      </c>
      <c r="R663" s="115"/>
      <c r="S663" s="145">
        <v>547</v>
      </c>
      <c r="T663" s="148" t="s">
        <v>2470</v>
      </c>
      <c r="U663" s="147">
        <v>1</v>
      </c>
      <c r="V663" s="121">
        <v>8</v>
      </c>
      <c r="W663" s="121">
        <v>1114</v>
      </c>
      <c r="X663" s="114" t="s">
        <v>84</v>
      </c>
      <c r="Y663" s="115" t="s">
        <v>85</v>
      </c>
      <c r="Z663" s="115" t="s">
        <v>86</v>
      </c>
      <c r="AA663" s="113" t="s">
        <v>87</v>
      </c>
      <c r="AB663" s="122">
        <v>231.98</v>
      </c>
      <c r="AC663" s="122">
        <f>IF(C663="DENALI", AB663*0.495, IF(C663="SCHNEIDER ELECTRIC", AB663*1.136, IF(C663="WWT", AB663*1.2, AC663)))+AB663</f>
        <v>495.50927999999999</v>
      </c>
      <c r="AD663" s="129">
        <f>AC663-AB663</f>
        <v>263.52927999999997</v>
      </c>
      <c r="AE663" s="122">
        <v>30497.74</v>
      </c>
      <c r="AF663" s="130">
        <f>AB663/U663</f>
        <v>231.98</v>
      </c>
      <c r="AG663" s="130">
        <f>AB663/V663</f>
        <v>28.997499999999999</v>
      </c>
      <c r="AH663" s="123">
        <f>AB663/S663</f>
        <v>0.42409506398537478</v>
      </c>
      <c r="AI663" s="124" t="s">
        <v>97</v>
      </c>
      <c r="AJ663" s="125" t="s">
        <v>2267</v>
      </c>
      <c r="AK663"/>
      <c r="AM663" s="80"/>
    </row>
    <row r="664" spans="1:39" ht="28.5" customHeight="1">
      <c r="A664" s="113" t="s">
        <v>73</v>
      </c>
      <c r="B664" s="114" t="s">
        <v>74</v>
      </c>
      <c r="C664" s="113" t="s">
        <v>36</v>
      </c>
      <c r="D664" s="113" t="s">
        <v>75</v>
      </c>
      <c r="E664" s="115" t="s">
        <v>2471</v>
      </c>
      <c r="F664" s="113" t="s">
        <v>562</v>
      </c>
      <c r="G664" s="116" t="s">
        <v>2472</v>
      </c>
      <c r="H664" s="79">
        <v>46238</v>
      </c>
      <c r="I664" s="114" t="s">
        <v>79</v>
      </c>
      <c r="J664" s="117" t="s">
        <v>2473</v>
      </c>
      <c r="K664" s="118">
        <v>46230</v>
      </c>
      <c r="L664" s="114" t="s">
        <v>79</v>
      </c>
      <c r="M664" s="119">
        <v>46232</v>
      </c>
      <c r="N664" s="128">
        <v>46238</v>
      </c>
      <c r="O664" s="120">
        <f>NETWORKDAYS.INTL(K664,N664,1,$AM$2:$AM$10)-1</f>
        <v>6</v>
      </c>
      <c r="P664" s="114" t="s">
        <v>81</v>
      </c>
      <c r="Q664" s="114" t="s">
        <v>79</v>
      </c>
      <c r="R664" s="115"/>
      <c r="S664" s="145">
        <v>1072</v>
      </c>
      <c r="T664" s="148" t="s">
        <v>2474</v>
      </c>
      <c r="U664" s="147">
        <v>1</v>
      </c>
      <c r="V664" s="121">
        <v>10</v>
      </c>
      <c r="W664" s="121">
        <v>887</v>
      </c>
      <c r="X664" s="114" t="s">
        <v>84</v>
      </c>
      <c r="Y664" s="115" t="s">
        <v>85</v>
      </c>
      <c r="Z664" s="115" t="s">
        <v>86</v>
      </c>
      <c r="AA664" s="113" t="s">
        <v>87</v>
      </c>
      <c r="AB664" s="122">
        <v>292.2</v>
      </c>
      <c r="AC664" s="122">
        <f>IF(C664="DENALI", AB664*0.495, IF(C664="SCHNEIDER ELECTRIC", AB664*1.136, IF(C664="WWT", AB664*1.2, AC664)))+AB664</f>
        <v>624.13919999999996</v>
      </c>
      <c r="AD664" s="129">
        <f>AC664-AB664</f>
        <v>331.93919999999997</v>
      </c>
      <c r="AE664" s="122">
        <v>18460.669999999998</v>
      </c>
      <c r="AF664" s="130">
        <f>AB664/U664</f>
        <v>292.2</v>
      </c>
      <c r="AG664" s="130">
        <f>AB664/V664</f>
        <v>29.22</v>
      </c>
      <c r="AH664" s="123">
        <f>AB664/S664</f>
        <v>0.27257462686567163</v>
      </c>
      <c r="AI664" s="124" t="s">
        <v>155</v>
      </c>
      <c r="AJ664" s="125" t="s">
        <v>2272</v>
      </c>
      <c r="AK664"/>
      <c r="AM664" s="80"/>
    </row>
    <row r="665" spans="1:39" ht="28.5" customHeight="1">
      <c r="A665" s="113" t="s">
        <v>73</v>
      </c>
      <c r="B665" s="114" t="s">
        <v>74</v>
      </c>
      <c r="C665" s="113" t="s">
        <v>36</v>
      </c>
      <c r="D665" s="113" t="s">
        <v>90</v>
      </c>
      <c r="E665" s="115" t="s">
        <v>532</v>
      </c>
      <c r="F665" s="113" t="s">
        <v>92</v>
      </c>
      <c r="G665" s="116" t="s">
        <v>2475</v>
      </c>
      <c r="H665" s="79">
        <v>46237</v>
      </c>
      <c r="I665" s="114" t="s">
        <v>79</v>
      </c>
      <c r="J665" s="117" t="s">
        <v>2476</v>
      </c>
      <c r="K665" s="118">
        <v>46230</v>
      </c>
      <c r="L665" s="114" t="s">
        <v>81</v>
      </c>
      <c r="M665" s="119">
        <v>46233</v>
      </c>
      <c r="N665" s="128">
        <v>46233</v>
      </c>
      <c r="O665" s="120">
        <f>NETWORKDAYS.INTL(K665,N665,1,$AM$2:$AM$10)-1</f>
        <v>3</v>
      </c>
      <c r="P665" s="114" t="s">
        <v>81</v>
      </c>
      <c r="Q665" s="114" t="s">
        <v>79</v>
      </c>
      <c r="R665" s="115"/>
      <c r="S665" s="145">
        <v>1355</v>
      </c>
      <c r="T665" s="148" t="s">
        <v>2477</v>
      </c>
      <c r="U665" s="147">
        <v>1</v>
      </c>
      <c r="V665" s="121">
        <v>4</v>
      </c>
      <c r="W665" s="121">
        <v>326</v>
      </c>
      <c r="X665" s="114" t="s">
        <v>84</v>
      </c>
      <c r="Y665" s="115" t="s">
        <v>85</v>
      </c>
      <c r="Z665" s="115" t="s">
        <v>86</v>
      </c>
      <c r="AA665" s="113" t="s">
        <v>87</v>
      </c>
      <c r="AB665" s="122">
        <v>325.14999999999998</v>
      </c>
      <c r="AC665" s="122">
        <f>IF(C665="DENALI", AB665*0.495, IF(C665="SCHNEIDER ELECTRIC", AB665*1.136, IF(C665="WWT", AB665*1.2, AC665)))+AB665</f>
        <v>694.52039999999988</v>
      </c>
      <c r="AD665" s="129">
        <f>AC665-AB665</f>
        <v>369.3703999999999</v>
      </c>
      <c r="AE665" s="122">
        <v>214197.87</v>
      </c>
      <c r="AF665" s="130">
        <f>AB665/U665</f>
        <v>325.14999999999998</v>
      </c>
      <c r="AG665" s="130">
        <f>AB665/V665</f>
        <v>81.287499999999994</v>
      </c>
      <c r="AH665" s="123">
        <f>AB665/S665</f>
        <v>0.2399630996309963</v>
      </c>
      <c r="AI665" s="124" t="s">
        <v>97</v>
      </c>
      <c r="AJ665" s="125" t="s">
        <v>2267</v>
      </c>
      <c r="AK665"/>
      <c r="AM665" s="80"/>
    </row>
    <row r="666" spans="1:39" ht="28.5" customHeight="1">
      <c r="A666" s="113" t="s">
        <v>73</v>
      </c>
      <c r="B666" s="114" t="s">
        <v>74</v>
      </c>
      <c r="C666" s="113" t="s">
        <v>36</v>
      </c>
      <c r="D666" s="113" t="s">
        <v>90</v>
      </c>
      <c r="E666" s="115" t="s">
        <v>811</v>
      </c>
      <c r="F666" s="113" t="s">
        <v>92</v>
      </c>
      <c r="G666" s="116" t="s">
        <v>2478</v>
      </c>
      <c r="H666" s="79">
        <v>46237</v>
      </c>
      <c r="I666" s="114" t="s">
        <v>79</v>
      </c>
      <c r="J666" s="117" t="s">
        <v>2479</v>
      </c>
      <c r="K666" s="118">
        <v>46230</v>
      </c>
      <c r="L666" s="114" t="s">
        <v>81</v>
      </c>
      <c r="M666" s="119">
        <v>46233</v>
      </c>
      <c r="N666" s="128">
        <v>46232</v>
      </c>
      <c r="O666" s="120">
        <f>NETWORKDAYS.INTL(K666,N666,1,$AM$2:$AM$10)-1</f>
        <v>2</v>
      </c>
      <c r="P666" s="114" t="s">
        <v>81</v>
      </c>
      <c r="Q666" s="114" t="s">
        <v>79</v>
      </c>
      <c r="R666" s="115"/>
      <c r="S666" s="145">
        <v>1365</v>
      </c>
      <c r="T666" s="148" t="s">
        <v>2480</v>
      </c>
      <c r="U666" s="147">
        <v>1</v>
      </c>
      <c r="V666" s="121">
        <v>2</v>
      </c>
      <c r="W666" s="121">
        <v>200</v>
      </c>
      <c r="X666" s="114" t="s">
        <v>84</v>
      </c>
      <c r="Y666" s="115" t="s">
        <v>85</v>
      </c>
      <c r="Z666" s="115" t="s">
        <v>86</v>
      </c>
      <c r="AA666" s="113" t="s">
        <v>87</v>
      </c>
      <c r="AB666" s="122">
        <v>298.89</v>
      </c>
      <c r="AC666" s="122">
        <f>IF(C666="DENALI", AB666*0.495, IF(C666="SCHNEIDER ELECTRIC", AB666*1.136, IF(C666="WWT", AB666*1.2, AC666)))+AB666</f>
        <v>638.42903999999999</v>
      </c>
      <c r="AD666" s="129">
        <f>AC666-AB666</f>
        <v>339.53904</v>
      </c>
      <c r="AE666" s="122">
        <v>88694.88</v>
      </c>
      <c r="AF666" s="130">
        <f>AB666/U666</f>
        <v>298.89</v>
      </c>
      <c r="AG666" s="130">
        <f>AB666/V666</f>
        <v>149.44499999999999</v>
      </c>
      <c r="AH666" s="123">
        <f>AB666/S666</f>
        <v>0.21896703296703296</v>
      </c>
      <c r="AI666" s="124" t="s">
        <v>97</v>
      </c>
      <c r="AJ666" s="125" t="s">
        <v>2267</v>
      </c>
      <c r="AK666"/>
      <c r="AM666" s="80"/>
    </row>
    <row r="667" spans="1:39" ht="28.5" customHeight="1">
      <c r="A667" s="113" t="s">
        <v>73</v>
      </c>
      <c r="B667" s="114" t="s">
        <v>74</v>
      </c>
      <c r="C667" s="113" t="s">
        <v>36</v>
      </c>
      <c r="D667" s="113" t="s">
        <v>90</v>
      </c>
      <c r="E667" s="115" t="s">
        <v>2481</v>
      </c>
      <c r="F667" s="113" t="s">
        <v>90</v>
      </c>
      <c r="G667" s="116" t="s">
        <v>2482</v>
      </c>
      <c r="H667" s="79">
        <v>46237</v>
      </c>
      <c r="I667" s="114" t="s">
        <v>79</v>
      </c>
      <c r="J667" s="117" t="s">
        <v>2483</v>
      </c>
      <c r="K667" s="118">
        <v>46230</v>
      </c>
      <c r="L667" s="114" t="s">
        <v>81</v>
      </c>
      <c r="M667" s="119">
        <v>46231</v>
      </c>
      <c r="N667" s="128">
        <v>46231</v>
      </c>
      <c r="O667" s="120">
        <f>NETWORKDAYS.INTL(K667,N667,1,$AM$2:$AM$10)-1</f>
        <v>1</v>
      </c>
      <c r="P667" s="114" t="s">
        <v>81</v>
      </c>
      <c r="Q667" s="114" t="s">
        <v>79</v>
      </c>
      <c r="R667" s="115"/>
      <c r="S667" s="145">
        <v>417</v>
      </c>
      <c r="T667" s="148" t="s">
        <v>2484</v>
      </c>
      <c r="U667" s="147">
        <v>1</v>
      </c>
      <c r="V667" s="121">
        <v>2</v>
      </c>
      <c r="W667" s="121">
        <v>229</v>
      </c>
      <c r="X667" s="114" t="s">
        <v>84</v>
      </c>
      <c r="Y667" s="115" t="s">
        <v>85</v>
      </c>
      <c r="Z667" s="115" t="s">
        <v>86</v>
      </c>
      <c r="AA667" s="113" t="s">
        <v>87</v>
      </c>
      <c r="AB667" s="122">
        <v>236.02</v>
      </c>
      <c r="AC667" s="122">
        <f>IF(C667="DENALI", AB667*0.495, IF(C667="SCHNEIDER ELECTRIC", AB667*1.136, IF(C667="WWT", AB667*1.2, AC667)))+AB667</f>
        <v>504.13872000000003</v>
      </c>
      <c r="AD667" s="129">
        <f>AC667-AB667</f>
        <v>268.11872000000005</v>
      </c>
      <c r="AE667" s="122">
        <v>136293.35</v>
      </c>
      <c r="AF667" s="130">
        <f>AB667/U667</f>
        <v>236.02</v>
      </c>
      <c r="AG667" s="130">
        <f>AB667/V667</f>
        <v>118.01</v>
      </c>
      <c r="AH667" s="123">
        <f>AB667/S667</f>
        <v>0.56599520383693047</v>
      </c>
      <c r="AI667" s="124" t="s">
        <v>147</v>
      </c>
      <c r="AJ667" s="125" t="s">
        <v>98</v>
      </c>
      <c r="AK667"/>
      <c r="AM667" s="80"/>
    </row>
    <row r="668" spans="1:39" ht="28.5" customHeight="1">
      <c r="A668" s="113" t="s">
        <v>73</v>
      </c>
      <c r="B668" s="114" t="s">
        <v>140</v>
      </c>
      <c r="C668" s="113" t="s">
        <v>2210</v>
      </c>
      <c r="D668" s="113" t="s">
        <v>90</v>
      </c>
      <c r="E668" s="115" t="s">
        <v>141</v>
      </c>
      <c r="F668" s="113" t="s">
        <v>142</v>
      </c>
      <c r="G668" s="116">
        <v>23676179</v>
      </c>
      <c r="H668" s="79">
        <v>46230</v>
      </c>
      <c r="I668" s="114" t="s">
        <v>81</v>
      </c>
      <c r="J668" s="117" t="s">
        <v>2485</v>
      </c>
      <c r="K668" s="118">
        <v>46227</v>
      </c>
      <c r="L668" s="114" t="s">
        <v>81</v>
      </c>
      <c r="M668" s="119">
        <v>46230</v>
      </c>
      <c r="N668" s="128">
        <v>46230</v>
      </c>
      <c r="O668" s="120">
        <f>NETWORKDAYS.INTL(K668,N668,1,$AM$2:$AM$10)-1</f>
        <v>1</v>
      </c>
      <c r="P668" s="114" t="s">
        <v>81</v>
      </c>
      <c r="Q668" s="114" t="s">
        <v>79</v>
      </c>
      <c r="R668" s="115" t="s">
        <v>2486</v>
      </c>
      <c r="S668" s="145">
        <v>402</v>
      </c>
      <c r="T668" s="148" t="s">
        <v>2217</v>
      </c>
      <c r="U668" s="147">
        <v>1</v>
      </c>
      <c r="V668" s="121">
        <v>84</v>
      </c>
      <c r="W668" s="121">
        <v>680</v>
      </c>
      <c r="X668" s="114" t="s">
        <v>113</v>
      </c>
      <c r="Y668" s="115" t="s">
        <v>85</v>
      </c>
      <c r="Z668" s="115" t="s">
        <v>2487</v>
      </c>
      <c r="AA668" s="113" t="s">
        <v>87</v>
      </c>
      <c r="AB668" s="122">
        <v>1688</v>
      </c>
      <c r="AC668" s="122">
        <v>4500</v>
      </c>
      <c r="AD668" s="129">
        <f>AC668-AB668</f>
        <v>2812</v>
      </c>
      <c r="AE668" s="122">
        <v>73259.08</v>
      </c>
      <c r="AF668" s="130">
        <f>AB668/U668</f>
        <v>1688</v>
      </c>
      <c r="AG668" s="130">
        <f>AB668/V668</f>
        <v>20.095238095238095</v>
      </c>
      <c r="AH668" s="123">
        <f>AB668/S668</f>
        <v>4.1990049751243781</v>
      </c>
      <c r="AI668" s="124" t="s">
        <v>97</v>
      </c>
      <c r="AJ668" s="125" t="s">
        <v>2218</v>
      </c>
      <c r="AK668"/>
      <c r="AM668" s="80"/>
    </row>
    <row r="669" spans="1:39" ht="28.5" customHeight="1">
      <c r="A669" s="113" t="s">
        <v>73</v>
      </c>
      <c r="B669" s="114" t="s">
        <v>140</v>
      </c>
      <c r="C669" s="113" t="s">
        <v>2210</v>
      </c>
      <c r="D669" s="113" t="s">
        <v>90</v>
      </c>
      <c r="E669" s="115" t="s">
        <v>141</v>
      </c>
      <c r="F669" s="113" t="s">
        <v>142</v>
      </c>
      <c r="G669" s="116">
        <v>23684509</v>
      </c>
      <c r="H669" s="79">
        <v>46230</v>
      </c>
      <c r="I669" s="114" t="s">
        <v>81</v>
      </c>
      <c r="J669" s="117" t="s">
        <v>2488</v>
      </c>
      <c r="K669" s="118">
        <v>46228</v>
      </c>
      <c r="L669" s="114" t="s">
        <v>81</v>
      </c>
      <c r="M669" s="119">
        <v>46230</v>
      </c>
      <c r="N669" s="128">
        <v>46230</v>
      </c>
      <c r="O669" s="120">
        <f>NETWORKDAYS.INTL(K669,N669,1,$AM$2:$AM$10)-1</f>
        <v>0</v>
      </c>
      <c r="P669" s="114" t="s">
        <v>81</v>
      </c>
      <c r="Q669" s="114" t="s">
        <v>79</v>
      </c>
      <c r="R669" s="115" t="s">
        <v>2489</v>
      </c>
      <c r="S669" s="145">
        <v>1700</v>
      </c>
      <c r="T669" s="148" t="s">
        <v>2490</v>
      </c>
      <c r="U669" s="147">
        <v>1</v>
      </c>
      <c r="V669" s="121">
        <v>84</v>
      </c>
      <c r="W669" s="121">
        <v>680</v>
      </c>
      <c r="X669" s="114" t="s">
        <v>113</v>
      </c>
      <c r="Y669" s="115" t="s">
        <v>85</v>
      </c>
      <c r="Z669" s="115" t="s">
        <v>2491</v>
      </c>
      <c r="AA669" s="113" t="s">
        <v>87</v>
      </c>
      <c r="AB669" s="122">
        <v>5872</v>
      </c>
      <c r="AC669" s="122">
        <v>8200</v>
      </c>
      <c r="AD669" s="129">
        <f>AC669-AB669</f>
        <v>2328</v>
      </c>
      <c r="AE669" s="122">
        <v>73259.08</v>
      </c>
      <c r="AF669" s="130">
        <f>AB669/U669</f>
        <v>5872</v>
      </c>
      <c r="AG669" s="130">
        <f>AB669/V669</f>
        <v>69.904761904761898</v>
      </c>
      <c r="AH669" s="123">
        <f>AB669/S669</f>
        <v>3.4541176470588235</v>
      </c>
      <c r="AI669" s="124" t="s">
        <v>97</v>
      </c>
      <c r="AJ669" s="125" t="s">
        <v>2492</v>
      </c>
      <c r="AK669"/>
      <c r="AM669" s="80"/>
    </row>
    <row r="670" spans="1:39" ht="28.5" customHeight="1">
      <c r="A670" s="113" t="s">
        <v>73</v>
      </c>
      <c r="B670" s="114" t="s">
        <v>140</v>
      </c>
      <c r="C670" s="113" t="s">
        <v>2210</v>
      </c>
      <c r="D670" s="113" t="s">
        <v>90</v>
      </c>
      <c r="E670" s="115" t="s">
        <v>141</v>
      </c>
      <c r="F670" s="113" t="s">
        <v>142</v>
      </c>
      <c r="G670" s="116">
        <v>23677509</v>
      </c>
      <c r="H670" s="79">
        <v>46230</v>
      </c>
      <c r="I670" s="114" t="s">
        <v>81</v>
      </c>
      <c r="J670" s="117" t="s">
        <v>2493</v>
      </c>
      <c r="K670" s="118">
        <v>46227</v>
      </c>
      <c r="L670" s="114" t="s">
        <v>81</v>
      </c>
      <c r="M670" s="119">
        <v>46230</v>
      </c>
      <c r="N670" s="128">
        <v>46230</v>
      </c>
      <c r="O670" s="120">
        <f>NETWORKDAYS.INTL(K670,N670,1,$AM$2:$AM$10)-1</f>
        <v>1</v>
      </c>
      <c r="P670" s="114" t="s">
        <v>81</v>
      </c>
      <c r="Q670" s="114" t="s">
        <v>79</v>
      </c>
      <c r="R670" s="115" t="s">
        <v>2494</v>
      </c>
      <c r="S670" s="145">
        <v>406</v>
      </c>
      <c r="T670" s="148" t="s">
        <v>2212</v>
      </c>
      <c r="U670" s="147">
        <v>1</v>
      </c>
      <c r="V670" s="121">
        <v>84</v>
      </c>
      <c r="W670" s="121">
        <v>680</v>
      </c>
      <c r="X670" s="114" t="s">
        <v>113</v>
      </c>
      <c r="Y670" s="115" t="s">
        <v>85</v>
      </c>
      <c r="Z670" s="115" t="s">
        <v>2495</v>
      </c>
      <c r="AA670" s="113" t="s">
        <v>87</v>
      </c>
      <c r="AB670" s="122">
        <v>1788</v>
      </c>
      <c r="AC670" s="122">
        <v>4500</v>
      </c>
      <c r="AD670" s="129">
        <f>AC670-AB670</f>
        <v>2712</v>
      </c>
      <c r="AE670" s="122">
        <v>73259.08</v>
      </c>
      <c r="AF670" s="130">
        <f>AB670/U670</f>
        <v>1788</v>
      </c>
      <c r="AG670" s="130">
        <f>AB670/V670</f>
        <v>21.285714285714285</v>
      </c>
      <c r="AH670" s="123">
        <f>AB670/S670</f>
        <v>4.4039408866995071</v>
      </c>
      <c r="AI670" s="124" t="s">
        <v>97</v>
      </c>
      <c r="AJ670" s="125" t="s">
        <v>2216</v>
      </c>
      <c r="AK670"/>
      <c r="AM670" s="80"/>
    </row>
    <row r="671" spans="1:39" ht="28.5" customHeight="1">
      <c r="A671" s="113" t="s">
        <v>73</v>
      </c>
      <c r="B671" s="114" t="s">
        <v>74</v>
      </c>
      <c r="C671" s="113" t="s">
        <v>36</v>
      </c>
      <c r="D671" s="113" t="s">
        <v>75</v>
      </c>
      <c r="E671" s="115" t="s">
        <v>330</v>
      </c>
      <c r="F671" s="113" t="s">
        <v>142</v>
      </c>
      <c r="G671" s="116" t="s">
        <v>2496</v>
      </c>
      <c r="H671" s="79">
        <v>46237</v>
      </c>
      <c r="I671" s="114" t="s">
        <v>79</v>
      </c>
      <c r="J671" s="117" t="s">
        <v>2497</v>
      </c>
      <c r="K671" s="118">
        <v>46230</v>
      </c>
      <c r="L671" s="114" t="s">
        <v>81</v>
      </c>
      <c r="M671" s="119">
        <v>46232</v>
      </c>
      <c r="N671" s="128">
        <v>46238</v>
      </c>
      <c r="O671" s="120">
        <f>NETWORKDAYS.INTL(K671,N671,1,$AM$2:$AM$10)-1</f>
        <v>6</v>
      </c>
      <c r="P671" s="114" t="s">
        <v>81</v>
      </c>
      <c r="Q671" s="114" t="s">
        <v>81</v>
      </c>
      <c r="R671" s="115" t="s">
        <v>2411</v>
      </c>
      <c r="S671" s="145">
        <v>932</v>
      </c>
      <c r="T671" s="148" t="s">
        <v>2498</v>
      </c>
      <c r="U671" s="147">
        <v>6</v>
      </c>
      <c r="V671" s="121">
        <v>33</v>
      </c>
      <c r="W671" s="121">
        <v>5107</v>
      </c>
      <c r="X671" s="114" t="s">
        <v>84</v>
      </c>
      <c r="Y671" s="115" t="s">
        <v>85</v>
      </c>
      <c r="Z671" s="115" t="s">
        <v>86</v>
      </c>
      <c r="AA671" s="113" t="s">
        <v>87</v>
      </c>
      <c r="AB671" s="122">
        <v>799.12</v>
      </c>
      <c r="AC671" s="122">
        <f>IF(C671="DENALI", AB671*0.495, IF(C671="SCHNEIDER ELECTRIC", AB671*1.136, IF(C671="WWT", AB671*1.2, AC671)))+AB671</f>
        <v>1706.9203199999999</v>
      </c>
      <c r="AD671" s="129">
        <f>AC671-AB671</f>
        <v>907.80031999999994</v>
      </c>
      <c r="AE671" s="122">
        <v>124008.1</v>
      </c>
      <c r="AF671" s="130">
        <f>AB671/U671</f>
        <v>133.18666666666667</v>
      </c>
      <c r="AG671" s="130">
        <f>AB671/V671</f>
        <v>24.215757575757575</v>
      </c>
      <c r="AH671" s="123">
        <f>AB671/S671</f>
        <v>0.85742489270386268</v>
      </c>
      <c r="AI671" s="124" t="s">
        <v>97</v>
      </c>
      <c r="AJ671" s="125" t="s">
        <v>2267</v>
      </c>
      <c r="AK671"/>
      <c r="AM671" s="80"/>
    </row>
    <row r="672" spans="1:39" ht="28.5" customHeight="1">
      <c r="A672" s="113" t="s">
        <v>73</v>
      </c>
      <c r="B672" s="114" t="s">
        <v>74</v>
      </c>
      <c r="C672" s="113" t="s">
        <v>36</v>
      </c>
      <c r="D672" s="113" t="s">
        <v>75</v>
      </c>
      <c r="E672" s="115" t="s">
        <v>2499</v>
      </c>
      <c r="F672" s="113" t="s">
        <v>228</v>
      </c>
      <c r="G672" s="116" t="s">
        <v>2500</v>
      </c>
      <c r="H672" s="79">
        <v>46237</v>
      </c>
      <c r="I672" s="114" t="s">
        <v>79</v>
      </c>
      <c r="J672" s="117" t="s">
        <v>2501</v>
      </c>
      <c r="K672" s="118">
        <v>46230</v>
      </c>
      <c r="L672" s="114" t="s">
        <v>79</v>
      </c>
      <c r="M672" s="119">
        <v>46232</v>
      </c>
      <c r="N672" s="128">
        <v>46237</v>
      </c>
      <c r="O672" s="120">
        <f>NETWORKDAYS.INTL(K672,N672,1,$AM$2:$AM$10)-1</f>
        <v>5</v>
      </c>
      <c r="P672" s="114" t="s">
        <v>81</v>
      </c>
      <c r="Q672" s="114" t="s">
        <v>79</v>
      </c>
      <c r="R672" s="115"/>
      <c r="S672" s="145">
        <v>786</v>
      </c>
      <c r="T672" s="148" t="s">
        <v>2502</v>
      </c>
      <c r="U672" s="147">
        <v>1</v>
      </c>
      <c r="V672" s="121">
        <v>13</v>
      </c>
      <c r="W672" s="121">
        <v>619</v>
      </c>
      <c r="X672" s="114" t="s">
        <v>84</v>
      </c>
      <c r="Y672" s="115" t="s">
        <v>85</v>
      </c>
      <c r="Z672" s="115" t="s">
        <v>86</v>
      </c>
      <c r="AA672" s="113" t="s">
        <v>87</v>
      </c>
      <c r="AB672" s="122">
        <v>288.37</v>
      </c>
      <c r="AC672" s="122">
        <f>IF(C672="DENALI", AB672*0.495, IF(C672="SCHNEIDER ELECTRIC", AB672*1.136, IF(C672="WWT", AB672*1.2, AC672)))+AB672</f>
        <v>615.95831999999996</v>
      </c>
      <c r="AD672" s="129">
        <f>AC672-AB672</f>
        <v>327.58831999999995</v>
      </c>
      <c r="AE672" s="122">
        <v>4493.24</v>
      </c>
      <c r="AF672" s="130">
        <f>AB672/U672</f>
        <v>288.37</v>
      </c>
      <c r="AG672" s="130">
        <f>AB672/V672</f>
        <v>22.182307692307692</v>
      </c>
      <c r="AH672" s="123">
        <f>AB672/S672</f>
        <v>0.36688295165394402</v>
      </c>
      <c r="AI672" s="124" t="s">
        <v>155</v>
      </c>
      <c r="AJ672" s="125" t="s">
        <v>2272</v>
      </c>
      <c r="AK672"/>
      <c r="AM672" s="80"/>
    </row>
    <row r="673" spans="1:39" ht="28.5" customHeight="1">
      <c r="A673" s="113" t="s">
        <v>73</v>
      </c>
      <c r="B673" s="114" t="s">
        <v>74</v>
      </c>
      <c r="C673" s="113" t="s">
        <v>36</v>
      </c>
      <c r="D673" s="113" t="s">
        <v>75</v>
      </c>
      <c r="E673" s="115" t="s">
        <v>2503</v>
      </c>
      <c r="F673" s="113" t="s">
        <v>365</v>
      </c>
      <c r="G673" s="116" t="s">
        <v>2504</v>
      </c>
      <c r="H673" s="79">
        <v>46237</v>
      </c>
      <c r="I673" s="114" t="s">
        <v>79</v>
      </c>
      <c r="J673" s="117" t="s">
        <v>2505</v>
      </c>
      <c r="K673" s="118">
        <v>46230</v>
      </c>
      <c r="L673" s="114" t="s">
        <v>81</v>
      </c>
      <c r="M673" s="119">
        <v>46231</v>
      </c>
      <c r="N673" s="128">
        <v>46237</v>
      </c>
      <c r="O673" s="120">
        <f>NETWORKDAYS.INTL(K673,N673,1,$AM$2:$AM$10)-1</f>
        <v>5</v>
      </c>
      <c r="P673" s="114" t="s">
        <v>81</v>
      </c>
      <c r="Q673" s="114" t="s">
        <v>79</v>
      </c>
      <c r="R673" s="115" t="s">
        <v>2506</v>
      </c>
      <c r="S673" s="145">
        <v>218</v>
      </c>
      <c r="T673" s="148" t="s">
        <v>2507</v>
      </c>
      <c r="U673" s="147">
        <v>1</v>
      </c>
      <c r="V673" s="121">
        <v>6</v>
      </c>
      <c r="W673" s="121">
        <v>272</v>
      </c>
      <c r="X673" s="114" t="s">
        <v>84</v>
      </c>
      <c r="Y673" s="115" t="s">
        <v>85</v>
      </c>
      <c r="Z673" s="115" t="s">
        <v>86</v>
      </c>
      <c r="AA673" s="113" t="s">
        <v>87</v>
      </c>
      <c r="AB673" s="122">
        <v>175.86</v>
      </c>
      <c r="AC673" s="122">
        <f>IF(C673="DENALI", AB673*0.495, IF(C673="SCHNEIDER ELECTRIC", AB673*1.136, IF(C673="WWT", AB673*1.2, AC673)))+AB673</f>
        <v>375.63696000000004</v>
      </c>
      <c r="AD673" s="129">
        <f>AC673-AB673</f>
        <v>199.77696000000003</v>
      </c>
      <c r="AE673" s="122">
        <v>3100.38</v>
      </c>
      <c r="AF673" s="130">
        <f>AB673/U673</f>
        <v>175.86</v>
      </c>
      <c r="AG673" s="130">
        <f>AB673/V673</f>
        <v>29.310000000000002</v>
      </c>
      <c r="AH673" s="123">
        <f>AB673/S673</f>
        <v>0.80669724770642204</v>
      </c>
      <c r="AI673" s="124" t="s">
        <v>115</v>
      </c>
      <c r="AJ673" s="125" t="s">
        <v>2353</v>
      </c>
      <c r="AK673"/>
      <c r="AM673" s="80"/>
    </row>
    <row r="674" spans="1:39" ht="28.5" customHeight="1">
      <c r="A674" s="113" t="s">
        <v>73</v>
      </c>
      <c r="B674" s="114" t="s">
        <v>74</v>
      </c>
      <c r="C674" s="113" t="s">
        <v>36</v>
      </c>
      <c r="D674" s="113" t="s">
        <v>75</v>
      </c>
      <c r="E674" s="115" t="s">
        <v>2508</v>
      </c>
      <c r="F674" s="113" t="s">
        <v>228</v>
      </c>
      <c r="G674" s="116" t="s">
        <v>2509</v>
      </c>
      <c r="H674" s="79">
        <v>46237</v>
      </c>
      <c r="I674" s="114" t="s">
        <v>79</v>
      </c>
      <c r="J674" s="117" t="s">
        <v>2510</v>
      </c>
      <c r="K674" s="118">
        <v>46230</v>
      </c>
      <c r="L674" s="114" t="s">
        <v>81</v>
      </c>
      <c r="M674" s="119">
        <v>46232</v>
      </c>
      <c r="N674" s="128">
        <v>46233</v>
      </c>
      <c r="O674" s="120">
        <f>NETWORKDAYS.INTL(K674,N674,1,$AM$2:$AM$10)-1</f>
        <v>3</v>
      </c>
      <c r="P674" s="114" t="s">
        <v>81</v>
      </c>
      <c r="Q674" s="114" t="s">
        <v>79</v>
      </c>
      <c r="R674" s="115"/>
      <c r="S674" s="145">
        <v>682</v>
      </c>
      <c r="T674" s="148" t="s">
        <v>2511</v>
      </c>
      <c r="U674" s="147">
        <v>1</v>
      </c>
      <c r="V674" s="121">
        <v>7</v>
      </c>
      <c r="W674" s="121">
        <v>566</v>
      </c>
      <c r="X674" s="114" t="s">
        <v>84</v>
      </c>
      <c r="Y674" s="115" t="s">
        <v>85</v>
      </c>
      <c r="Z674" s="115" t="s">
        <v>2312</v>
      </c>
      <c r="AA674" s="113" t="s">
        <v>87</v>
      </c>
      <c r="AB674" s="122">
        <v>192.63</v>
      </c>
      <c r="AC674" s="122">
        <f>IF(C674="DENALI", AB674*0.495, IF(C674="SCHNEIDER ELECTRIC", AB674*1.136, IF(C674="WWT", AB674*1.2, AC674)))+AB674</f>
        <v>411.45767999999998</v>
      </c>
      <c r="AD674" s="129">
        <f>AC674-AB674</f>
        <v>218.82767999999999</v>
      </c>
      <c r="AE674" s="122">
        <v>8922.32</v>
      </c>
      <c r="AF674" s="130">
        <f>AB674/U674</f>
        <v>192.63</v>
      </c>
      <c r="AG674" s="130">
        <f>AB674/V674</f>
        <v>27.518571428571427</v>
      </c>
      <c r="AH674" s="123">
        <f>AB674/S674</f>
        <v>0.28244868035190618</v>
      </c>
      <c r="AI674" s="124" t="s">
        <v>155</v>
      </c>
      <c r="AJ674" s="125" t="s">
        <v>98</v>
      </c>
      <c r="AK674"/>
      <c r="AM674" s="80"/>
    </row>
    <row r="675" spans="1:39" ht="28.5" customHeight="1">
      <c r="A675" s="113" t="s">
        <v>73</v>
      </c>
      <c r="B675" s="114" t="s">
        <v>74</v>
      </c>
      <c r="C675" s="113" t="s">
        <v>36</v>
      </c>
      <c r="D675" s="113" t="s">
        <v>75</v>
      </c>
      <c r="E675" s="115" t="s">
        <v>2512</v>
      </c>
      <c r="F675" s="113" t="s">
        <v>75</v>
      </c>
      <c r="G675" s="116" t="s">
        <v>2513</v>
      </c>
      <c r="H675" s="79">
        <v>46237</v>
      </c>
      <c r="I675" s="114" t="s">
        <v>79</v>
      </c>
      <c r="J675" s="117" t="s">
        <v>2514</v>
      </c>
      <c r="K675" s="118">
        <v>46230</v>
      </c>
      <c r="L675" s="114" t="s">
        <v>81</v>
      </c>
      <c r="M675" s="119">
        <v>46231</v>
      </c>
      <c r="N675" s="128">
        <v>46232</v>
      </c>
      <c r="O675" s="120">
        <f>NETWORKDAYS.INTL(K675,N675,1,$AM$2:$AM$10)-1</f>
        <v>2</v>
      </c>
      <c r="P675" s="114" t="s">
        <v>81</v>
      </c>
      <c r="Q675" s="114" t="s">
        <v>79</v>
      </c>
      <c r="R675" s="115"/>
      <c r="S675" s="145">
        <v>179</v>
      </c>
      <c r="T675" s="148" t="s">
        <v>2515</v>
      </c>
      <c r="U675" s="147">
        <v>2</v>
      </c>
      <c r="V675" s="121">
        <v>19</v>
      </c>
      <c r="W675" s="121">
        <v>1466</v>
      </c>
      <c r="X675" s="114" t="s">
        <v>84</v>
      </c>
      <c r="Y675" s="115" t="s">
        <v>85</v>
      </c>
      <c r="Z675" s="115" t="s">
        <v>2312</v>
      </c>
      <c r="AA675" s="113" t="s">
        <v>87</v>
      </c>
      <c r="AB675" s="122">
        <v>290.76</v>
      </c>
      <c r="AC675" s="122">
        <f>IF(C675="DENALI", AB675*0.495, IF(C675="SCHNEIDER ELECTRIC", AB675*1.136, IF(C675="WWT", AB675*1.2, AC675)))+AB675</f>
        <v>621.06335999999988</v>
      </c>
      <c r="AD675" s="129">
        <f>AC675-AB675</f>
        <v>330.30335999999988</v>
      </c>
      <c r="AE675" s="122">
        <v>8980.9599999999991</v>
      </c>
      <c r="AF675" s="130">
        <f>AB675/U675</f>
        <v>145.38</v>
      </c>
      <c r="AG675" s="130">
        <f>AB675/V675</f>
        <v>15.303157894736842</v>
      </c>
      <c r="AH675" s="123">
        <f>AB675/S675</f>
        <v>1.6243575418994414</v>
      </c>
      <c r="AI675" s="124" t="s">
        <v>88</v>
      </c>
      <c r="AJ675" s="125" t="s">
        <v>98</v>
      </c>
      <c r="AK675"/>
      <c r="AM675" s="80"/>
    </row>
    <row r="676" spans="1:39" ht="28.5" customHeight="1">
      <c r="A676" s="113" t="s">
        <v>73</v>
      </c>
      <c r="B676" s="114" t="s">
        <v>74</v>
      </c>
      <c r="C676" s="113" t="s">
        <v>36</v>
      </c>
      <c r="D676" s="113" t="s">
        <v>75</v>
      </c>
      <c r="E676" s="115" t="s">
        <v>2516</v>
      </c>
      <c r="F676" s="113" t="s">
        <v>644</v>
      </c>
      <c r="G676" s="116" t="s">
        <v>2517</v>
      </c>
      <c r="H676" s="79">
        <v>46237</v>
      </c>
      <c r="I676" s="114" t="s">
        <v>79</v>
      </c>
      <c r="J676" s="117" t="s">
        <v>2518</v>
      </c>
      <c r="K676" s="118">
        <v>46230</v>
      </c>
      <c r="L676" s="114" t="s">
        <v>81</v>
      </c>
      <c r="M676" s="119">
        <v>46231</v>
      </c>
      <c r="N676" s="128">
        <v>46234</v>
      </c>
      <c r="O676" s="120">
        <f>NETWORKDAYS.INTL(K676,N676,1,$AM$2:$AM$10)-1</f>
        <v>4</v>
      </c>
      <c r="P676" s="114" t="s">
        <v>81</v>
      </c>
      <c r="Q676" s="114" t="s">
        <v>79</v>
      </c>
      <c r="R676" s="115"/>
      <c r="S676" s="145">
        <v>769</v>
      </c>
      <c r="T676" s="148" t="s">
        <v>2519</v>
      </c>
      <c r="U676" s="147">
        <v>2</v>
      </c>
      <c r="V676" s="121">
        <v>14</v>
      </c>
      <c r="W676" s="121">
        <v>1169</v>
      </c>
      <c r="X676" s="114" t="s">
        <v>84</v>
      </c>
      <c r="Y676" s="115" t="s">
        <v>85</v>
      </c>
      <c r="Z676" s="115" t="s">
        <v>86</v>
      </c>
      <c r="AA676" s="113" t="s">
        <v>87</v>
      </c>
      <c r="AB676" s="122">
        <v>311.63</v>
      </c>
      <c r="AC676" s="122">
        <f>IF(C676="DENALI", AB676*0.495, IF(C676="SCHNEIDER ELECTRIC", AB676*1.136, IF(C676="WWT", AB676*1.2, AC676)))+AB676</f>
        <v>665.64167999999995</v>
      </c>
      <c r="AD676" s="129">
        <f>AC676-AB676</f>
        <v>354.01167999999996</v>
      </c>
      <c r="AE676" s="122">
        <v>23355.16</v>
      </c>
      <c r="AF676" s="130">
        <f>AB676/U676</f>
        <v>155.815</v>
      </c>
      <c r="AG676" s="130">
        <f>AB676/V676</f>
        <v>22.259285714285713</v>
      </c>
      <c r="AH676" s="123">
        <f>AB676/S676</f>
        <v>0.40524057217165149</v>
      </c>
      <c r="AI676" s="124" t="s">
        <v>155</v>
      </c>
      <c r="AJ676" s="125" t="s">
        <v>2272</v>
      </c>
      <c r="AK676"/>
      <c r="AM676" s="80"/>
    </row>
    <row r="677" spans="1:39" ht="28.5" customHeight="1">
      <c r="A677" s="113" t="s">
        <v>73</v>
      </c>
      <c r="B677" s="114" t="s">
        <v>74</v>
      </c>
      <c r="C677" s="113" t="s">
        <v>36</v>
      </c>
      <c r="D677" s="113" t="s">
        <v>75</v>
      </c>
      <c r="E677" s="115" t="s">
        <v>2520</v>
      </c>
      <c r="F677" s="113" t="s">
        <v>644</v>
      </c>
      <c r="G677" s="116" t="s">
        <v>2521</v>
      </c>
      <c r="H677" s="79">
        <v>46237</v>
      </c>
      <c r="I677" s="114" t="s">
        <v>79</v>
      </c>
      <c r="J677" s="117" t="s">
        <v>2522</v>
      </c>
      <c r="K677" s="118">
        <v>46230</v>
      </c>
      <c r="L677" s="114" t="s">
        <v>81</v>
      </c>
      <c r="M677" s="119">
        <v>46232</v>
      </c>
      <c r="N677" s="128">
        <v>46240</v>
      </c>
      <c r="O677" s="120">
        <f>NETWORKDAYS.INTL(K677,N677,1,$AM$2:$AM$10)-1</f>
        <v>8</v>
      </c>
      <c r="P677" s="114" t="s">
        <v>79</v>
      </c>
      <c r="Q677" s="114" t="s">
        <v>79</v>
      </c>
      <c r="R677" s="115"/>
      <c r="S677" s="145">
        <v>738</v>
      </c>
      <c r="T677" s="148" t="s">
        <v>2523</v>
      </c>
      <c r="U677" s="147">
        <v>3</v>
      </c>
      <c r="V677" s="121">
        <v>13</v>
      </c>
      <c r="W677" s="121">
        <v>2066</v>
      </c>
      <c r="X677" s="114" t="s">
        <v>84</v>
      </c>
      <c r="Y677" s="115" t="s">
        <v>85</v>
      </c>
      <c r="Z677" s="115" t="s">
        <v>86</v>
      </c>
      <c r="AA677" s="113" t="s">
        <v>87</v>
      </c>
      <c r="AB677" s="122">
        <v>455.28</v>
      </c>
      <c r="AC677" s="122">
        <f>IF(C677="DENALI", AB677*0.495, IF(C677="SCHNEIDER ELECTRIC", AB677*1.136, IF(C677="WWT", AB677*1.2, AC677)))+AB677</f>
        <v>972.47807999999986</v>
      </c>
      <c r="AD677" s="129">
        <f>AC677-AB677</f>
        <v>517.19807999999989</v>
      </c>
      <c r="AE677" s="122">
        <v>53521.65</v>
      </c>
      <c r="AF677" s="130">
        <f>AB677/U677</f>
        <v>151.76</v>
      </c>
      <c r="AG677" s="130">
        <f>AB677/V677</f>
        <v>35.021538461538462</v>
      </c>
      <c r="AH677" s="123">
        <f>AB677/S677</f>
        <v>0.61691056910569098</v>
      </c>
      <c r="AI677" s="124" t="s">
        <v>97</v>
      </c>
      <c r="AJ677" s="125" t="s">
        <v>2267</v>
      </c>
      <c r="AK677"/>
      <c r="AM677" s="80"/>
    </row>
    <row r="678" spans="1:39" ht="28.5" customHeight="1">
      <c r="A678" s="113" t="s">
        <v>73</v>
      </c>
      <c r="B678" s="114" t="s">
        <v>74</v>
      </c>
      <c r="C678" s="113" t="s">
        <v>36</v>
      </c>
      <c r="D678" s="113" t="s">
        <v>75</v>
      </c>
      <c r="E678" s="115" t="s">
        <v>2524</v>
      </c>
      <c r="F678" s="113" t="s">
        <v>109</v>
      </c>
      <c r="G678" s="116" t="s">
        <v>2525</v>
      </c>
      <c r="H678" s="79">
        <v>46237</v>
      </c>
      <c r="I678" s="114" t="s">
        <v>79</v>
      </c>
      <c r="J678" s="117" t="s">
        <v>2526</v>
      </c>
      <c r="K678" s="118">
        <v>46230</v>
      </c>
      <c r="L678" s="114" t="s">
        <v>79</v>
      </c>
      <c r="M678" s="119">
        <v>46232</v>
      </c>
      <c r="N678" s="128">
        <v>46244</v>
      </c>
      <c r="O678" s="120">
        <f>NETWORKDAYS.INTL(K678,N678,1,$AM$2:$AM$10)-1</f>
        <v>10</v>
      </c>
      <c r="P678" s="114" t="s">
        <v>79</v>
      </c>
      <c r="Q678" s="114" t="s">
        <v>79</v>
      </c>
      <c r="R678" s="115"/>
      <c r="S678" s="145">
        <v>1102</v>
      </c>
      <c r="T678" s="148" t="s">
        <v>2527</v>
      </c>
      <c r="U678" s="147">
        <v>1</v>
      </c>
      <c r="V678" s="121">
        <v>8</v>
      </c>
      <c r="W678" s="121">
        <v>656</v>
      </c>
      <c r="X678" s="114" t="s">
        <v>84</v>
      </c>
      <c r="Y678" s="115" t="s">
        <v>85</v>
      </c>
      <c r="Z678" s="115" t="s">
        <v>86</v>
      </c>
      <c r="AA678" s="113" t="s">
        <v>87</v>
      </c>
      <c r="AB678" s="122">
        <v>275.69</v>
      </c>
      <c r="AC678" s="122">
        <f>IF(C678="DENALI", AB678*0.495, IF(C678="SCHNEIDER ELECTRIC", AB678*1.136, IF(C678="WWT", AB678*1.2, AC678)))+AB678</f>
        <v>588.87383999999997</v>
      </c>
      <c r="AD678" s="129">
        <f>AC678-AB678</f>
        <v>313.18383999999998</v>
      </c>
      <c r="AE678" s="122">
        <v>3972.8</v>
      </c>
      <c r="AF678" s="130">
        <f>AB678/U678</f>
        <v>275.69</v>
      </c>
      <c r="AG678" s="130">
        <f>AB678/V678</f>
        <v>34.46125</v>
      </c>
      <c r="AH678" s="123">
        <f>AB678/S678</f>
        <v>0.25017241379310345</v>
      </c>
      <c r="AI678" s="124" t="s">
        <v>147</v>
      </c>
      <c r="AJ678" s="125" t="s">
        <v>2267</v>
      </c>
      <c r="AK678"/>
      <c r="AM678" s="80"/>
    </row>
    <row r="679" spans="1:39" ht="28.5" customHeight="1">
      <c r="A679" s="113" t="s">
        <v>73</v>
      </c>
      <c r="B679" s="114" t="s">
        <v>74</v>
      </c>
      <c r="C679" s="113" t="s">
        <v>36</v>
      </c>
      <c r="D679" s="113" t="s">
        <v>75</v>
      </c>
      <c r="E679" s="115" t="s">
        <v>1845</v>
      </c>
      <c r="F679" s="113" t="s">
        <v>218</v>
      </c>
      <c r="G679" s="116" t="s">
        <v>2528</v>
      </c>
      <c r="H679" s="79">
        <v>46237</v>
      </c>
      <c r="I679" s="114" t="s">
        <v>79</v>
      </c>
      <c r="J679" s="117" t="s">
        <v>2529</v>
      </c>
      <c r="K679" s="118">
        <v>46230</v>
      </c>
      <c r="L679" s="114" t="s">
        <v>81</v>
      </c>
      <c r="M679" s="119">
        <v>46232</v>
      </c>
      <c r="N679" s="128">
        <v>46233</v>
      </c>
      <c r="O679" s="120">
        <f>NETWORKDAYS.INTL(K679,N679,1,$AM$2:$AM$10)-1</f>
        <v>3</v>
      </c>
      <c r="P679" s="114" t="s">
        <v>81</v>
      </c>
      <c r="Q679" s="114" t="s">
        <v>79</v>
      </c>
      <c r="R679" s="115"/>
      <c r="S679" s="145">
        <v>620</v>
      </c>
      <c r="T679" s="148" t="s">
        <v>2530</v>
      </c>
      <c r="U679" s="147">
        <v>1</v>
      </c>
      <c r="V679" s="121">
        <v>9</v>
      </c>
      <c r="W679" s="121">
        <v>766</v>
      </c>
      <c r="X679" s="114" t="s">
        <v>84</v>
      </c>
      <c r="Y679" s="115" t="s">
        <v>85</v>
      </c>
      <c r="Z679" s="115" t="s">
        <v>2312</v>
      </c>
      <c r="AA679" s="113" t="s">
        <v>87</v>
      </c>
      <c r="AB679" s="122">
        <v>214.37</v>
      </c>
      <c r="AC679" s="122">
        <f>IF(C679="DENALI", AB679*0.495, IF(C679="SCHNEIDER ELECTRIC", AB679*1.136, IF(C679="WWT", AB679*1.2, AC679)))+AB679</f>
        <v>457.89431999999999</v>
      </c>
      <c r="AD679" s="129">
        <f>AC679-AB679</f>
        <v>243.52431999999999</v>
      </c>
      <c r="AE679" s="122">
        <v>4961.2700000000004</v>
      </c>
      <c r="AF679" s="130">
        <f>AB679/U679</f>
        <v>214.37</v>
      </c>
      <c r="AG679" s="130">
        <f>AB679/V679</f>
        <v>23.818888888888889</v>
      </c>
      <c r="AH679" s="123">
        <f>AB679/S679</f>
        <v>0.34575806451612906</v>
      </c>
      <c r="AI679" s="124" t="s">
        <v>115</v>
      </c>
      <c r="AJ679" s="125" t="s">
        <v>98</v>
      </c>
      <c r="AK679"/>
      <c r="AM679" s="80"/>
    </row>
    <row r="680" spans="1:39" ht="28.5" customHeight="1">
      <c r="A680" s="113" t="s">
        <v>73</v>
      </c>
      <c r="B680" s="114" t="s">
        <v>74</v>
      </c>
      <c r="C680" s="113" t="s">
        <v>36</v>
      </c>
      <c r="D680" s="113" t="s">
        <v>75</v>
      </c>
      <c r="E680" s="115" t="s">
        <v>643</v>
      </c>
      <c r="F680" s="113" t="s">
        <v>109</v>
      </c>
      <c r="G680" s="116" t="s">
        <v>2531</v>
      </c>
      <c r="H680" s="79">
        <v>46238</v>
      </c>
      <c r="I680" s="114" t="s">
        <v>79</v>
      </c>
      <c r="J680" s="117" t="s">
        <v>2532</v>
      </c>
      <c r="K680" s="118">
        <v>46231</v>
      </c>
      <c r="L680" s="114" t="s">
        <v>81</v>
      </c>
      <c r="M680" s="119">
        <v>46233</v>
      </c>
      <c r="N680" s="128">
        <v>46234</v>
      </c>
      <c r="O680" s="120">
        <f>NETWORKDAYS.INTL(K680,N680,1,$AM$2:$AM$10)-1</f>
        <v>3</v>
      </c>
      <c r="P680" s="114" t="s">
        <v>81</v>
      </c>
      <c r="Q680" s="114" t="s">
        <v>79</v>
      </c>
      <c r="R680" s="115"/>
      <c r="S680" s="145">
        <v>763</v>
      </c>
      <c r="T680" s="148" t="s">
        <v>2533</v>
      </c>
      <c r="U680" s="147">
        <v>3</v>
      </c>
      <c r="V680" s="121">
        <v>18</v>
      </c>
      <c r="W680" s="121">
        <v>2659</v>
      </c>
      <c r="X680" s="114" t="s">
        <v>84</v>
      </c>
      <c r="Y680" s="115" t="s">
        <v>85</v>
      </c>
      <c r="Z680" s="115" t="s">
        <v>86</v>
      </c>
      <c r="AA680" s="113" t="s">
        <v>87</v>
      </c>
      <c r="AB680" s="122">
        <v>393.17</v>
      </c>
      <c r="AC680" s="122">
        <f>IF(C680="DENALI", AB680*0.495, IF(C680="SCHNEIDER ELECTRIC", AB680*1.136, IF(C680="WWT", AB680*1.2, AC680)))+AB680</f>
        <v>839.81112000000007</v>
      </c>
      <c r="AD680" s="129">
        <f>AC680-AB680</f>
        <v>446.64112000000006</v>
      </c>
      <c r="AE680" s="122">
        <v>68966.44</v>
      </c>
      <c r="AF680" s="130">
        <f>AB680/U680</f>
        <v>131.05666666666667</v>
      </c>
      <c r="AG680" s="130">
        <f>AB680/V680</f>
        <v>21.84277777777778</v>
      </c>
      <c r="AH680" s="123">
        <f>AB680/S680</f>
        <v>0.51529488859764094</v>
      </c>
      <c r="AI680" s="124" t="s">
        <v>97</v>
      </c>
      <c r="AJ680" s="125" t="s">
        <v>2267</v>
      </c>
      <c r="AK680"/>
      <c r="AM680" s="80"/>
    </row>
    <row r="681" spans="1:39" ht="28.5" customHeight="1">
      <c r="A681" s="113" t="s">
        <v>73</v>
      </c>
      <c r="B681" s="114" t="s">
        <v>74</v>
      </c>
      <c r="C681" s="113" t="s">
        <v>36</v>
      </c>
      <c r="D681" s="113" t="s">
        <v>75</v>
      </c>
      <c r="E681" s="115" t="s">
        <v>2534</v>
      </c>
      <c r="F681" s="113" t="s">
        <v>272</v>
      </c>
      <c r="G681" s="116" t="s">
        <v>2535</v>
      </c>
      <c r="H681" s="79">
        <v>46238</v>
      </c>
      <c r="I681" s="114" t="s">
        <v>79</v>
      </c>
      <c r="J681" s="117" t="s">
        <v>2536</v>
      </c>
      <c r="K681" s="118">
        <v>46231</v>
      </c>
      <c r="L681" s="114" t="s">
        <v>81</v>
      </c>
      <c r="M681" s="119">
        <v>46233</v>
      </c>
      <c r="N681" s="128">
        <v>46234</v>
      </c>
      <c r="O681" s="120">
        <f>NETWORKDAYS.INTL(K681,N681,1,$AM$2:$AM$10)-1</f>
        <v>3</v>
      </c>
      <c r="P681" s="114" t="s">
        <v>81</v>
      </c>
      <c r="Q681" s="114" t="s">
        <v>79</v>
      </c>
      <c r="R681" s="115"/>
      <c r="S681" s="145">
        <v>626</v>
      </c>
      <c r="T681" s="148" t="s">
        <v>2537</v>
      </c>
      <c r="U681" s="147">
        <v>1</v>
      </c>
      <c r="V681" s="121">
        <v>9</v>
      </c>
      <c r="W681" s="121">
        <v>815</v>
      </c>
      <c r="X681" s="114" t="s">
        <v>84</v>
      </c>
      <c r="Y681" s="115" t="s">
        <v>85</v>
      </c>
      <c r="Z681" s="115" t="s">
        <v>86</v>
      </c>
      <c r="AA681" s="113" t="s">
        <v>87</v>
      </c>
      <c r="AB681" s="122">
        <v>238.92</v>
      </c>
      <c r="AC681" s="122">
        <f>IF(C681="DENALI", AB681*0.495, IF(C681="SCHNEIDER ELECTRIC", AB681*1.136, IF(C681="WWT", AB681*1.2, AC681)))+AB681</f>
        <v>510.33311999999989</v>
      </c>
      <c r="AD681" s="129">
        <f>AC681-AB681</f>
        <v>271.41311999999994</v>
      </c>
      <c r="AE681" s="122">
        <v>16913.849999999999</v>
      </c>
      <c r="AF681" s="130">
        <f>AB681/U681</f>
        <v>238.92</v>
      </c>
      <c r="AG681" s="130">
        <f>AB681/V681</f>
        <v>26.546666666666667</v>
      </c>
      <c r="AH681" s="123">
        <f>AB681/S681</f>
        <v>0.38166134185303513</v>
      </c>
      <c r="AI681" s="124" t="s">
        <v>155</v>
      </c>
      <c r="AJ681" s="125" t="s">
        <v>2272</v>
      </c>
      <c r="AK681"/>
      <c r="AM681" s="80"/>
    </row>
    <row r="682" spans="1:39" ht="28.5" customHeight="1">
      <c r="A682" s="113" t="s">
        <v>73</v>
      </c>
      <c r="B682" s="114" t="s">
        <v>74</v>
      </c>
      <c r="C682" s="113" t="s">
        <v>35</v>
      </c>
      <c r="D682" s="113" t="s">
        <v>99</v>
      </c>
      <c r="E682" s="115" t="s">
        <v>141</v>
      </c>
      <c r="F682" s="113" t="s">
        <v>2256</v>
      </c>
      <c r="G682" s="116" t="s">
        <v>2538</v>
      </c>
      <c r="H682" s="79">
        <v>46237</v>
      </c>
      <c r="I682" s="114" t="s">
        <v>79</v>
      </c>
      <c r="J682" s="117" t="s">
        <v>2539</v>
      </c>
      <c r="K682" s="118">
        <v>46230</v>
      </c>
      <c r="L682" s="114" t="s">
        <v>81</v>
      </c>
      <c r="M682" s="119">
        <v>46237</v>
      </c>
      <c r="N682" s="128">
        <v>46238</v>
      </c>
      <c r="O682" s="120">
        <f>NETWORKDAYS.INTL(K682,N682,1,$AM$2:$AM$10)-1</f>
        <v>6</v>
      </c>
      <c r="P682" s="114" t="s">
        <v>81</v>
      </c>
      <c r="Q682" s="114" t="s">
        <v>79</v>
      </c>
      <c r="R682" s="115"/>
      <c r="S682" s="145">
        <v>2435</v>
      </c>
      <c r="T682" s="148" t="s">
        <v>2540</v>
      </c>
      <c r="U682" s="147">
        <v>4</v>
      </c>
      <c r="V682" s="121">
        <v>66</v>
      </c>
      <c r="W682" s="121">
        <v>1165</v>
      </c>
      <c r="X682" s="114" t="s">
        <v>84</v>
      </c>
      <c r="Y682" s="115" t="s">
        <v>85</v>
      </c>
      <c r="Z682" s="115" t="s">
        <v>86</v>
      </c>
      <c r="AA682" s="113" t="s">
        <v>87</v>
      </c>
      <c r="AB682" s="122">
        <v>1034.01</v>
      </c>
      <c r="AC682" s="122">
        <f>IF(C682="DENALI", AB682*0.495, IF(C682="SCHNEIDER ELECTRIC", AB682*1.136, IF(C682="WWT", AB682*1.2, AC682)))+AB682</f>
        <v>1545.8449499999999</v>
      </c>
      <c r="AD682" s="129">
        <f>AC682-AB682</f>
        <v>511.83494999999994</v>
      </c>
      <c r="AE682" s="122">
        <v>105765.15</v>
      </c>
      <c r="AF682" s="130">
        <f>AB682/U682</f>
        <v>258.5025</v>
      </c>
      <c r="AG682" s="130">
        <f>AB682/V682</f>
        <v>15.666818181818181</v>
      </c>
      <c r="AH682" s="123">
        <f>AB682/S682</f>
        <v>0.42464476386036959</v>
      </c>
      <c r="AI682" s="124" t="s">
        <v>97</v>
      </c>
      <c r="AJ682" s="125" t="s">
        <v>349</v>
      </c>
      <c r="AK682"/>
      <c r="AM682" s="80"/>
    </row>
    <row r="683" spans="1:39" ht="28.5" customHeight="1">
      <c r="A683" s="113" t="s">
        <v>73</v>
      </c>
      <c r="B683" s="114" t="s">
        <v>74</v>
      </c>
      <c r="C683" s="113" t="s">
        <v>36</v>
      </c>
      <c r="D683" s="113" t="s">
        <v>75</v>
      </c>
      <c r="E683" s="115" t="s">
        <v>2541</v>
      </c>
      <c r="F683" s="113" t="s">
        <v>207</v>
      </c>
      <c r="G683" s="116" t="s">
        <v>2542</v>
      </c>
      <c r="H683" s="79">
        <v>46238</v>
      </c>
      <c r="I683" s="114" t="s">
        <v>79</v>
      </c>
      <c r="J683" s="117" t="s">
        <v>2543</v>
      </c>
      <c r="K683" s="118">
        <v>46231</v>
      </c>
      <c r="L683" s="114" t="s">
        <v>81</v>
      </c>
      <c r="M683" s="119">
        <v>46232</v>
      </c>
      <c r="N683" s="128">
        <v>46234</v>
      </c>
      <c r="O683" s="120">
        <f>NETWORKDAYS.INTL(K683,N683,1,$AM$2:$AM$10)-1</f>
        <v>3</v>
      </c>
      <c r="P683" s="114" t="s">
        <v>81</v>
      </c>
      <c r="Q683" s="114" t="s">
        <v>79</v>
      </c>
      <c r="R683" s="115"/>
      <c r="S683" s="145">
        <v>320</v>
      </c>
      <c r="T683" s="148" t="s">
        <v>2544</v>
      </c>
      <c r="U683" s="147">
        <v>1</v>
      </c>
      <c r="V683" s="121">
        <v>9</v>
      </c>
      <c r="W683" s="121">
        <v>928</v>
      </c>
      <c r="X683" s="114" t="s">
        <v>84</v>
      </c>
      <c r="Y683" s="115" t="s">
        <v>85</v>
      </c>
      <c r="Z683" s="115" t="s">
        <v>86</v>
      </c>
      <c r="AA683" s="113" t="s">
        <v>87</v>
      </c>
      <c r="AB683" s="122">
        <v>247.62</v>
      </c>
      <c r="AC683" s="122">
        <f>IF(C683="DENALI", AB683*0.495, IF(C683="SCHNEIDER ELECTRIC", AB683*1.136, IF(C683="WWT", AB683*1.2, AC683)))+AB683</f>
        <v>528.91632000000004</v>
      </c>
      <c r="AD683" s="129">
        <f>AC683-AB683</f>
        <v>281.29632000000004</v>
      </c>
      <c r="AE683" s="122">
        <v>18191.29</v>
      </c>
      <c r="AF683" s="130">
        <f>AB683/U683</f>
        <v>247.62</v>
      </c>
      <c r="AG683" s="130">
        <f>AB683/V683</f>
        <v>27.513333333333335</v>
      </c>
      <c r="AH683" s="123">
        <f>AB683/S683</f>
        <v>0.77381250000000001</v>
      </c>
      <c r="AI683" s="124" t="s">
        <v>155</v>
      </c>
      <c r="AJ683" s="125" t="s">
        <v>2272</v>
      </c>
      <c r="AK683"/>
      <c r="AM683" s="80"/>
    </row>
    <row r="684" spans="1:39" ht="28.5" customHeight="1">
      <c r="A684" s="113" t="s">
        <v>73</v>
      </c>
      <c r="B684" s="114" t="s">
        <v>74</v>
      </c>
      <c r="C684" s="113" t="s">
        <v>36</v>
      </c>
      <c r="D684" s="113" t="s">
        <v>75</v>
      </c>
      <c r="E684" s="115" t="s">
        <v>2545</v>
      </c>
      <c r="F684" s="113" t="s">
        <v>228</v>
      </c>
      <c r="G684" s="116" t="s">
        <v>2546</v>
      </c>
      <c r="H684" s="79">
        <v>46238</v>
      </c>
      <c r="I684" s="114" t="s">
        <v>79</v>
      </c>
      <c r="J684" s="117" t="s">
        <v>2547</v>
      </c>
      <c r="K684" s="118">
        <v>46231</v>
      </c>
      <c r="L684" s="114" t="s">
        <v>81</v>
      </c>
      <c r="M684" s="119">
        <v>46233</v>
      </c>
      <c r="N684" s="128">
        <v>46233</v>
      </c>
      <c r="O684" s="120">
        <f>NETWORKDAYS.INTL(K684,N684,1,$AM$2:$AM$10)-1</f>
        <v>2</v>
      </c>
      <c r="P684" s="114" t="s">
        <v>81</v>
      </c>
      <c r="Q684" s="114" t="s">
        <v>79</v>
      </c>
      <c r="R684" s="115"/>
      <c r="S684" s="145">
        <v>707.4</v>
      </c>
      <c r="T684" s="148" t="s">
        <v>2548</v>
      </c>
      <c r="U684" s="147">
        <v>1</v>
      </c>
      <c r="V684" s="121">
        <v>5</v>
      </c>
      <c r="W684" s="121">
        <v>562</v>
      </c>
      <c r="X684" s="114" t="s">
        <v>84</v>
      </c>
      <c r="Y684" s="115" t="s">
        <v>85</v>
      </c>
      <c r="Z684" s="115" t="s">
        <v>2312</v>
      </c>
      <c r="AA684" s="113" t="s">
        <v>87</v>
      </c>
      <c r="AB684" s="122">
        <v>173.15</v>
      </c>
      <c r="AC684" s="122">
        <f>IF(C684="DENALI", AB684*0.495, IF(C684="SCHNEIDER ELECTRIC", AB684*1.136, IF(C684="WWT", AB684*1.2, AC684)))+AB684</f>
        <v>369.84839999999997</v>
      </c>
      <c r="AD684" s="129">
        <f>AC684-AB684</f>
        <v>196.69839999999996</v>
      </c>
      <c r="AE684" s="122">
        <v>12004.01</v>
      </c>
      <c r="AF684" s="130">
        <f>AB684/U684</f>
        <v>173.15</v>
      </c>
      <c r="AG684" s="130">
        <f>AB684/V684</f>
        <v>34.630000000000003</v>
      </c>
      <c r="AH684" s="123">
        <f>AB684/S684</f>
        <v>0.2447695787390444</v>
      </c>
      <c r="AI684" s="124" t="s">
        <v>155</v>
      </c>
      <c r="AJ684" s="125" t="s">
        <v>98</v>
      </c>
      <c r="AK684"/>
      <c r="AM684" s="80"/>
    </row>
    <row r="685" spans="1:39" ht="28.5" customHeight="1">
      <c r="A685" s="113" t="s">
        <v>73</v>
      </c>
      <c r="B685" s="114" t="s">
        <v>74</v>
      </c>
      <c r="C685" s="113" t="s">
        <v>36</v>
      </c>
      <c r="D685" s="113" t="s">
        <v>75</v>
      </c>
      <c r="E685" s="115" t="s">
        <v>2549</v>
      </c>
      <c r="F685" s="113" t="s">
        <v>131</v>
      </c>
      <c r="G685" s="116" t="s">
        <v>2550</v>
      </c>
      <c r="H685" s="79">
        <v>46238</v>
      </c>
      <c r="I685" s="114" t="s">
        <v>79</v>
      </c>
      <c r="J685" s="117" t="s">
        <v>2551</v>
      </c>
      <c r="K685" s="118">
        <v>46231</v>
      </c>
      <c r="L685" s="114" t="s">
        <v>79</v>
      </c>
      <c r="M685" s="119">
        <v>46232</v>
      </c>
      <c r="N685" s="128">
        <v>46234</v>
      </c>
      <c r="O685" s="120">
        <f>NETWORKDAYS.INTL(K685,N685,1,$AM$2:$AM$10)-1</f>
        <v>3</v>
      </c>
      <c r="P685" s="114" t="s">
        <v>81</v>
      </c>
      <c r="Q685" s="114" t="s">
        <v>79</v>
      </c>
      <c r="R685" s="115"/>
      <c r="S685" s="145">
        <v>374</v>
      </c>
      <c r="T685" s="148" t="s">
        <v>2552</v>
      </c>
      <c r="U685" s="147">
        <v>1</v>
      </c>
      <c r="V685" s="121">
        <v>5</v>
      </c>
      <c r="W685" s="121">
        <v>562</v>
      </c>
      <c r="X685" s="114" t="s">
        <v>84</v>
      </c>
      <c r="Y685" s="115" t="s">
        <v>85</v>
      </c>
      <c r="Z685" s="115" t="s">
        <v>86</v>
      </c>
      <c r="AA685" s="113" t="s">
        <v>87</v>
      </c>
      <c r="AB685" s="122">
        <v>570.29</v>
      </c>
      <c r="AC685" s="122">
        <f>IF(C685="DENALI", AB685*0.495, IF(C685="SCHNEIDER ELECTRIC", AB685*1.136, IF(C685="WWT", AB685*1.2, AC685)))+AB685</f>
        <v>1218.1394399999999</v>
      </c>
      <c r="AD685" s="129">
        <f>AC685-AB685</f>
        <v>647.84943999999996</v>
      </c>
      <c r="AE685" s="122">
        <v>12004.01</v>
      </c>
      <c r="AF685" s="130">
        <f>AB685/U685</f>
        <v>570.29</v>
      </c>
      <c r="AG685" s="130">
        <f>AB685/V685</f>
        <v>114.05799999999999</v>
      </c>
      <c r="AH685" s="123">
        <f>AB685/S685</f>
        <v>1.5248395721925132</v>
      </c>
      <c r="AI685" s="124" t="s">
        <v>240</v>
      </c>
      <c r="AJ685" s="125" t="s">
        <v>2249</v>
      </c>
      <c r="AK685"/>
      <c r="AM685" s="80"/>
    </row>
    <row r="686" spans="1:39" ht="28.5" customHeight="1">
      <c r="A686" s="113" t="s">
        <v>73</v>
      </c>
      <c r="B686" s="114" t="s">
        <v>74</v>
      </c>
      <c r="C686" s="113" t="s">
        <v>36</v>
      </c>
      <c r="D686" s="113" t="s">
        <v>75</v>
      </c>
      <c r="E686" s="115" t="s">
        <v>2553</v>
      </c>
      <c r="F686" s="113" t="s">
        <v>365</v>
      </c>
      <c r="G686" s="116" t="s">
        <v>2554</v>
      </c>
      <c r="H686" s="79">
        <v>46238</v>
      </c>
      <c r="I686" s="114" t="s">
        <v>79</v>
      </c>
      <c r="J686" s="117" t="s">
        <v>2555</v>
      </c>
      <c r="K686" s="118">
        <v>46231</v>
      </c>
      <c r="L686" s="114" t="s">
        <v>81</v>
      </c>
      <c r="M686" s="119">
        <v>46232</v>
      </c>
      <c r="N686" s="128">
        <v>46233</v>
      </c>
      <c r="O686" s="120">
        <f>NETWORKDAYS.INTL(K686,N686,1,$AM$2:$AM$10)-1</f>
        <v>2</v>
      </c>
      <c r="P686" s="114" t="s">
        <v>81</v>
      </c>
      <c r="Q686" s="114" t="s">
        <v>79</v>
      </c>
      <c r="R686" s="115"/>
      <c r="S686" s="145">
        <v>187</v>
      </c>
      <c r="T686" s="148" t="s">
        <v>2556</v>
      </c>
      <c r="U686" s="147">
        <v>1</v>
      </c>
      <c r="V686" s="121">
        <v>9</v>
      </c>
      <c r="W686" s="121">
        <v>782</v>
      </c>
      <c r="X686" s="114" t="s">
        <v>84</v>
      </c>
      <c r="Y686" s="115" t="s">
        <v>85</v>
      </c>
      <c r="Z686" s="115" t="s">
        <v>86</v>
      </c>
      <c r="AA686" s="113" t="s">
        <v>87</v>
      </c>
      <c r="AB686" s="122">
        <v>323.27999999999997</v>
      </c>
      <c r="AC686" s="122">
        <f>IF(C686="DENALI", AB686*0.495, IF(C686="SCHNEIDER ELECTRIC", AB686*1.136, IF(C686="WWT", AB686*1.2, AC686)))+AB686</f>
        <v>690.52607999999987</v>
      </c>
      <c r="AD686" s="129">
        <f>AC686-AB686</f>
        <v>367.24607999999989</v>
      </c>
      <c r="AE686" s="122">
        <v>15636.41</v>
      </c>
      <c r="AF686" s="130">
        <f>AB686/U686</f>
        <v>323.27999999999997</v>
      </c>
      <c r="AG686" s="130">
        <f>AB686/V686</f>
        <v>35.919999999999995</v>
      </c>
      <c r="AH686" s="123">
        <f>AB686/S686</f>
        <v>1.7287700534759356</v>
      </c>
      <c r="AI686" s="124" t="s">
        <v>155</v>
      </c>
      <c r="AJ686" s="125" t="s">
        <v>98</v>
      </c>
      <c r="AK686"/>
      <c r="AM686" s="80"/>
    </row>
    <row r="687" spans="1:39" ht="28.5" customHeight="1">
      <c r="A687" s="113" t="s">
        <v>73</v>
      </c>
      <c r="B687" s="114" t="s">
        <v>74</v>
      </c>
      <c r="C687" s="113" t="s">
        <v>36</v>
      </c>
      <c r="D687" s="113" t="s">
        <v>75</v>
      </c>
      <c r="E687" s="115" t="s">
        <v>2557</v>
      </c>
      <c r="F687" s="113" t="s">
        <v>228</v>
      </c>
      <c r="G687" s="116" t="s">
        <v>2558</v>
      </c>
      <c r="H687" s="79">
        <v>46238</v>
      </c>
      <c r="I687" s="114" t="s">
        <v>79</v>
      </c>
      <c r="J687" s="117" t="s">
        <v>2559</v>
      </c>
      <c r="K687" s="118">
        <v>46231</v>
      </c>
      <c r="L687" s="114" t="s">
        <v>81</v>
      </c>
      <c r="M687" s="119">
        <v>46233</v>
      </c>
      <c r="N687" s="128">
        <v>46234</v>
      </c>
      <c r="O687" s="120">
        <f>NETWORKDAYS.INTL(K687,N687,1,$AM$2:$AM$10)-1</f>
        <v>3</v>
      </c>
      <c r="P687" s="114" t="s">
        <v>81</v>
      </c>
      <c r="Q687" s="114" t="s">
        <v>79</v>
      </c>
      <c r="R687" s="115"/>
      <c r="S687" s="145">
        <v>679</v>
      </c>
      <c r="T687" s="148" t="s">
        <v>2560</v>
      </c>
      <c r="U687" s="147">
        <v>2</v>
      </c>
      <c r="V687" s="121">
        <v>12</v>
      </c>
      <c r="W687" s="121">
        <v>1085</v>
      </c>
      <c r="X687" s="114" t="s">
        <v>84</v>
      </c>
      <c r="Y687" s="115" t="s">
        <v>85</v>
      </c>
      <c r="Z687" s="115" t="s">
        <v>2312</v>
      </c>
      <c r="AA687" s="113" t="s">
        <v>87</v>
      </c>
      <c r="AB687" s="122">
        <v>214.22</v>
      </c>
      <c r="AC687" s="122">
        <f>IF(C687="DENALI", AB687*0.495, IF(C687="SCHNEIDER ELECTRIC", AB687*1.136, IF(C687="WWT", AB687*1.2, AC687)))+AB687</f>
        <v>457.57391999999999</v>
      </c>
      <c r="AD687" s="129">
        <f>AC687-AB687</f>
        <v>243.35391999999999</v>
      </c>
      <c r="AE687" s="122">
        <v>32391.65</v>
      </c>
      <c r="AF687" s="130">
        <f>AB687/U687</f>
        <v>107.11</v>
      </c>
      <c r="AG687" s="130">
        <f>AB687/V687</f>
        <v>17.851666666666667</v>
      </c>
      <c r="AH687" s="123">
        <f>AB687/S687</f>
        <v>0.31549337260677468</v>
      </c>
      <c r="AI687" s="124" t="s">
        <v>97</v>
      </c>
      <c r="AJ687" s="125" t="s">
        <v>98</v>
      </c>
      <c r="AK687"/>
      <c r="AM687" s="80"/>
    </row>
    <row r="688" spans="1:39" ht="28.5" customHeight="1">
      <c r="A688" s="113" t="s">
        <v>73</v>
      </c>
      <c r="B688" s="114" t="s">
        <v>74</v>
      </c>
      <c r="C688" s="113" t="s">
        <v>36</v>
      </c>
      <c r="D688" s="113" t="s">
        <v>90</v>
      </c>
      <c r="E688" s="115" t="s">
        <v>2561</v>
      </c>
      <c r="F688" s="113" t="s">
        <v>92</v>
      </c>
      <c r="G688" s="116" t="s">
        <v>2562</v>
      </c>
      <c r="H688" s="79">
        <v>46238</v>
      </c>
      <c r="I688" s="114" t="s">
        <v>79</v>
      </c>
      <c r="J688" s="117" t="s">
        <v>2563</v>
      </c>
      <c r="K688" s="118">
        <v>46231</v>
      </c>
      <c r="L688" s="114" t="s">
        <v>81</v>
      </c>
      <c r="M688" s="119">
        <v>46234</v>
      </c>
      <c r="N688" s="128">
        <v>46237</v>
      </c>
      <c r="O688" s="120">
        <f>NETWORKDAYS.INTL(K688,N688,1,$AM$2:$AM$10)-1</f>
        <v>4</v>
      </c>
      <c r="P688" s="114" t="s">
        <v>81</v>
      </c>
      <c r="Q688" s="114" t="s">
        <v>79</v>
      </c>
      <c r="R688" s="115"/>
      <c r="S688" s="145">
        <v>1351</v>
      </c>
      <c r="T688" s="148" t="s">
        <v>2564</v>
      </c>
      <c r="U688" s="147">
        <v>3</v>
      </c>
      <c r="V688" s="121">
        <v>17</v>
      </c>
      <c r="W688" s="121">
        <v>1419</v>
      </c>
      <c r="X688" s="114" t="s">
        <v>84</v>
      </c>
      <c r="Y688" s="115" t="s">
        <v>85</v>
      </c>
      <c r="Z688" s="115" t="s">
        <v>86</v>
      </c>
      <c r="AA688" s="113" t="s">
        <v>87</v>
      </c>
      <c r="AB688" s="122">
        <v>529.67999999999995</v>
      </c>
      <c r="AC688" s="122">
        <f>IF(C688="DENALI", AB688*0.495, IF(C688="SCHNEIDER ELECTRIC", AB688*1.136, IF(C688="WWT", AB688*1.2, AC688)))+AB688</f>
        <v>1131.3964799999999</v>
      </c>
      <c r="AD688" s="129">
        <f>AC688-AB688</f>
        <v>601.71647999999993</v>
      </c>
      <c r="AE688" s="122">
        <v>35185.1</v>
      </c>
      <c r="AF688" s="130">
        <f>AB688/U688</f>
        <v>176.55999999999997</v>
      </c>
      <c r="AG688" s="130">
        <f>AB688/V688</f>
        <v>31.157647058823528</v>
      </c>
      <c r="AH688" s="123">
        <f>AB688/S688</f>
        <v>0.39206513693560324</v>
      </c>
      <c r="AI688" s="124" t="s">
        <v>97</v>
      </c>
      <c r="AJ688" s="125" t="s">
        <v>2267</v>
      </c>
      <c r="AK688"/>
      <c r="AM688" s="80"/>
    </row>
    <row r="689" spans="1:39" ht="28.5" customHeight="1">
      <c r="A689" s="113" t="s">
        <v>73</v>
      </c>
      <c r="B689" s="114" t="s">
        <v>74</v>
      </c>
      <c r="C689" s="113" t="s">
        <v>35</v>
      </c>
      <c r="D689" s="113" t="s">
        <v>218</v>
      </c>
      <c r="E689" s="115" t="s">
        <v>1086</v>
      </c>
      <c r="F689" s="113" t="s">
        <v>218</v>
      </c>
      <c r="G689" s="116" t="s">
        <v>2565</v>
      </c>
      <c r="H689" s="79">
        <v>46238</v>
      </c>
      <c r="I689" s="114" t="s">
        <v>79</v>
      </c>
      <c r="J689" s="117" t="s">
        <v>2566</v>
      </c>
      <c r="K689" s="118">
        <v>46231</v>
      </c>
      <c r="L689" s="114" t="s">
        <v>81</v>
      </c>
      <c r="M689" s="119">
        <v>46233</v>
      </c>
      <c r="N689" s="128">
        <v>46232</v>
      </c>
      <c r="O689" s="120">
        <f>NETWORKDAYS.INTL(K689,N689,1,$AM$2:$AM$10)-1</f>
        <v>1</v>
      </c>
      <c r="P689" s="114" t="s">
        <v>81</v>
      </c>
      <c r="Q689" s="114" t="s">
        <v>79</v>
      </c>
      <c r="R689" s="115"/>
      <c r="S689" s="145">
        <v>132</v>
      </c>
      <c r="T689" s="148" t="s">
        <v>1539</v>
      </c>
      <c r="U689" s="147">
        <v>2</v>
      </c>
      <c r="V689" s="121">
        <v>1132</v>
      </c>
      <c r="W689" s="121">
        <v>1570</v>
      </c>
      <c r="X689" s="114" t="s">
        <v>84</v>
      </c>
      <c r="Y689" s="115" t="s">
        <v>85</v>
      </c>
      <c r="Z689" s="115" t="s">
        <v>2312</v>
      </c>
      <c r="AA689" s="113" t="s">
        <v>87</v>
      </c>
      <c r="AB689" s="122">
        <v>231.29</v>
      </c>
      <c r="AC689" s="122">
        <f>IF(C689="DENALI", AB689*0.495, IF(C689="SCHNEIDER ELECTRIC", AB689*1.136, IF(C689="WWT", AB689*1.2, AC689)))+AB689</f>
        <v>345.77855</v>
      </c>
      <c r="AD689" s="129">
        <f>AC689-AB689</f>
        <v>114.48855</v>
      </c>
      <c r="AE689" s="122">
        <v>88363.03</v>
      </c>
      <c r="AF689" s="130">
        <f>AB689/U689</f>
        <v>115.645</v>
      </c>
      <c r="AG689" s="130">
        <f>AB689/V689</f>
        <v>0.20431978798586573</v>
      </c>
      <c r="AH689" s="123">
        <f>AB689/S689</f>
        <v>1.7521969696969697</v>
      </c>
      <c r="AI689" s="124" t="s">
        <v>97</v>
      </c>
      <c r="AJ689" s="125" t="s">
        <v>349</v>
      </c>
      <c r="AK689"/>
      <c r="AM689" s="80"/>
    </row>
    <row r="690" spans="1:39" ht="28.5" customHeight="1">
      <c r="A690" s="113" t="s">
        <v>73</v>
      </c>
      <c r="B690" s="114" t="s">
        <v>74</v>
      </c>
      <c r="C690" s="113" t="s">
        <v>36</v>
      </c>
      <c r="D690" s="113" t="s">
        <v>75</v>
      </c>
      <c r="E690" s="115" t="s">
        <v>2567</v>
      </c>
      <c r="F690" s="113" t="s">
        <v>207</v>
      </c>
      <c r="G690" s="116" t="s">
        <v>2568</v>
      </c>
      <c r="H690" s="79">
        <v>46238</v>
      </c>
      <c r="I690" s="114" t="s">
        <v>79</v>
      </c>
      <c r="J690" s="117" t="s">
        <v>2569</v>
      </c>
      <c r="K690" s="118">
        <v>46231</v>
      </c>
      <c r="L690" s="114" t="s">
        <v>81</v>
      </c>
      <c r="M690" s="119">
        <v>46232</v>
      </c>
      <c r="N690" s="128">
        <v>46234</v>
      </c>
      <c r="O690" s="120">
        <f>NETWORKDAYS.INTL(K690,N690,1,$AM$2:$AM$10)-1</f>
        <v>3</v>
      </c>
      <c r="P690" s="114" t="s">
        <v>81</v>
      </c>
      <c r="Q690" s="114" t="s">
        <v>79</v>
      </c>
      <c r="R690" s="115"/>
      <c r="S690" s="145">
        <v>315</v>
      </c>
      <c r="T690" s="148" t="s">
        <v>2570</v>
      </c>
      <c r="U690" s="147">
        <v>1</v>
      </c>
      <c r="V690" s="121">
        <v>6</v>
      </c>
      <c r="W690" s="121">
        <v>515</v>
      </c>
      <c r="X690" s="114" t="s">
        <v>84</v>
      </c>
      <c r="Y690" s="115" t="s">
        <v>85</v>
      </c>
      <c r="Z690" s="115" t="s">
        <v>86</v>
      </c>
      <c r="AA690" s="113" t="s">
        <v>87</v>
      </c>
      <c r="AB690" s="122">
        <v>197.82</v>
      </c>
      <c r="AC690" s="122">
        <f>IF(C690="DENALI", AB690*0.495, IF(C690="SCHNEIDER ELECTRIC", AB690*1.136, IF(C690="WWT", AB690*1.2, AC690)))+AB690</f>
        <v>422.54351999999994</v>
      </c>
      <c r="AD690" s="129">
        <f>AC690-AB690</f>
        <v>224.72351999999995</v>
      </c>
      <c r="AE690" s="122">
        <v>10573.71</v>
      </c>
      <c r="AF690" s="130">
        <f>AB690/U690</f>
        <v>197.82</v>
      </c>
      <c r="AG690" s="130">
        <f>AB690/V690</f>
        <v>32.97</v>
      </c>
      <c r="AH690" s="123">
        <f>AB690/S690</f>
        <v>0.628</v>
      </c>
      <c r="AI690" s="124" t="s">
        <v>155</v>
      </c>
      <c r="AJ690" s="125" t="s">
        <v>2272</v>
      </c>
      <c r="AK690"/>
      <c r="AM690" s="80"/>
    </row>
    <row r="691" spans="1:39" ht="28.5" customHeight="1">
      <c r="A691" s="113" t="s">
        <v>73</v>
      </c>
      <c r="B691" s="114" t="s">
        <v>74</v>
      </c>
      <c r="C691" s="113" t="s">
        <v>35</v>
      </c>
      <c r="D691" s="113" t="s">
        <v>218</v>
      </c>
      <c r="E691" s="115" t="s">
        <v>1288</v>
      </c>
      <c r="F691" s="113" t="s">
        <v>585</v>
      </c>
      <c r="G691" s="116" t="s">
        <v>2571</v>
      </c>
      <c r="H691" s="79">
        <v>46238</v>
      </c>
      <c r="I691" s="114" t="s">
        <v>79</v>
      </c>
      <c r="J691" s="117" t="s">
        <v>2572</v>
      </c>
      <c r="K691" s="118">
        <v>46231</v>
      </c>
      <c r="L691" s="114" t="s">
        <v>81</v>
      </c>
      <c r="M691" s="119">
        <v>46237</v>
      </c>
      <c r="N691" s="128">
        <v>46237</v>
      </c>
      <c r="O691" s="120">
        <f>NETWORKDAYS.INTL(K691,N691,1,$AM$2:$AM$10)-1</f>
        <v>4</v>
      </c>
      <c r="P691" s="114" t="s">
        <v>81</v>
      </c>
      <c r="Q691" s="114" t="s">
        <v>79</v>
      </c>
      <c r="R691" s="115"/>
      <c r="S691" s="145">
        <v>1898</v>
      </c>
      <c r="T691" s="148" t="s">
        <v>1291</v>
      </c>
      <c r="U691" s="147">
        <v>1</v>
      </c>
      <c r="V691" s="121">
        <v>720</v>
      </c>
      <c r="W691" s="121">
        <v>500</v>
      </c>
      <c r="X691" s="114" t="s">
        <v>84</v>
      </c>
      <c r="Y691" s="115" t="s">
        <v>85</v>
      </c>
      <c r="Z691" s="115" t="s">
        <v>86</v>
      </c>
      <c r="AA691" s="113" t="s">
        <v>87</v>
      </c>
      <c r="AB691" s="122">
        <v>324.81</v>
      </c>
      <c r="AC691" s="122">
        <f>IF(C691="DENALI", AB691*0.495, IF(C691="SCHNEIDER ELECTRIC", AB691*1.136, IF(C691="WWT", AB691*1.2, AC691)))+AB691</f>
        <v>485.59095000000002</v>
      </c>
      <c r="AD691" s="129">
        <f>AC691-AB691</f>
        <v>160.78095000000002</v>
      </c>
      <c r="AE691" s="122">
        <v>32161.06</v>
      </c>
      <c r="AF691" s="130">
        <f>AB691/U691</f>
        <v>324.81</v>
      </c>
      <c r="AG691" s="130">
        <f>AB691/V691</f>
        <v>0.451125</v>
      </c>
      <c r="AH691" s="123">
        <f>AB691/S691</f>
        <v>0.17113277133825081</v>
      </c>
      <c r="AI691" s="124" t="s">
        <v>97</v>
      </c>
      <c r="AJ691" s="125" t="s">
        <v>349</v>
      </c>
      <c r="AK691"/>
      <c r="AM691" s="80"/>
    </row>
    <row r="692" spans="1:39" ht="28.5" customHeight="1">
      <c r="A692" s="113" t="s">
        <v>73</v>
      </c>
      <c r="B692" s="114" t="s">
        <v>74</v>
      </c>
      <c r="C692" s="113" t="s">
        <v>36</v>
      </c>
      <c r="D692" s="113" t="s">
        <v>75</v>
      </c>
      <c r="E692" s="115" t="s">
        <v>2573</v>
      </c>
      <c r="F692" s="113" t="s">
        <v>1679</v>
      </c>
      <c r="G692" s="116" t="s">
        <v>2574</v>
      </c>
      <c r="H692" s="79">
        <v>46238</v>
      </c>
      <c r="I692" s="114" t="s">
        <v>79</v>
      </c>
      <c r="J692" s="117" t="s">
        <v>2575</v>
      </c>
      <c r="K692" s="118">
        <v>46231</v>
      </c>
      <c r="L692" s="114" t="s">
        <v>81</v>
      </c>
      <c r="M692" s="119">
        <v>46233</v>
      </c>
      <c r="N692" s="128">
        <v>46234</v>
      </c>
      <c r="O692" s="120">
        <f>NETWORKDAYS.INTL(K692,N692,1,$AM$2:$AM$10)-1</f>
        <v>3</v>
      </c>
      <c r="P692" s="114" t="s">
        <v>81</v>
      </c>
      <c r="Q692" s="114" t="s">
        <v>79</v>
      </c>
      <c r="R692" s="115"/>
      <c r="S692" s="145">
        <v>1257</v>
      </c>
      <c r="T692" s="148" t="s">
        <v>2576</v>
      </c>
      <c r="U692" s="147">
        <v>1</v>
      </c>
      <c r="V692" s="121">
        <v>11</v>
      </c>
      <c r="W692" s="121">
        <v>887</v>
      </c>
      <c r="X692" s="114" t="s">
        <v>84</v>
      </c>
      <c r="Y692" s="115" t="s">
        <v>85</v>
      </c>
      <c r="Z692" s="115" t="s">
        <v>86</v>
      </c>
      <c r="AA692" s="113" t="s">
        <v>87</v>
      </c>
      <c r="AB692" s="122">
        <v>363.34</v>
      </c>
      <c r="AC692" s="122">
        <f>IF(C692="DENALI", AB692*0.495, IF(C692="SCHNEIDER ELECTRIC", AB692*1.136, IF(C692="WWT", AB692*1.2, AC692)))+AB692</f>
        <v>776.0942399999999</v>
      </c>
      <c r="AD692" s="129">
        <f>AC692-AB692</f>
        <v>412.75423999999992</v>
      </c>
      <c r="AE692" s="122">
        <v>5462.6</v>
      </c>
      <c r="AF692" s="130">
        <f>AB692/U692</f>
        <v>363.34</v>
      </c>
      <c r="AG692" s="130">
        <f>AB692/V692</f>
        <v>33.030909090909091</v>
      </c>
      <c r="AH692" s="123">
        <f>AB692/S692</f>
        <v>0.28905330151153535</v>
      </c>
      <c r="AI692" s="124" t="s">
        <v>97</v>
      </c>
      <c r="AJ692" s="125" t="s">
        <v>2267</v>
      </c>
      <c r="AK692"/>
      <c r="AM692" s="80"/>
    </row>
    <row r="693" spans="1:39" ht="28.5" customHeight="1">
      <c r="A693" s="113" t="s">
        <v>73</v>
      </c>
      <c r="B693" s="114" t="s">
        <v>74</v>
      </c>
      <c r="C693" s="113" t="s">
        <v>35</v>
      </c>
      <c r="D693" s="113" t="s">
        <v>218</v>
      </c>
      <c r="E693" s="115" t="s">
        <v>2577</v>
      </c>
      <c r="F693" s="113" t="s">
        <v>396</v>
      </c>
      <c r="G693" s="116" t="s">
        <v>2578</v>
      </c>
      <c r="H693" s="79">
        <v>46238</v>
      </c>
      <c r="I693" s="114" t="s">
        <v>79</v>
      </c>
      <c r="J693" s="117" t="s">
        <v>2579</v>
      </c>
      <c r="K693" s="118">
        <v>46231</v>
      </c>
      <c r="L693" s="114" t="s">
        <v>81</v>
      </c>
      <c r="M693" s="119">
        <v>46233</v>
      </c>
      <c r="N693" s="128">
        <v>46233</v>
      </c>
      <c r="O693" s="120">
        <f>NETWORKDAYS.INTL(K693,N693,1,$AM$2:$AM$10)-1</f>
        <v>2</v>
      </c>
      <c r="P693" s="114" t="s">
        <v>81</v>
      </c>
      <c r="Q693" s="114" t="s">
        <v>79</v>
      </c>
      <c r="R693" s="115"/>
      <c r="S693" s="145">
        <v>490</v>
      </c>
      <c r="T693" s="148" t="s">
        <v>2580</v>
      </c>
      <c r="U693" s="147">
        <v>2</v>
      </c>
      <c r="V693" s="121">
        <v>457</v>
      </c>
      <c r="W693" s="121">
        <v>765</v>
      </c>
      <c r="X693" s="114" t="s">
        <v>84</v>
      </c>
      <c r="Y693" s="115" t="s">
        <v>85</v>
      </c>
      <c r="Z693" s="115" t="s">
        <v>2312</v>
      </c>
      <c r="AA693" s="113" t="s">
        <v>87</v>
      </c>
      <c r="AB693" s="122">
        <v>242.14</v>
      </c>
      <c r="AC693" s="122">
        <f>IF(C693="DENALI", AB693*0.495, IF(C693="SCHNEIDER ELECTRIC", AB693*1.136, IF(C693="WWT", AB693*1.2, AC693)))+AB693</f>
        <v>361.99929999999995</v>
      </c>
      <c r="AD693" s="129">
        <f>AC693-AB693</f>
        <v>119.85929999999996</v>
      </c>
      <c r="AE693" s="122">
        <v>58222.6</v>
      </c>
      <c r="AF693" s="130">
        <f>AB693/U693</f>
        <v>121.07</v>
      </c>
      <c r="AG693" s="130">
        <f>AB693/V693</f>
        <v>0.52984682713347919</v>
      </c>
      <c r="AH693" s="123">
        <f>AB693/S693</f>
        <v>0.49416326530612242</v>
      </c>
      <c r="AI693" s="124" t="s">
        <v>183</v>
      </c>
      <c r="AJ693" s="125" t="s">
        <v>379</v>
      </c>
      <c r="AK693"/>
      <c r="AM693" s="80"/>
    </row>
    <row r="694" spans="1:39" ht="28.5" customHeight="1">
      <c r="A694" s="113" t="s">
        <v>73</v>
      </c>
      <c r="B694" s="114" t="s">
        <v>74</v>
      </c>
      <c r="C694" s="113" t="s">
        <v>35</v>
      </c>
      <c r="D694" s="113" t="s">
        <v>218</v>
      </c>
      <c r="E694" s="115" t="s">
        <v>2581</v>
      </c>
      <c r="F694" s="113" t="s">
        <v>1321</v>
      </c>
      <c r="G694" s="116" t="s">
        <v>2582</v>
      </c>
      <c r="H694" s="79">
        <v>46238</v>
      </c>
      <c r="I694" s="114" t="s">
        <v>79</v>
      </c>
      <c r="J694" s="117" t="s">
        <v>2583</v>
      </c>
      <c r="K694" s="118">
        <v>46232</v>
      </c>
      <c r="L694" s="114" t="s">
        <v>81</v>
      </c>
      <c r="M694" s="119">
        <v>46239</v>
      </c>
      <c r="N694" s="128">
        <v>46241</v>
      </c>
      <c r="O694" s="120">
        <f>NETWORKDAYS.INTL(K694,N694,1,$AM$2:$AM$10)-1</f>
        <v>7</v>
      </c>
      <c r="P694" s="114" t="s">
        <v>81</v>
      </c>
      <c r="Q694" s="114" t="s">
        <v>79</v>
      </c>
      <c r="R694" s="115"/>
      <c r="S694" s="145">
        <v>1762</v>
      </c>
      <c r="T694" s="148" t="s">
        <v>2584</v>
      </c>
      <c r="U694" s="147">
        <v>3</v>
      </c>
      <c r="V694" s="121">
        <v>210</v>
      </c>
      <c r="W694" s="121">
        <v>1940</v>
      </c>
      <c r="X694" s="114" t="s">
        <v>84</v>
      </c>
      <c r="Y694" s="115" t="s">
        <v>85</v>
      </c>
      <c r="Z694" s="115" t="s">
        <v>2585</v>
      </c>
      <c r="AA694" s="113" t="s">
        <v>87</v>
      </c>
      <c r="AB694" s="122">
        <v>760.53</v>
      </c>
      <c r="AC694" s="122">
        <f>IF(C694="DENALI", AB694*0.495, IF(C694="SCHNEIDER ELECTRIC", AB694*1.136, IF(C694="WWT", AB694*1.2, AC694)))+AB694</f>
        <v>1136.99235</v>
      </c>
      <c r="AD694" s="129">
        <f>AC694-AB694</f>
        <v>376.46235000000001</v>
      </c>
      <c r="AE694" s="122">
        <v>62487</v>
      </c>
      <c r="AF694" s="130">
        <f>AB694/U694</f>
        <v>253.51</v>
      </c>
      <c r="AG694" s="130">
        <f>AB694/V694</f>
        <v>3.6215714285714284</v>
      </c>
      <c r="AH694" s="123">
        <f>AB694/S694</f>
        <v>0.43162883087400677</v>
      </c>
      <c r="AI694" s="124" t="s">
        <v>97</v>
      </c>
      <c r="AJ694" s="125" t="s">
        <v>349</v>
      </c>
      <c r="AK694"/>
      <c r="AM694" s="80"/>
    </row>
    <row r="695" spans="1:39" ht="28.5" customHeight="1">
      <c r="A695" s="113" t="s">
        <v>73</v>
      </c>
      <c r="B695" s="114" t="s">
        <v>74</v>
      </c>
      <c r="C695" s="113" t="s">
        <v>35</v>
      </c>
      <c r="D695" s="113" t="s">
        <v>99</v>
      </c>
      <c r="E695" s="115" t="s">
        <v>2586</v>
      </c>
      <c r="F695" s="113" t="s">
        <v>370</v>
      </c>
      <c r="G695" s="116">
        <v>23705856</v>
      </c>
      <c r="H695" s="79">
        <v>46238</v>
      </c>
      <c r="I695" s="114" t="s">
        <v>79</v>
      </c>
      <c r="J695" s="117" t="s">
        <v>2587</v>
      </c>
      <c r="K695" s="118">
        <v>46231</v>
      </c>
      <c r="L695" s="114" t="s">
        <v>81</v>
      </c>
      <c r="M695" s="119">
        <v>46234</v>
      </c>
      <c r="N695" s="128">
        <v>46237</v>
      </c>
      <c r="O695" s="120">
        <f>NETWORKDAYS.INTL(K695,N695,1,$AM$2:$AM$10)-1</f>
        <v>4</v>
      </c>
      <c r="P695" s="114" t="s">
        <v>81</v>
      </c>
      <c r="Q695" s="114" t="s">
        <v>79</v>
      </c>
      <c r="R695" s="115"/>
      <c r="S695" s="145">
        <v>2679</v>
      </c>
      <c r="T695" s="148" t="s">
        <v>2588</v>
      </c>
      <c r="U695" s="147">
        <v>6</v>
      </c>
      <c r="V695" s="121">
        <v>6</v>
      </c>
      <c r="W695" s="121">
        <v>5100</v>
      </c>
      <c r="X695" s="114" t="s">
        <v>113</v>
      </c>
      <c r="Y695" s="115" t="s">
        <v>85</v>
      </c>
      <c r="Z695" s="115" t="s">
        <v>1747</v>
      </c>
      <c r="AA695" s="113" t="s">
        <v>87</v>
      </c>
      <c r="AB695" s="122">
        <v>6957.65</v>
      </c>
      <c r="AC695" s="122">
        <f>IF(C695="DENALI", AB695*0.495, IF(C695="SCHNEIDER ELECTRIC", AB695*1.136, IF(C695="WWT", AB695*1.2, AC695)))+AB695</f>
        <v>10401.686749999999</v>
      </c>
      <c r="AD695" s="129">
        <f>AC695-AB695</f>
        <v>3444.0367499999993</v>
      </c>
      <c r="AE695" s="122">
        <v>80615.34</v>
      </c>
      <c r="AF695" s="130">
        <f>AB695/U695</f>
        <v>1159.6083333333333</v>
      </c>
      <c r="AG695" s="130">
        <f>AB695/V695</f>
        <v>1159.6083333333333</v>
      </c>
      <c r="AH695" s="123">
        <f>AB695/S695</f>
        <v>2.5971071295259422</v>
      </c>
      <c r="AI695" s="124" t="s">
        <v>147</v>
      </c>
      <c r="AJ695" s="125" t="s">
        <v>343</v>
      </c>
      <c r="AK695"/>
      <c r="AM695" s="80"/>
    </row>
    <row r="696" spans="1:39" ht="28.5" customHeight="1">
      <c r="A696" s="113" t="s">
        <v>73</v>
      </c>
      <c r="B696" s="114" t="s">
        <v>74</v>
      </c>
      <c r="C696" s="113" t="s">
        <v>36</v>
      </c>
      <c r="D696" s="113" t="s">
        <v>75</v>
      </c>
      <c r="E696" s="115" t="s">
        <v>2589</v>
      </c>
      <c r="F696" s="113" t="s">
        <v>131</v>
      </c>
      <c r="G696" s="116" t="s">
        <v>2590</v>
      </c>
      <c r="H696" s="79">
        <v>46239</v>
      </c>
      <c r="I696" s="114" t="s">
        <v>79</v>
      </c>
      <c r="J696" s="117" t="s">
        <v>2591</v>
      </c>
      <c r="K696" s="118">
        <v>46232</v>
      </c>
      <c r="L696" s="114" t="s">
        <v>81</v>
      </c>
      <c r="M696" s="119">
        <v>46233</v>
      </c>
      <c r="N696" s="128">
        <v>46234</v>
      </c>
      <c r="O696" s="120">
        <f>NETWORKDAYS.INTL(K696,N696,1,$AM$2:$AM$10)-1</f>
        <v>2</v>
      </c>
      <c r="P696" s="114" t="s">
        <v>81</v>
      </c>
      <c r="Q696" s="114" t="s">
        <v>79</v>
      </c>
      <c r="R696" s="115"/>
      <c r="S696" s="145">
        <v>380</v>
      </c>
      <c r="T696" s="148" t="s">
        <v>2592</v>
      </c>
      <c r="U696" s="147">
        <v>1</v>
      </c>
      <c r="V696" s="121">
        <v>10</v>
      </c>
      <c r="W696" s="121">
        <v>920</v>
      </c>
      <c r="X696" s="114" t="s">
        <v>84</v>
      </c>
      <c r="Y696" s="115" t="s">
        <v>85</v>
      </c>
      <c r="Z696" s="115" t="s">
        <v>86</v>
      </c>
      <c r="AA696" s="113" t="s">
        <v>87</v>
      </c>
      <c r="AB696" s="122">
        <v>241.2</v>
      </c>
      <c r="AC696" s="122">
        <f>IF(C696="DENALI", AB696*0.495, IF(C696="SCHNEIDER ELECTRIC", AB696*1.136, IF(C696="WWT", AB696*1.2, AC696)))+AB696</f>
        <v>515.20319999999992</v>
      </c>
      <c r="AD696" s="129">
        <f>AC696-AB696</f>
        <v>274.00319999999994</v>
      </c>
      <c r="AE696" s="122">
        <v>16316.98</v>
      </c>
      <c r="AF696" s="130">
        <f>AB696/U696</f>
        <v>241.2</v>
      </c>
      <c r="AG696" s="130">
        <f>AB696/V696</f>
        <v>24.119999999999997</v>
      </c>
      <c r="AH696" s="123">
        <f>AB696/S696</f>
        <v>0.63473684210526315</v>
      </c>
      <c r="AI696" s="124" t="s">
        <v>155</v>
      </c>
      <c r="AJ696" s="125" t="s">
        <v>2272</v>
      </c>
      <c r="AK696"/>
      <c r="AM696" s="80"/>
    </row>
    <row r="697" spans="1:39" ht="28.5" customHeight="1">
      <c r="A697" s="113" t="s">
        <v>73</v>
      </c>
      <c r="B697" s="114" t="s">
        <v>74</v>
      </c>
      <c r="C697" s="113" t="s">
        <v>35</v>
      </c>
      <c r="D697" s="113" t="s">
        <v>99</v>
      </c>
      <c r="E697" s="115" t="s">
        <v>736</v>
      </c>
      <c r="F697" s="113" t="s">
        <v>109</v>
      </c>
      <c r="G697" s="116" t="s">
        <v>2593</v>
      </c>
      <c r="H697" s="79">
        <v>46239</v>
      </c>
      <c r="I697" s="114" t="s">
        <v>79</v>
      </c>
      <c r="J697" s="117" t="s">
        <v>2594</v>
      </c>
      <c r="K697" s="118">
        <v>46231</v>
      </c>
      <c r="L697" s="114" t="s">
        <v>81</v>
      </c>
      <c r="M697" s="119">
        <v>46239</v>
      </c>
      <c r="N697" s="128">
        <v>46239</v>
      </c>
      <c r="O697" s="120">
        <f>NETWORKDAYS.INTL(K697,N697,1,$AM$2:$AM$10)-1</f>
        <v>6</v>
      </c>
      <c r="P697" s="114" t="s">
        <v>81</v>
      </c>
      <c r="Q697" s="114" t="s">
        <v>79</v>
      </c>
      <c r="R697" s="115"/>
      <c r="S697" s="145">
        <v>3244</v>
      </c>
      <c r="T697" s="148" t="s">
        <v>2595</v>
      </c>
      <c r="U697" s="147">
        <v>1</v>
      </c>
      <c r="V697" s="121">
        <v>10</v>
      </c>
      <c r="W697" s="121">
        <v>395</v>
      </c>
      <c r="X697" s="114" t="s">
        <v>84</v>
      </c>
      <c r="Y697" s="115" t="s">
        <v>85</v>
      </c>
      <c r="Z697" s="115" t="s">
        <v>86</v>
      </c>
      <c r="AA697" s="113" t="s">
        <v>87</v>
      </c>
      <c r="AB697" s="122">
        <v>326.38</v>
      </c>
      <c r="AC697" s="122">
        <f>IF(C697="DENALI", AB697*0.495, IF(C697="SCHNEIDER ELECTRIC", AB697*1.136, IF(C697="WWT", AB697*1.2, AC697)))+AB697</f>
        <v>487.93809999999996</v>
      </c>
      <c r="AD697" s="129">
        <f>AC697-AB697</f>
        <v>161.55809999999997</v>
      </c>
      <c r="AE697" s="122">
        <v>818.46</v>
      </c>
      <c r="AF697" s="130">
        <f>AB697/U697</f>
        <v>326.38</v>
      </c>
      <c r="AG697" s="130">
        <f>AB697/V697</f>
        <v>32.637999999999998</v>
      </c>
      <c r="AH697" s="123">
        <f>AB697/S697</f>
        <v>0.10061035758323057</v>
      </c>
      <c r="AI697" s="124" t="s">
        <v>97</v>
      </c>
      <c r="AJ697" s="125" t="s">
        <v>349</v>
      </c>
      <c r="AK697"/>
      <c r="AM697" s="80"/>
    </row>
    <row r="698" spans="1:39" ht="28.5" customHeight="1">
      <c r="A698" s="113" t="s">
        <v>73</v>
      </c>
      <c r="B698" s="114" t="s">
        <v>74</v>
      </c>
      <c r="C698" s="113" t="s">
        <v>35</v>
      </c>
      <c r="D698" s="113" t="s">
        <v>99</v>
      </c>
      <c r="E698" s="115" t="s">
        <v>2596</v>
      </c>
      <c r="F698" s="113" t="s">
        <v>457</v>
      </c>
      <c r="G698" s="116" t="s">
        <v>2597</v>
      </c>
      <c r="H698" s="79">
        <v>46239</v>
      </c>
      <c r="I698" s="114" t="s">
        <v>79</v>
      </c>
      <c r="J698" s="117" t="s">
        <v>2598</v>
      </c>
      <c r="K698" s="118">
        <v>46231</v>
      </c>
      <c r="L698" s="114" t="s">
        <v>81</v>
      </c>
      <c r="M698" s="119">
        <v>46238</v>
      </c>
      <c r="N698" s="128">
        <v>46240</v>
      </c>
      <c r="O698" s="120">
        <f>NETWORKDAYS.INTL(K698,N698,1,$AM$2:$AM$10)-1</f>
        <v>7</v>
      </c>
      <c r="P698" s="114" t="s">
        <v>79</v>
      </c>
      <c r="Q698" s="114" t="s">
        <v>79</v>
      </c>
      <c r="R698" s="115" t="s">
        <v>2411</v>
      </c>
      <c r="S698" s="145">
        <v>2575</v>
      </c>
      <c r="T698" s="148" t="s">
        <v>2599</v>
      </c>
      <c r="U698" s="147">
        <v>2</v>
      </c>
      <c r="V698" s="121">
        <v>32</v>
      </c>
      <c r="W698" s="121">
        <v>690</v>
      </c>
      <c r="X698" s="114" t="s">
        <v>84</v>
      </c>
      <c r="Y698" s="115" t="s">
        <v>85</v>
      </c>
      <c r="Z698" s="115" t="s">
        <v>2585</v>
      </c>
      <c r="AA698" s="113" t="s">
        <v>87</v>
      </c>
      <c r="AB698" s="122">
        <v>1002.47</v>
      </c>
      <c r="AC698" s="122">
        <f>IF(C698="DENALI", AB698*0.495, IF(C698="SCHNEIDER ELECTRIC", AB698*1.136, IF(C698="WWT", AB698*1.2, AC698)))+AB698</f>
        <v>1498.69265</v>
      </c>
      <c r="AD698" s="129">
        <f>AC698-AB698</f>
        <v>496.22264999999993</v>
      </c>
      <c r="AE698" s="122">
        <v>23572.09</v>
      </c>
      <c r="AF698" s="130">
        <f>AB698/U698</f>
        <v>501.23500000000001</v>
      </c>
      <c r="AG698" s="130">
        <f>AB698/V698</f>
        <v>31.327187500000001</v>
      </c>
      <c r="AH698" s="123">
        <f>AB698/S698</f>
        <v>0.38930873786407766</v>
      </c>
      <c r="AI698" s="124" t="s">
        <v>155</v>
      </c>
      <c r="AJ698" s="125" t="s">
        <v>89</v>
      </c>
      <c r="AK698"/>
      <c r="AM698" s="80"/>
    </row>
    <row r="699" spans="1:39" ht="28.5" customHeight="1">
      <c r="A699" s="113" t="s">
        <v>73</v>
      </c>
      <c r="B699" s="114" t="s">
        <v>74</v>
      </c>
      <c r="C699" s="113" t="s">
        <v>36</v>
      </c>
      <c r="D699" s="113" t="s">
        <v>75</v>
      </c>
      <c r="E699" s="115" t="s">
        <v>2600</v>
      </c>
      <c r="F699" s="113" t="s">
        <v>213</v>
      </c>
      <c r="G699" s="116" t="s">
        <v>2601</v>
      </c>
      <c r="H699" s="79">
        <v>46239</v>
      </c>
      <c r="I699" s="114" t="s">
        <v>79</v>
      </c>
      <c r="J699" s="117" t="s">
        <v>2602</v>
      </c>
      <c r="K699" s="118">
        <v>46232</v>
      </c>
      <c r="L699" s="114" t="s">
        <v>81</v>
      </c>
      <c r="M699" s="119">
        <v>46233</v>
      </c>
      <c r="N699" s="128">
        <v>46234</v>
      </c>
      <c r="O699" s="120">
        <f>NETWORKDAYS.INTL(K699,N699,1,$AM$2:$AM$10)-1</f>
        <v>2</v>
      </c>
      <c r="P699" s="114" t="s">
        <v>81</v>
      </c>
      <c r="Q699" s="114" t="s">
        <v>79</v>
      </c>
      <c r="R699" s="115"/>
      <c r="S699" s="145">
        <v>401</v>
      </c>
      <c r="T699" s="148" t="s">
        <v>2603</v>
      </c>
      <c r="U699" s="147">
        <v>1</v>
      </c>
      <c r="V699" s="121">
        <v>5</v>
      </c>
      <c r="W699" s="121">
        <v>562</v>
      </c>
      <c r="X699" s="114" t="s">
        <v>84</v>
      </c>
      <c r="Y699" s="115" t="s">
        <v>85</v>
      </c>
      <c r="Z699" s="115" t="s">
        <v>86</v>
      </c>
      <c r="AA699" s="113" t="s">
        <v>87</v>
      </c>
      <c r="AB699" s="122">
        <v>216.12</v>
      </c>
      <c r="AC699" s="122">
        <f>IF(C699="DENALI", AB699*0.495, IF(C699="SCHNEIDER ELECTRIC", AB699*1.136, IF(C699="WWT", AB699*1.2, AC699)))+AB699</f>
        <v>461.63231999999999</v>
      </c>
      <c r="AD699" s="129">
        <f>AC699-AB699</f>
        <v>245.51231999999999</v>
      </c>
      <c r="AE699" s="122">
        <v>12004.01</v>
      </c>
      <c r="AF699" s="130">
        <f>AB699/U699</f>
        <v>216.12</v>
      </c>
      <c r="AG699" s="130">
        <f>AB699/V699</f>
        <v>43.224000000000004</v>
      </c>
      <c r="AH699" s="123">
        <f>AB699/S699</f>
        <v>0.53895261845386533</v>
      </c>
      <c r="AI699" s="124" t="s">
        <v>155</v>
      </c>
      <c r="AJ699" s="125" t="s">
        <v>2272</v>
      </c>
      <c r="AK699"/>
      <c r="AM699" s="80"/>
    </row>
    <row r="700" spans="1:39" ht="28.5" customHeight="1">
      <c r="A700" s="113" t="s">
        <v>73</v>
      </c>
      <c r="B700" s="114" t="s">
        <v>74</v>
      </c>
      <c r="C700" s="113" t="s">
        <v>36</v>
      </c>
      <c r="D700" s="113" t="s">
        <v>75</v>
      </c>
      <c r="E700" s="115" t="s">
        <v>2604</v>
      </c>
      <c r="F700" s="113" t="s">
        <v>213</v>
      </c>
      <c r="G700" s="116" t="s">
        <v>2605</v>
      </c>
      <c r="H700" s="79">
        <v>46239</v>
      </c>
      <c r="I700" s="114" t="s">
        <v>79</v>
      </c>
      <c r="J700" s="117" t="s">
        <v>2606</v>
      </c>
      <c r="K700" s="118">
        <v>46232</v>
      </c>
      <c r="L700" s="114" t="s">
        <v>81</v>
      </c>
      <c r="M700" s="119">
        <v>46233</v>
      </c>
      <c r="N700" s="128">
        <v>46234</v>
      </c>
      <c r="O700" s="120">
        <f>NETWORKDAYS.INTL(K700,N700,1,$AM$2:$AM$10)-1</f>
        <v>2</v>
      </c>
      <c r="P700" s="114" t="s">
        <v>81</v>
      </c>
      <c r="Q700" s="114" t="s">
        <v>79</v>
      </c>
      <c r="R700" s="115"/>
      <c r="S700" s="145">
        <v>468</v>
      </c>
      <c r="T700" s="148" t="s">
        <v>2607</v>
      </c>
      <c r="U700" s="147">
        <v>1</v>
      </c>
      <c r="V700" s="121">
        <v>7</v>
      </c>
      <c r="W700" s="121">
        <v>606</v>
      </c>
      <c r="X700" s="114" t="s">
        <v>84</v>
      </c>
      <c r="Y700" s="115" t="s">
        <v>85</v>
      </c>
      <c r="Z700" s="115" t="s">
        <v>86</v>
      </c>
      <c r="AA700" s="113" t="s">
        <v>87</v>
      </c>
      <c r="AB700" s="122">
        <v>225.11</v>
      </c>
      <c r="AC700" s="122">
        <f>IF(C700="DENALI", AB700*0.495, IF(C700="SCHNEIDER ELECTRIC", AB700*1.136, IF(C700="WWT", AB700*1.2, AC700)))+AB700</f>
        <v>480.83496000000002</v>
      </c>
      <c r="AD700" s="129">
        <f>AC700-AB700</f>
        <v>255.72496000000001</v>
      </c>
      <c r="AE700" s="122">
        <v>17655.7</v>
      </c>
      <c r="AF700" s="130">
        <f>AB700/U700</f>
        <v>225.11</v>
      </c>
      <c r="AG700" s="130">
        <f>AB700/V700</f>
        <v>32.158571428571427</v>
      </c>
      <c r="AH700" s="123">
        <f>AB700/S700</f>
        <v>0.48100427350427355</v>
      </c>
      <c r="AI700" s="124" t="s">
        <v>115</v>
      </c>
      <c r="AJ700" s="125" t="s">
        <v>2353</v>
      </c>
      <c r="AK700"/>
      <c r="AM700" s="80"/>
    </row>
    <row r="701" spans="1:39" ht="28.5" customHeight="1">
      <c r="A701" s="113" t="s">
        <v>73</v>
      </c>
      <c r="B701" s="114" t="s">
        <v>74</v>
      </c>
      <c r="C701" s="113" t="s">
        <v>36</v>
      </c>
      <c r="D701" s="113" t="s">
        <v>75</v>
      </c>
      <c r="E701" s="115" t="s">
        <v>2608</v>
      </c>
      <c r="F701" s="113" t="s">
        <v>109</v>
      </c>
      <c r="G701" s="116" t="s">
        <v>2609</v>
      </c>
      <c r="H701" s="79">
        <v>46239</v>
      </c>
      <c r="I701" s="114" t="s">
        <v>79</v>
      </c>
      <c r="J701" s="117" t="s">
        <v>2610</v>
      </c>
      <c r="K701" s="118">
        <v>46232</v>
      </c>
      <c r="L701" s="114" t="s">
        <v>81</v>
      </c>
      <c r="M701" s="119">
        <v>46233</v>
      </c>
      <c r="N701" s="128">
        <v>46237</v>
      </c>
      <c r="O701" s="120">
        <f>NETWORKDAYS.INTL(K701,N701,1,$AM$2:$AM$10)-1</f>
        <v>3</v>
      </c>
      <c r="P701" s="114" t="s">
        <v>81</v>
      </c>
      <c r="Q701" s="114" t="s">
        <v>79</v>
      </c>
      <c r="R701" s="115"/>
      <c r="S701" s="145">
        <v>1143</v>
      </c>
      <c r="T701" s="148" t="s">
        <v>2611</v>
      </c>
      <c r="U701" s="147">
        <v>2</v>
      </c>
      <c r="V701" s="121">
        <v>12</v>
      </c>
      <c r="W701" s="121">
        <v>1721</v>
      </c>
      <c r="X701" s="114" t="s">
        <v>84</v>
      </c>
      <c r="Y701" s="115" t="s">
        <v>85</v>
      </c>
      <c r="Z701" s="115" t="s">
        <v>86</v>
      </c>
      <c r="AA701" s="113" t="s">
        <v>87</v>
      </c>
      <c r="AB701" s="122">
        <v>476.28</v>
      </c>
      <c r="AC701" s="122">
        <f>IF(C701="DENALI", AB701*0.495, IF(C701="SCHNEIDER ELECTRIC", AB701*1.136, IF(C701="WWT", AB701*1.2, AC701)))+AB701</f>
        <v>1017.3340799999999</v>
      </c>
      <c r="AD701" s="129">
        <f>AC701-AB701</f>
        <v>541.05407999999989</v>
      </c>
      <c r="AE701" s="122">
        <v>44264.14</v>
      </c>
      <c r="AF701" s="130">
        <f>AB701/U701</f>
        <v>238.14</v>
      </c>
      <c r="AG701" s="130">
        <f>AB701/V701</f>
        <v>39.69</v>
      </c>
      <c r="AH701" s="123">
        <f>AB701/S701</f>
        <v>0.41669291338582676</v>
      </c>
      <c r="AI701" s="124" t="s">
        <v>147</v>
      </c>
      <c r="AJ701" s="125" t="s">
        <v>2267</v>
      </c>
      <c r="AK701"/>
      <c r="AM701" s="80"/>
    </row>
    <row r="702" spans="1:39" ht="28.5" customHeight="1">
      <c r="A702" s="113" t="s">
        <v>73</v>
      </c>
      <c r="B702" s="114" t="s">
        <v>74</v>
      </c>
      <c r="C702" s="113" t="s">
        <v>36</v>
      </c>
      <c r="D702" s="113" t="s">
        <v>75</v>
      </c>
      <c r="E702" s="115" t="s">
        <v>2612</v>
      </c>
      <c r="F702" s="113" t="s">
        <v>2613</v>
      </c>
      <c r="G702" s="116">
        <v>23709396</v>
      </c>
      <c r="H702" s="79">
        <v>46239</v>
      </c>
      <c r="I702" s="114" t="s">
        <v>79</v>
      </c>
      <c r="J702" s="117" t="s">
        <v>2614</v>
      </c>
      <c r="K702" s="118">
        <v>46232</v>
      </c>
      <c r="L702" s="114" t="s">
        <v>81</v>
      </c>
      <c r="M702" s="119">
        <v>46234</v>
      </c>
      <c r="N702" s="128">
        <v>46233</v>
      </c>
      <c r="O702" s="120">
        <f>NETWORKDAYS.INTL(K702,N702,1,$AM$2:$AM$10)-1</f>
        <v>1</v>
      </c>
      <c r="P702" s="114" t="s">
        <v>81</v>
      </c>
      <c r="Q702" s="114" t="s">
        <v>79</v>
      </c>
      <c r="R702" s="115"/>
      <c r="S702" s="145">
        <v>342</v>
      </c>
      <c r="T702" s="148" t="s">
        <v>2615</v>
      </c>
      <c r="U702" s="147">
        <v>7</v>
      </c>
      <c r="V702" s="121">
        <v>77</v>
      </c>
      <c r="W702" s="121">
        <v>6129</v>
      </c>
      <c r="X702" s="114" t="s">
        <v>113</v>
      </c>
      <c r="Y702" s="115" t="s">
        <v>85</v>
      </c>
      <c r="Z702" s="115" t="s">
        <v>2616</v>
      </c>
      <c r="AA702" s="113" t="s">
        <v>87</v>
      </c>
      <c r="AB702" s="122">
        <v>2241.14</v>
      </c>
      <c r="AC702" s="122">
        <f>IF(C702="DENALI", AB702*0.495, IF(C702="SCHNEIDER ELECTRIC", AB702*1.136, IF(C702="WWT", AB702*1.2, AC702)))+AB702</f>
        <v>4787.0750399999997</v>
      </c>
      <c r="AD702" s="129">
        <f>AC702-AB702</f>
        <v>2545.9350399999998</v>
      </c>
      <c r="AE702" s="122">
        <v>37783.760000000002</v>
      </c>
      <c r="AF702" s="130">
        <f>AB702/U702</f>
        <v>320.16285714285715</v>
      </c>
      <c r="AG702" s="130">
        <f>AB702/V702</f>
        <v>29.105714285714285</v>
      </c>
      <c r="AH702" s="123">
        <f>AB702/S702</f>
        <v>6.5530409356725139</v>
      </c>
      <c r="AI702" s="124" t="s">
        <v>97</v>
      </c>
      <c r="AJ702" s="125" t="s">
        <v>98</v>
      </c>
      <c r="AK702"/>
      <c r="AM702" s="80"/>
    </row>
    <row r="703" spans="1:39" ht="28.5" customHeight="1">
      <c r="A703" s="113" t="s">
        <v>73</v>
      </c>
      <c r="B703" s="114" t="s">
        <v>74</v>
      </c>
      <c r="C703" s="113" t="s">
        <v>36</v>
      </c>
      <c r="D703" s="113" t="s">
        <v>75</v>
      </c>
      <c r="E703" s="115" t="s">
        <v>2617</v>
      </c>
      <c r="F703" s="113" t="s">
        <v>370</v>
      </c>
      <c r="G703" s="116" t="s">
        <v>2618</v>
      </c>
      <c r="H703" s="79">
        <v>46239</v>
      </c>
      <c r="I703" s="114" t="s">
        <v>79</v>
      </c>
      <c r="J703" s="117" t="s">
        <v>2619</v>
      </c>
      <c r="K703" s="118">
        <v>46232</v>
      </c>
      <c r="L703" s="114" t="s">
        <v>81</v>
      </c>
      <c r="M703" s="119">
        <v>46234</v>
      </c>
      <c r="N703" s="128">
        <v>46238</v>
      </c>
      <c r="O703" s="120">
        <f>NETWORKDAYS.INTL(K703,N703,1,$AM$2:$AM$10)-1</f>
        <v>4</v>
      </c>
      <c r="P703" s="114" t="s">
        <v>81</v>
      </c>
      <c r="Q703" s="114" t="s">
        <v>79</v>
      </c>
      <c r="R703" s="115"/>
      <c r="S703" s="145">
        <v>740</v>
      </c>
      <c r="T703" s="148" t="s">
        <v>2620</v>
      </c>
      <c r="U703" s="147">
        <v>2</v>
      </c>
      <c r="V703" s="121">
        <v>11</v>
      </c>
      <c r="W703" s="121">
        <v>1649</v>
      </c>
      <c r="X703" s="114" t="s">
        <v>84</v>
      </c>
      <c r="Y703" s="115" t="s">
        <v>85</v>
      </c>
      <c r="Z703" s="115" t="s">
        <v>86</v>
      </c>
      <c r="AA703" s="113" t="s">
        <v>87</v>
      </c>
      <c r="AB703" s="122">
        <v>396.06</v>
      </c>
      <c r="AC703" s="122">
        <f>IF(C703="DENALI", AB703*0.495, IF(C703="SCHNEIDER ELECTRIC", AB703*1.136, IF(C703="WWT", AB703*1.2, AC703)))+AB703</f>
        <v>845.98415999999997</v>
      </c>
      <c r="AD703" s="129">
        <f>AC703-AB703</f>
        <v>449.92415999999997</v>
      </c>
      <c r="AE703" s="122">
        <v>42717.32</v>
      </c>
      <c r="AF703" s="130">
        <f>AB703/U703</f>
        <v>198.03</v>
      </c>
      <c r="AG703" s="130">
        <f>AB703/V703</f>
        <v>36.005454545454548</v>
      </c>
      <c r="AH703" s="123">
        <f>AB703/S703</f>
        <v>0.53521621621621618</v>
      </c>
      <c r="AI703" s="124" t="s">
        <v>115</v>
      </c>
      <c r="AJ703" s="125" t="s">
        <v>2353</v>
      </c>
      <c r="AK703"/>
      <c r="AM703" s="80"/>
    </row>
    <row r="704" spans="1:39" ht="28.5" customHeight="1">
      <c r="A704" s="113" t="s">
        <v>73</v>
      </c>
      <c r="B704" s="114" t="s">
        <v>74</v>
      </c>
      <c r="C704" s="113" t="s">
        <v>36</v>
      </c>
      <c r="D704" s="113" t="s">
        <v>75</v>
      </c>
      <c r="E704" s="115" t="s">
        <v>2621</v>
      </c>
      <c r="F704" s="113" t="s">
        <v>109</v>
      </c>
      <c r="G704" s="116" t="s">
        <v>2622</v>
      </c>
      <c r="H704" s="79">
        <v>46239</v>
      </c>
      <c r="I704" s="114" t="s">
        <v>79</v>
      </c>
      <c r="J704" s="117" t="s">
        <v>2623</v>
      </c>
      <c r="K704" s="118">
        <v>46232</v>
      </c>
      <c r="L704" s="114" t="s">
        <v>81</v>
      </c>
      <c r="M704" s="119">
        <v>46234</v>
      </c>
      <c r="N704" s="128">
        <v>46237</v>
      </c>
      <c r="O704" s="120">
        <f>NETWORKDAYS.INTL(K704,N704,1,$AM$2:$AM$10)-1</f>
        <v>3</v>
      </c>
      <c r="P704" s="114" t="s">
        <v>81</v>
      </c>
      <c r="Q704" s="114" t="s">
        <v>79</v>
      </c>
      <c r="R704" s="115"/>
      <c r="S704" s="145">
        <v>1023</v>
      </c>
      <c r="T704" s="148" t="s">
        <v>2624</v>
      </c>
      <c r="U704" s="147">
        <v>1</v>
      </c>
      <c r="V704" s="121">
        <v>5</v>
      </c>
      <c r="W704" s="121">
        <v>633</v>
      </c>
      <c r="X704" s="114" t="s">
        <v>84</v>
      </c>
      <c r="Y704" s="115" t="s">
        <v>85</v>
      </c>
      <c r="Z704" s="115" t="s">
        <v>86</v>
      </c>
      <c r="AA704" s="113" t="s">
        <v>87</v>
      </c>
      <c r="AB704" s="122">
        <v>308.89999999999998</v>
      </c>
      <c r="AC704" s="122">
        <f>IF(C704="DENALI", AB704*0.495, IF(C704="SCHNEIDER ELECTRIC", AB704*1.136, IF(C704="WWT", AB704*1.2, AC704)))+AB704</f>
        <v>659.81039999999985</v>
      </c>
      <c r="AD704" s="129">
        <f>AC704-AB704</f>
        <v>350.91039999999987</v>
      </c>
      <c r="AE704" s="122">
        <v>13897.97</v>
      </c>
      <c r="AF704" s="130">
        <f>AB704/U704</f>
        <v>308.89999999999998</v>
      </c>
      <c r="AG704" s="130">
        <f>AB704/V704</f>
        <v>61.779999999999994</v>
      </c>
      <c r="AH704" s="123">
        <f>AB704/S704</f>
        <v>0.30195503421309872</v>
      </c>
      <c r="AI704" s="124" t="s">
        <v>1365</v>
      </c>
      <c r="AJ704" s="125" t="s">
        <v>2267</v>
      </c>
      <c r="AK704"/>
      <c r="AM704" s="80"/>
    </row>
    <row r="705" spans="1:39" ht="28.5" customHeight="1">
      <c r="A705" s="113" t="s">
        <v>73</v>
      </c>
      <c r="B705" s="114" t="s">
        <v>74</v>
      </c>
      <c r="C705" s="113" t="s">
        <v>36</v>
      </c>
      <c r="D705" s="113" t="s">
        <v>75</v>
      </c>
      <c r="E705" s="115" t="s">
        <v>2625</v>
      </c>
      <c r="F705" s="113" t="s">
        <v>2613</v>
      </c>
      <c r="G705" s="116" t="s">
        <v>2626</v>
      </c>
      <c r="H705" s="79">
        <v>46239</v>
      </c>
      <c r="I705" s="114" t="s">
        <v>79</v>
      </c>
      <c r="J705" s="117" t="s">
        <v>2627</v>
      </c>
      <c r="K705" s="118">
        <v>46232</v>
      </c>
      <c r="L705" s="114" t="s">
        <v>79</v>
      </c>
      <c r="M705" s="119">
        <v>46233</v>
      </c>
      <c r="N705" s="128">
        <v>46237</v>
      </c>
      <c r="O705" s="120">
        <f>NETWORKDAYS.INTL(K705,N705,1,$AM$2:$AM$10)-1</f>
        <v>3</v>
      </c>
      <c r="P705" s="114" t="s">
        <v>81</v>
      </c>
      <c r="Q705" s="114" t="s">
        <v>79</v>
      </c>
      <c r="R705" s="115"/>
      <c r="S705" s="145">
        <v>348</v>
      </c>
      <c r="T705" s="148" t="s">
        <v>2628</v>
      </c>
      <c r="U705" s="147">
        <v>3</v>
      </c>
      <c r="V705" s="121">
        <v>67</v>
      </c>
      <c r="W705" s="121">
        <v>5320</v>
      </c>
      <c r="X705" s="114" t="s">
        <v>84</v>
      </c>
      <c r="Y705" s="115" t="s">
        <v>85</v>
      </c>
      <c r="Z705" s="115" t="s">
        <v>86</v>
      </c>
      <c r="AA705" s="113" t="s">
        <v>87</v>
      </c>
      <c r="AB705" s="122">
        <v>441.23</v>
      </c>
      <c r="AC705" s="122">
        <f>IF(C705="DENALI", AB705*0.495, IF(C705="SCHNEIDER ELECTRIC", AB705*1.136, IF(C705="WWT", AB705*1.2, AC705)))+AB705</f>
        <v>942.46728000000007</v>
      </c>
      <c r="AD705" s="129">
        <f>AC705-AB705</f>
        <v>501.23728000000006</v>
      </c>
      <c r="AE705" s="122">
        <v>32817.760000000002</v>
      </c>
      <c r="AF705" s="130">
        <f>AB705/U705</f>
        <v>147.07666666666668</v>
      </c>
      <c r="AG705" s="130">
        <f>AB705/V705</f>
        <v>6.5855223880597018</v>
      </c>
      <c r="AH705" s="123">
        <f>AB705/S705</f>
        <v>1.2679022988505748</v>
      </c>
      <c r="AI705" s="124" t="s">
        <v>97</v>
      </c>
      <c r="AJ705" s="125" t="s">
        <v>2267</v>
      </c>
      <c r="AK705"/>
      <c r="AM705" s="80"/>
    </row>
    <row r="706" spans="1:39" ht="28.5" customHeight="1">
      <c r="A706" s="113" t="s">
        <v>73</v>
      </c>
      <c r="B706" s="114" t="s">
        <v>74</v>
      </c>
      <c r="C706" s="113" t="s">
        <v>36</v>
      </c>
      <c r="D706" s="113" t="s">
        <v>75</v>
      </c>
      <c r="E706" s="115" t="s">
        <v>2629</v>
      </c>
      <c r="F706" s="113" t="s">
        <v>218</v>
      </c>
      <c r="G706" s="116" t="s">
        <v>2630</v>
      </c>
      <c r="H706" s="79">
        <v>46239</v>
      </c>
      <c r="I706" s="114" t="s">
        <v>79</v>
      </c>
      <c r="J706" s="117" t="s">
        <v>2631</v>
      </c>
      <c r="K706" s="118">
        <v>46232</v>
      </c>
      <c r="L706" s="114" t="s">
        <v>81</v>
      </c>
      <c r="M706" s="119">
        <v>46233</v>
      </c>
      <c r="N706" s="128">
        <v>46234</v>
      </c>
      <c r="O706" s="120">
        <f>NETWORKDAYS.INTL(K706,N706,1,$AM$2:$AM$10)-1</f>
        <v>2</v>
      </c>
      <c r="P706" s="114" t="s">
        <v>81</v>
      </c>
      <c r="Q706" s="114" t="s">
        <v>79</v>
      </c>
      <c r="R706" s="115"/>
      <c r="S706" s="145">
        <v>540</v>
      </c>
      <c r="T706" s="148" t="s">
        <v>2632</v>
      </c>
      <c r="U706" s="147">
        <v>2</v>
      </c>
      <c r="V706" s="121">
        <v>8</v>
      </c>
      <c r="W706" s="121">
        <v>1200</v>
      </c>
      <c r="X706" s="114" t="s">
        <v>84</v>
      </c>
      <c r="Y706" s="115" t="s">
        <v>85</v>
      </c>
      <c r="Z706" s="115" t="s">
        <v>2312</v>
      </c>
      <c r="AA706" s="113" t="s">
        <v>87</v>
      </c>
      <c r="AB706" s="122">
        <v>477.14</v>
      </c>
      <c r="AC706" s="122">
        <f>IF(C706="DENALI", AB706*0.495, IF(C706="SCHNEIDER ELECTRIC", AB706*1.136, IF(C706="WWT", AB706*1.2, AC706)))+AB706</f>
        <v>1019.1710399999999</v>
      </c>
      <c r="AD706" s="129">
        <f>AC706-AB706</f>
        <v>542.03103999999996</v>
      </c>
      <c r="AE706" s="122">
        <v>30366.17</v>
      </c>
      <c r="AF706" s="130">
        <f>AB706/U706</f>
        <v>238.57</v>
      </c>
      <c r="AG706" s="130">
        <f>AB706/V706</f>
        <v>59.642499999999998</v>
      </c>
      <c r="AH706" s="123">
        <f>AB706/S706</f>
        <v>0.8835925925925926</v>
      </c>
      <c r="AI706" s="124" t="s">
        <v>97</v>
      </c>
      <c r="AJ706" s="125" t="s">
        <v>98</v>
      </c>
      <c r="AK706"/>
      <c r="AM706" s="80"/>
    </row>
    <row r="707" spans="1:39" ht="28.5" customHeight="1">
      <c r="A707" s="113" t="s">
        <v>73</v>
      </c>
      <c r="B707" s="114" t="s">
        <v>74</v>
      </c>
      <c r="C707" s="113" t="s">
        <v>36</v>
      </c>
      <c r="D707" s="113" t="s">
        <v>75</v>
      </c>
      <c r="E707" s="115" t="s">
        <v>2633</v>
      </c>
      <c r="F707" s="113" t="s">
        <v>109</v>
      </c>
      <c r="G707" s="116" t="s">
        <v>2634</v>
      </c>
      <c r="H707" s="79">
        <v>46239</v>
      </c>
      <c r="I707" s="114" t="s">
        <v>79</v>
      </c>
      <c r="J707" s="117" t="s">
        <v>2635</v>
      </c>
      <c r="K707" s="118">
        <v>46232</v>
      </c>
      <c r="L707" s="114" t="s">
        <v>81</v>
      </c>
      <c r="M707" s="119">
        <v>46234</v>
      </c>
      <c r="N707" s="128">
        <v>46238</v>
      </c>
      <c r="O707" s="120">
        <f>NETWORKDAYS.INTL(K707,N707,1,$AM$2:$AM$10)-1</f>
        <v>4</v>
      </c>
      <c r="P707" s="114" t="s">
        <v>81</v>
      </c>
      <c r="Q707" s="114" t="s">
        <v>79</v>
      </c>
      <c r="R707" s="115"/>
      <c r="S707" s="145">
        <v>1036</v>
      </c>
      <c r="T707" s="148" t="s">
        <v>2636</v>
      </c>
      <c r="U707" s="147">
        <v>1</v>
      </c>
      <c r="V707" s="121">
        <v>9</v>
      </c>
      <c r="W707" s="121">
        <v>716</v>
      </c>
      <c r="X707" s="114" t="s">
        <v>84</v>
      </c>
      <c r="Y707" s="115" t="s">
        <v>85</v>
      </c>
      <c r="Z707" s="115" t="s">
        <v>86</v>
      </c>
      <c r="AA707" s="113" t="s">
        <v>87</v>
      </c>
      <c r="AB707" s="122">
        <v>356.71</v>
      </c>
      <c r="AC707" s="122">
        <f>IF(C707="DENALI", AB707*0.495, IF(C707="SCHNEIDER ELECTRIC", AB707*1.136, IF(C707="WWT", AB707*1.2, AC707)))+AB707</f>
        <v>761.93255999999997</v>
      </c>
      <c r="AD707" s="129">
        <f>AC707-AB707</f>
        <v>405.22255999999999</v>
      </c>
      <c r="AE707" s="122">
        <v>13081.53</v>
      </c>
      <c r="AF707" s="130">
        <f>AB707/U707</f>
        <v>356.71</v>
      </c>
      <c r="AG707" s="130">
        <f>AB707/V707</f>
        <v>39.634444444444441</v>
      </c>
      <c r="AH707" s="123">
        <f>AB707/S707</f>
        <v>0.34431467181467179</v>
      </c>
      <c r="AI707" s="124" t="s">
        <v>155</v>
      </c>
      <c r="AJ707" s="125" t="s">
        <v>2272</v>
      </c>
      <c r="AK707"/>
      <c r="AM707" s="80"/>
    </row>
    <row r="708" spans="1:39" ht="28.5" customHeight="1">
      <c r="A708" s="113" t="s">
        <v>73</v>
      </c>
      <c r="B708" s="114" t="s">
        <v>74</v>
      </c>
      <c r="C708" s="113" t="s">
        <v>36</v>
      </c>
      <c r="D708" s="113" t="s">
        <v>75</v>
      </c>
      <c r="E708" s="115" t="s">
        <v>2637</v>
      </c>
      <c r="F708" s="113" t="s">
        <v>142</v>
      </c>
      <c r="G708" s="116" t="s">
        <v>2638</v>
      </c>
      <c r="H708" s="79">
        <v>46239</v>
      </c>
      <c r="I708" s="114" t="s">
        <v>79</v>
      </c>
      <c r="J708" s="117" t="s">
        <v>2639</v>
      </c>
      <c r="K708" s="118">
        <v>46232</v>
      </c>
      <c r="L708" s="114" t="s">
        <v>79</v>
      </c>
      <c r="M708" s="119">
        <v>46234</v>
      </c>
      <c r="N708" s="128">
        <v>46238</v>
      </c>
      <c r="O708" s="120">
        <f>NETWORKDAYS.INTL(K708,N708,1,$AM$2:$AM$10)-1</f>
        <v>4</v>
      </c>
      <c r="P708" s="114" t="s">
        <v>81</v>
      </c>
      <c r="Q708" s="114" t="s">
        <v>79</v>
      </c>
      <c r="R708" s="115"/>
      <c r="S708" s="145">
        <v>728</v>
      </c>
      <c r="T708" s="148" t="s">
        <v>2640</v>
      </c>
      <c r="U708" s="147">
        <v>2</v>
      </c>
      <c r="V708" s="121">
        <v>21</v>
      </c>
      <c r="W708" s="121">
        <v>1697</v>
      </c>
      <c r="X708" s="114" t="s">
        <v>84</v>
      </c>
      <c r="Y708" s="115" t="s">
        <v>85</v>
      </c>
      <c r="Z708" s="115" t="s">
        <v>86</v>
      </c>
      <c r="AA708" s="113" t="s">
        <v>87</v>
      </c>
      <c r="AB708" s="122">
        <v>404.39</v>
      </c>
      <c r="AC708" s="122">
        <f>IF(C708="DENALI", AB708*0.495, IF(C708="SCHNEIDER ELECTRIC", AB708*1.136, IF(C708="WWT", AB708*1.2, AC708)))+AB708</f>
        <v>863.77703999999994</v>
      </c>
      <c r="AD708" s="129">
        <f>AC708-AB708</f>
        <v>459.38703999999996</v>
      </c>
      <c r="AE708" s="122">
        <v>10428.6</v>
      </c>
      <c r="AF708" s="130">
        <f>AB708/U708</f>
        <v>202.19499999999999</v>
      </c>
      <c r="AG708" s="130">
        <f>AB708/V708</f>
        <v>19.256666666666668</v>
      </c>
      <c r="AH708" s="123">
        <f>AB708/S708</f>
        <v>0.55548076923076917</v>
      </c>
      <c r="AI708" s="124" t="s">
        <v>97</v>
      </c>
      <c r="AJ708" s="125" t="s">
        <v>98</v>
      </c>
      <c r="AK708"/>
      <c r="AM708" s="80"/>
    </row>
    <row r="709" spans="1:39" ht="28.5" customHeight="1">
      <c r="A709" s="113" t="s">
        <v>73</v>
      </c>
      <c r="B709" s="114" t="s">
        <v>74</v>
      </c>
      <c r="C709" s="113" t="s">
        <v>35</v>
      </c>
      <c r="D709" s="113" t="s">
        <v>218</v>
      </c>
      <c r="E709" s="115" t="s">
        <v>2038</v>
      </c>
      <c r="F709" s="113" t="s">
        <v>75</v>
      </c>
      <c r="G709" s="116" t="s">
        <v>2641</v>
      </c>
      <c r="H709" s="79">
        <v>46239</v>
      </c>
      <c r="I709" s="114" t="s">
        <v>79</v>
      </c>
      <c r="J709" s="117" t="s">
        <v>2642</v>
      </c>
      <c r="K709" s="118">
        <v>46232</v>
      </c>
      <c r="L709" s="114" t="s">
        <v>81</v>
      </c>
      <c r="M709" s="119">
        <v>46233</v>
      </c>
      <c r="N709" s="128">
        <v>46239</v>
      </c>
      <c r="O709" s="120">
        <f>NETWORKDAYS.INTL(K709,N709,1,$AM$2:$AM$10)-1</f>
        <v>5</v>
      </c>
      <c r="P709" s="114" t="s">
        <v>81</v>
      </c>
      <c r="Q709" s="114" t="s">
        <v>79</v>
      </c>
      <c r="R709" s="115"/>
      <c r="S709" s="145">
        <v>570</v>
      </c>
      <c r="T709" s="148" t="s">
        <v>2041</v>
      </c>
      <c r="U709" s="147">
        <v>2</v>
      </c>
      <c r="V709" s="121">
        <v>1500</v>
      </c>
      <c r="W709" s="121">
        <v>1140</v>
      </c>
      <c r="X709" s="114" t="s">
        <v>84</v>
      </c>
      <c r="Y709" s="115" t="s">
        <v>85</v>
      </c>
      <c r="Z709" s="115" t="s">
        <v>2312</v>
      </c>
      <c r="AA709" s="113" t="s">
        <v>87</v>
      </c>
      <c r="AB709" s="122">
        <v>362.51</v>
      </c>
      <c r="AC709" s="122">
        <f>IF(C709="DENALI", AB709*0.495, IF(C709="SCHNEIDER ELECTRIC", AB709*1.136, IF(C709="WWT", AB709*1.2, AC709)))+AB709</f>
        <v>541.95245</v>
      </c>
      <c r="AD709" s="129">
        <f>AC709-AB709</f>
        <v>179.44245000000001</v>
      </c>
      <c r="AE709" s="122">
        <v>90544.89</v>
      </c>
      <c r="AF709" s="130">
        <f>AB709/U709</f>
        <v>181.255</v>
      </c>
      <c r="AG709" s="130">
        <f>AB709/V709</f>
        <v>0.24167333333333332</v>
      </c>
      <c r="AH709" s="123">
        <f>AB709/S709</f>
        <v>0.63598245614035087</v>
      </c>
      <c r="AI709" s="124" t="s">
        <v>1044</v>
      </c>
      <c r="AJ709" s="125" t="s">
        <v>349</v>
      </c>
      <c r="AK709"/>
      <c r="AM709" s="80"/>
    </row>
    <row r="710" spans="1:39" ht="28.5" customHeight="1">
      <c r="A710" s="113" t="s">
        <v>73</v>
      </c>
      <c r="B710" s="114" t="s">
        <v>74</v>
      </c>
      <c r="C710" s="113" t="s">
        <v>36</v>
      </c>
      <c r="D710" s="113" t="s">
        <v>75</v>
      </c>
      <c r="E710" s="115" t="s">
        <v>2643</v>
      </c>
      <c r="F710" s="113" t="s">
        <v>401</v>
      </c>
      <c r="G710" s="116" t="s">
        <v>2644</v>
      </c>
      <c r="H710" s="79">
        <v>46240</v>
      </c>
      <c r="I710" s="114" t="s">
        <v>79</v>
      </c>
      <c r="J710" s="117" t="s">
        <v>2645</v>
      </c>
      <c r="K710" s="118">
        <v>46233</v>
      </c>
      <c r="L710" s="114" t="s">
        <v>79</v>
      </c>
      <c r="M710" s="119">
        <v>46237</v>
      </c>
      <c r="N710" s="128">
        <v>46238</v>
      </c>
      <c r="O710" s="120">
        <f>NETWORKDAYS.INTL(K710,N710,1,$AM$2:$AM$10)-1</f>
        <v>3</v>
      </c>
      <c r="P710" s="114" t="s">
        <v>81</v>
      </c>
      <c r="Q710" s="114" t="s">
        <v>79</v>
      </c>
      <c r="R710" s="115"/>
      <c r="S710" s="145">
        <v>929</v>
      </c>
      <c r="T710" s="148" t="s">
        <v>2646</v>
      </c>
      <c r="U710" s="147">
        <v>1</v>
      </c>
      <c r="V710" s="121">
        <v>7</v>
      </c>
      <c r="W710" s="121">
        <v>566</v>
      </c>
      <c r="X710" s="114" t="s">
        <v>84</v>
      </c>
      <c r="Y710" s="115" t="s">
        <v>85</v>
      </c>
      <c r="Z710" s="115" t="s">
        <v>86</v>
      </c>
      <c r="AA710" s="113" t="s">
        <v>87</v>
      </c>
      <c r="AB710" s="122">
        <v>240.73</v>
      </c>
      <c r="AC710" s="122">
        <f>IF(C710="DENALI", AB710*0.495, IF(C710="SCHNEIDER ELECTRIC", AB710*1.136, IF(C710="WWT", AB710*1.2, AC710)))+AB710</f>
        <v>514.19927999999993</v>
      </c>
      <c r="AD710" s="129">
        <f>AC710-AB710</f>
        <v>273.46927999999991</v>
      </c>
      <c r="AE710" s="122">
        <v>8922.32</v>
      </c>
      <c r="AF710" s="130">
        <f>AB710/U710</f>
        <v>240.73</v>
      </c>
      <c r="AG710" s="130">
        <f>AB710/V710</f>
        <v>34.39</v>
      </c>
      <c r="AH710" s="123">
        <f>AB710/S710</f>
        <v>0.25912809472551129</v>
      </c>
      <c r="AI710" s="124" t="s">
        <v>183</v>
      </c>
      <c r="AJ710" s="125" t="s">
        <v>98</v>
      </c>
      <c r="AK710"/>
      <c r="AM710" s="80"/>
    </row>
    <row r="711" spans="1:39" ht="28.5" customHeight="1">
      <c r="A711" s="113" t="s">
        <v>73</v>
      </c>
      <c r="B711" s="114" t="s">
        <v>74</v>
      </c>
      <c r="C711" s="113" t="s">
        <v>36</v>
      </c>
      <c r="D711" s="113" t="s">
        <v>75</v>
      </c>
      <c r="E711" s="115" t="s">
        <v>2027</v>
      </c>
      <c r="F711" s="113" t="s">
        <v>272</v>
      </c>
      <c r="G711" s="116" t="s">
        <v>2647</v>
      </c>
      <c r="H711" s="79">
        <v>46239</v>
      </c>
      <c r="I711" s="114" t="s">
        <v>79</v>
      </c>
      <c r="J711" s="117" t="s">
        <v>2648</v>
      </c>
      <c r="K711" s="118">
        <v>46232</v>
      </c>
      <c r="L711" s="114" t="s">
        <v>79</v>
      </c>
      <c r="M711" s="119">
        <v>46234</v>
      </c>
      <c r="N711" s="128">
        <v>46239</v>
      </c>
      <c r="O711" s="120">
        <f>NETWORKDAYS.INTL(K711,N711,1,$AM$2:$AM$10)-1</f>
        <v>5</v>
      </c>
      <c r="P711" s="114" t="s">
        <v>81</v>
      </c>
      <c r="Q711" s="114" t="s">
        <v>79</v>
      </c>
      <c r="R711" s="115"/>
      <c r="S711" s="145">
        <v>504</v>
      </c>
      <c r="T711" s="148" t="s">
        <v>2649</v>
      </c>
      <c r="U711" s="147">
        <v>2</v>
      </c>
      <c r="V711" s="121">
        <v>25</v>
      </c>
      <c r="W711" s="121">
        <v>1966</v>
      </c>
      <c r="X711" s="114" t="s">
        <v>84</v>
      </c>
      <c r="Y711" s="115" t="s">
        <v>85</v>
      </c>
      <c r="Z711" s="115" t="s">
        <v>86</v>
      </c>
      <c r="AA711" s="113" t="s">
        <v>87</v>
      </c>
      <c r="AB711" s="122">
        <v>306.72000000000003</v>
      </c>
      <c r="AC711" s="122">
        <f>IF(C711="DENALI", AB711*0.495, IF(C711="SCHNEIDER ELECTRIC", AB711*1.136, IF(C711="WWT", AB711*1.2, AC711)))+AB711</f>
        <v>655.15391999999997</v>
      </c>
      <c r="AD711" s="129">
        <f>AC711-AB711</f>
        <v>348.43391999999994</v>
      </c>
      <c r="AE711" s="122">
        <v>12187.78</v>
      </c>
      <c r="AF711" s="130">
        <f>AB711/U711</f>
        <v>153.36000000000001</v>
      </c>
      <c r="AG711" s="130">
        <f>AB711/V711</f>
        <v>12.268800000000001</v>
      </c>
      <c r="AH711" s="123">
        <f>AB711/S711</f>
        <v>0.60857142857142865</v>
      </c>
      <c r="AI711" s="124" t="s">
        <v>97</v>
      </c>
      <c r="AJ711" s="125" t="s">
        <v>2267</v>
      </c>
      <c r="AK711"/>
      <c r="AM711" s="80"/>
    </row>
    <row r="712" spans="1:39" ht="28.5" customHeight="1">
      <c r="A712" s="113" t="s">
        <v>73</v>
      </c>
      <c r="B712" s="114" t="s">
        <v>140</v>
      </c>
      <c r="C712" s="113" t="s">
        <v>35</v>
      </c>
      <c r="D712" s="113" t="s">
        <v>218</v>
      </c>
      <c r="E712" s="115" t="s">
        <v>141</v>
      </c>
      <c r="F712" s="113" t="s">
        <v>142</v>
      </c>
      <c r="G712" s="116" t="s">
        <v>2650</v>
      </c>
      <c r="H712" s="79">
        <v>46239</v>
      </c>
      <c r="I712" s="114" t="s">
        <v>79</v>
      </c>
      <c r="J712" s="117" t="s">
        <v>2651</v>
      </c>
      <c r="K712" s="118">
        <v>46232</v>
      </c>
      <c r="L712" s="114" t="s">
        <v>81</v>
      </c>
      <c r="M712" s="119">
        <v>46233</v>
      </c>
      <c r="N712" s="128">
        <v>46234</v>
      </c>
      <c r="O712" s="120">
        <f>NETWORKDAYS.INTL(K712,N712,1,$AM$2:$AM$10)-1</f>
        <v>2</v>
      </c>
      <c r="P712" s="114" t="s">
        <v>81</v>
      </c>
      <c r="Q712" s="114" t="s">
        <v>79</v>
      </c>
      <c r="R712" s="115"/>
      <c r="S712" s="145">
        <v>441</v>
      </c>
      <c r="T712" s="148" t="s">
        <v>2652</v>
      </c>
      <c r="U712" s="147">
        <v>3</v>
      </c>
      <c r="V712" s="121">
        <v>916</v>
      </c>
      <c r="W712" s="121">
        <v>1425</v>
      </c>
      <c r="X712" s="114" t="s">
        <v>84</v>
      </c>
      <c r="Y712" s="115" t="s">
        <v>85</v>
      </c>
      <c r="Z712" s="115" t="s">
        <v>1208</v>
      </c>
      <c r="AA712" s="113" t="s">
        <v>87</v>
      </c>
      <c r="AB712" s="122">
        <v>467.34</v>
      </c>
      <c r="AC712" s="122">
        <f>IF(C712="DENALI", AB712*0.495, IF(C712="SCHNEIDER ELECTRIC", AB712*1.136, IF(C712="WWT", AB712*1.2, AC712)))+AB712</f>
        <v>698.67329999999993</v>
      </c>
      <c r="AD712" s="129">
        <f>AC712-AB712</f>
        <v>231.33329999999995</v>
      </c>
      <c r="AE712" s="122">
        <v>130367.89</v>
      </c>
      <c r="AF712" s="130">
        <f>AB712/U712</f>
        <v>155.78</v>
      </c>
      <c r="AG712" s="130">
        <f>AB712/V712</f>
        <v>0.51019650655021831</v>
      </c>
      <c r="AH712" s="123">
        <f>AB712/S712</f>
        <v>1.0597278911564625</v>
      </c>
      <c r="AI712" s="124" t="s">
        <v>240</v>
      </c>
      <c r="AJ712" s="125" t="s">
        <v>343</v>
      </c>
      <c r="AK712"/>
      <c r="AM712" s="80"/>
    </row>
    <row r="713" spans="1:39" ht="28.5" customHeight="1">
      <c r="A713" s="113" t="s">
        <v>73</v>
      </c>
      <c r="B713" s="114" t="s">
        <v>74</v>
      </c>
      <c r="C713" s="113" t="s">
        <v>35</v>
      </c>
      <c r="D713" s="113" t="s">
        <v>218</v>
      </c>
      <c r="E713" s="115" t="s">
        <v>456</v>
      </c>
      <c r="F713" s="113" t="s">
        <v>457</v>
      </c>
      <c r="G713" s="116" t="s">
        <v>2653</v>
      </c>
      <c r="H713" s="79">
        <v>46240</v>
      </c>
      <c r="I713" s="114" t="s">
        <v>79</v>
      </c>
      <c r="J713" s="117" t="s">
        <v>2654</v>
      </c>
      <c r="K713" s="118">
        <v>46233</v>
      </c>
      <c r="L713" s="114" t="s">
        <v>81</v>
      </c>
      <c r="M713" s="119">
        <v>46240</v>
      </c>
      <c r="N713" s="128">
        <v>46240</v>
      </c>
      <c r="O713" s="120">
        <f>NETWORKDAYS.INTL(K713,N713,1,$AM$2:$AM$10)-1</f>
        <v>5</v>
      </c>
      <c r="P713" s="114" t="s">
        <v>81</v>
      </c>
      <c r="Q713" s="114" t="s">
        <v>79</v>
      </c>
      <c r="R713" s="115"/>
      <c r="S713" s="145">
        <v>657</v>
      </c>
      <c r="T713" s="148" t="s">
        <v>2655</v>
      </c>
      <c r="U713" s="147">
        <v>1</v>
      </c>
      <c r="V713" s="121">
        <v>12</v>
      </c>
      <c r="W713" s="121">
        <v>690</v>
      </c>
      <c r="X713" s="114" t="s">
        <v>84</v>
      </c>
      <c r="Y713" s="115" t="s">
        <v>85</v>
      </c>
      <c r="Z713" s="115" t="s">
        <v>2585</v>
      </c>
      <c r="AA713" s="113" t="s">
        <v>87</v>
      </c>
      <c r="AB713" s="122">
        <v>469.32</v>
      </c>
      <c r="AC713" s="122">
        <f>IF(C713="DENALI", AB713*0.495, IF(C713="SCHNEIDER ELECTRIC", AB713*1.136, IF(C713="WWT", AB713*1.2, AC713)))+AB713</f>
        <v>701.63339999999994</v>
      </c>
      <c r="AD713" s="129">
        <f>AC713-AB713</f>
        <v>232.31339999999994</v>
      </c>
      <c r="AE713" s="122">
        <v>15345.48</v>
      </c>
      <c r="AF713" s="130">
        <f>AB713/U713</f>
        <v>469.32</v>
      </c>
      <c r="AG713" s="130">
        <f>AB713/V713</f>
        <v>39.11</v>
      </c>
      <c r="AH713" s="123">
        <f>AB713/S713</f>
        <v>0.71433789954337901</v>
      </c>
      <c r="AI713" s="124" t="s">
        <v>97</v>
      </c>
      <c r="AJ713" s="125" t="s">
        <v>349</v>
      </c>
      <c r="AK713"/>
      <c r="AM713" s="80"/>
    </row>
    <row r="714" spans="1:39" ht="28.5" customHeight="1">
      <c r="A714" s="113" t="s">
        <v>73</v>
      </c>
      <c r="B714" s="114" t="s">
        <v>74</v>
      </c>
      <c r="C714" s="113" t="s">
        <v>36</v>
      </c>
      <c r="D714" s="113" t="s">
        <v>90</v>
      </c>
      <c r="E714" s="115" t="s">
        <v>1019</v>
      </c>
      <c r="F714" s="113" t="s">
        <v>1020</v>
      </c>
      <c r="G714" s="116" t="s">
        <v>2656</v>
      </c>
      <c r="H714" s="79">
        <v>46239</v>
      </c>
      <c r="I714" s="114" t="s">
        <v>79</v>
      </c>
      <c r="J714" s="117" t="s">
        <v>2657</v>
      </c>
      <c r="K714" s="118">
        <v>46232</v>
      </c>
      <c r="L714" s="114" t="s">
        <v>81</v>
      </c>
      <c r="M714" s="119">
        <v>46238</v>
      </c>
      <c r="N714" s="128">
        <v>46239</v>
      </c>
      <c r="O714" s="120">
        <f>NETWORKDAYS.INTL(K714,N714,1,$AM$2:$AM$10)-1</f>
        <v>5</v>
      </c>
      <c r="P714" s="114" t="s">
        <v>81</v>
      </c>
      <c r="Q714" s="114" t="s">
        <v>79</v>
      </c>
      <c r="R714" s="115"/>
      <c r="S714" s="145">
        <v>1503</v>
      </c>
      <c r="T714" s="148" t="s">
        <v>2658</v>
      </c>
      <c r="U714" s="147">
        <v>1</v>
      </c>
      <c r="V714" s="121">
        <v>8</v>
      </c>
      <c r="W714" s="121">
        <v>947</v>
      </c>
      <c r="X714" s="114" t="s">
        <v>84</v>
      </c>
      <c r="Y714" s="115" t="s">
        <v>85</v>
      </c>
      <c r="Z714" s="115" t="s">
        <v>86</v>
      </c>
      <c r="AA714" s="113" t="s">
        <v>87</v>
      </c>
      <c r="AB714" s="122">
        <v>333.33</v>
      </c>
      <c r="AC714" s="122">
        <f>IF(C714="DENALI", AB714*0.495, IF(C714="SCHNEIDER ELECTRIC", AB714*1.136, IF(C714="WWT", AB714*1.2, AC714)))+AB714</f>
        <v>711.99288000000001</v>
      </c>
      <c r="AD714" s="129">
        <f>AC714-AB714</f>
        <v>378.66288000000003</v>
      </c>
      <c r="AE714" s="122">
        <v>8234.1</v>
      </c>
      <c r="AF714" s="130">
        <f>AB714/U714</f>
        <v>333.33</v>
      </c>
      <c r="AG714" s="130">
        <f>AB714/V714</f>
        <v>41.666249999999998</v>
      </c>
      <c r="AH714" s="123">
        <f>AB714/S714</f>
        <v>0.22177644710578842</v>
      </c>
      <c r="AI714" s="124" t="s">
        <v>97</v>
      </c>
      <c r="AJ714" s="125" t="s">
        <v>2267</v>
      </c>
      <c r="AK714"/>
      <c r="AM714" s="80"/>
    </row>
    <row r="715" spans="1:39" ht="28.5" customHeight="1">
      <c r="A715" s="113" t="s">
        <v>73</v>
      </c>
      <c r="B715" s="114" t="s">
        <v>74</v>
      </c>
      <c r="C715" s="113" t="s">
        <v>36</v>
      </c>
      <c r="D715" s="113" t="s">
        <v>75</v>
      </c>
      <c r="E715" s="115" t="s">
        <v>2659</v>
      </c>
      <c r="F715" s="113" t="s">
        <v>562</v>
      </c>
      <c r="G715" s="116" t="s">
        <v>2660</v>
      </c>
      <c r="H715" s="79">
        <v>46240</v>
      </c>
      <c r="I715" s="114" t="s">
        <v>79</v>
      </c>
      <c r="J715" s="117" t="s">
        <v>2661</v>
      </c>
      <c r="K715" s="118">
        <v>46233</v>
      </c>
      <c r="L715" s="114" t="s">
        <v>79</v>
      </c>
      <c r="M715" s="119">
        <v>46237</v>
      </c>
      <c r="N715" s="128">
        <v>46238</v>
      </c>
      <c r="O715" s="120">
        <f>NETWORKDAYS.INTL(K715,N715,1,$AM$2:$AM$10)-1</f>
        <v>3</v>
      </c>
      <c r="P715" s="114" t="s">
        <v>81</v>
      </c>
      <c r="Q715" s="114" t="s">
        <v>79</v>
      </c>
      <c r="R715" s="115"/>
      <c r="S715" s="145">
        <v>1092</v>
      </c>
      <c r="T715" s="148" t="s">
        <v>2662</v>
      </c>
      <c r="U715" s="147">
        <v>2</v>
      </c>
      <c r="V715" s="121">
        <v>14</v>
      </c>
      <c r="W715" s="121">
        <v>1401</v>
      </c>
      <c r="X715" s="114" t="s">
        <v>84</v>
      </c>
      <c r="Y715" s="115" t="s">
        <v>85</v>
      </c>
      <c r="Z715" s="115" t="s">
        <v>86</v>
      </c>
      <c r="AA715" s="113" t="s">
        <v>87</v>
      </c>
      <c r="AB715" s="122">
        <v>337.22</v>
      </c>
      <c r="AC715" s="122">
        <f>IF(C715="DENALI", AB715*0.495, IF(C715="SCHNEIDER ELECTRIC", AB715*1.136, IF(C715="WWT", AB715*1.2, AC715)))+AB715</f>
        <v>720.30192000000011</v>
      </c>
      <c r="AD715" s="129">
        <f>AC715-AB715</f>
        <v>383.08192000000008</v>
      </c>
      <c r="AE715" s="122">
        <v>35803.379999999997</v>
      </c>
      <c r="AF715" s="130">
        <f>AB715/U715</f>
        <v>168.61</v>
      </c>
      <c r="AG715" s="130">
        <f>AB715/V715</f>
        <v>24.087142857142858</v>
      </c>
      <c r="AH715" s="123">
        <f>AB715/S715</f>
        <v>0.30880952380952381</v>
      </c>
      <c r="AI715" s="124" t="s">
        <v>97</v>
      </c>
      <c r="AJ715" s="125" t="s">
        <v>2267</v>
      </c>
      <c r="AK715"/>
      <c r="AM715" s="80"/>
    </row>
    <row r="716" spans="1:39" ht="28.5" customHeight="1">
      <c r="A716" s="113" t="s">
        <v>73</v>
      </c>
      <c r="B716" s="114" t="s">
        <v>74</v>
      </c>
      <c r="C716" s="113" t="s">
        <v>36</v>
      </c>
      <c r="D716" s="113" t="s">
        <v>75</v>
      </c>
      <c r="E716" s="115" t="s">
        <v>2663</v>
      </c>
      <c r="F716" s="113" t="s">
        <v>1390</v>
      </c>
      <c r="G716" s="116" t="s">
        <v>2664</v>
      </c>
      <c r="H716" s="79">
        <v>46240</v>
      </c>
      <c r="I716" s="114" t="s">
        <v>79</v>
      </c>
      <c r="J716" s="117" t="s">
        <v>2665</v>
      </c>
      <c r="K716" s="118">
        <v>46233</v>
      </c>
      <c r="L716" s="114" t="s">
        <v>79</v>
      </c>
      <c r="M716" s="119">
        <v>46238</v>
      </c>
      <c r="N716" s="128">
        <v>46238</v>
      </c>
      <c r="O716" s="120">
        <f>NETWORKDAYS.INTL(K716,N716,1,$AM$2:$AM$10)-1</f>
        <v>3</v>
      </c>
      <c r="P716" s="114" t="s">
        <v>81</v>
      </c>
      <c r="Q716" s="114" t="s">
        <v>79</v>
      </c>
      <c r="R716" s="115"/>
      <c r="S716" s="145">
        <v>547</v>
      </c>
      <c r="T716" s="148" t="s">
        <v>2666</v>
      </c>
      <c r="U716" s="147">
        <v>1</v>
      </c>
      <c r="V716" s="121">
        <v>7</v>
      </c>
      <c r="W716" s="121">
        <v>866</v>
      </c>
      <c r="X716" s="114" t="s">
        <v>84</v>
      </c>
      <c r="Y716" s="115" t="s">
        <v>85</v>
      </c>
      <c r="Z716" s="115" t="s">
        <v>86</v>
      </c>
      <c r="AA716" s="113" t="s">
        <v>87</v>
      </c>
      <c r="AB716" s="122">
        <v>281.63</v>
      </c>
      <c r="AC716" s="122">
        <f>IF(C716="DENALI", AB716*0.495, IF(C716="SCHNEIDER ELECTRIC", AB716*1.136, IF(C716="WWT", AB716*1.2, AC716)))+AB716</f>
        <v>601.56168000000002</v>
      </c>
      <c r="AD716" s="129">
        <f>AC716-AB716</f>
        <v>319.93168000000003</v>
      </c>
      <c r="AE716" s="122">
        <v>21124.01</v>
      </c>
      <c r="AF716" s="130">
        <f>AB716/U716</f>
        <v>281.63</v>
      </c>
      <c r="AG716" s="130">
        <f>AB716/V716</f>
        <v>40.232857142857142</v>
      </c>
      <c r="AH716" s="123">
        <f>AB716/S716</f>
        <v>0.51486288848263251</v>
      </c>
      <c r="AI716" s="124" t="s">
        <v>97</v>
      </c>
      <c r="AJ716" s="125" t="s">
        <v>2267</v>
      </c>
      <c r="AK716"/>
      <c r="AM716" s="80"/>
    </row>
    <row r="717" spans="1:39" ht="28.5" customHeight="1">
      <c r="A717" s="113" t="s">
        <v>73</v>
      </c>
      <c r="B717" s="114" t="s">
        <v>140</v>
      </c>
      <c r="C717" s="113" t="s">
        <v>2210</v>
      </c>
      <c r="D717" s="113" t="s">
        <v>90</v>
      </c>
      <c r="E717" s="188" t="s">
        <v>141</v>
      </c>
      <c r="F717" s="113" t="s">
        <v>142</v>
      </c>
      <c r="G717" s="116">
        <v>23718040</v>
      </c>
      <c r="H717" s="79">
        <v>46239</v>
      </c>
      <c r="I717" s="114" t="s">
        <v>81</v>
      </c>
      <c r="J717" s="117" t="s">
        <v>2667</v>
      </c>
      <c r="K717" s="118">
        <v>46232</v>
      </c>
      <c r="L717" s="114" t="s">
        <v>81</v>
      </c>
      <c r="M717" s="119">
        <v>46233</v>
      </c>
      <c r="N717" s="128">
        <v>46233</v>
      </c>
      <c r="O717" s="120">
        <f>NETWORKDAYS.INTL(K717,N717,1,$AM$2:$AM$10)-1</f>
        <v>1</v>
      </c>
      <c r="P717" s="114" t="s">
        <v>81</v>
      </c>
      <c r="Q717" s="114" t="s">
        <v>79</v>
      </c>
      <c r="R717" s="115" t="s">
        <v>2668</v>
      </c>
      <c r="S717" s="145">
        <v>771</v>
      </c>
      <c r="T717" s="148" t="s">
        <v>2669</v>
      </c>
      <c r="U717" s="147">
        <v>1</v>
      </c>
      <c r="V717" s="121">
        <v>84</v>
      </c>
      <c r="W717" s="121">
        <v>680</v>
      </c>
      <c r="X717" s="114" t="s">
        <v>113</v>
      </c>
      <c r="Y717" s="115" t="s">
        <v>85</v>
      </c>
      <c r="Z717" s="115" t="s">
        <v>2670</v>
      </c>
      <c r="AA717" s="113" t="s">
        <v>87</v>
      </c>
      <c r="AB717" s="122">
        <v>2331</v>
      </c>
      <c r="AC717" s="122">
        <v>5500</v>
      </c>
      <c r="AD717" s="129">
        <f>AC717-AB717</f>
        <v>3169</v>
      </c>
      <c r="AE717" s="122">
        <v>73259.08</v>
      </c>
      <c r="AF717" s="130">
        <f>AB717/U717</f>
        <v>2331</v>
      </c>
      <c r="AG717" s="130">
        <f>AB717/V717</f>
        <v>27.75</v>
      </c>
      <c r="AH717" s="123">
        <f>AB717/S717</f>
        <v>3.0233463035019454</v>
      </c>
      <c r="AI717" s="124" t="s">
        <v>97</v>
      </c>
      <c r="AJ717" s="125" t="s">
        <v>2671</v>
      </c>
      <c r="AK717"/>
      <c r="AM717" s="80"/>
    </row>
    <row r="718" spans="1:39" ht="28.5" customHeight="1">
      <c r="A718" s="113" t="s">
        <v>73</v>
      </c>
      <c r="B718" s="114" t="s">
        <v>140</v>
      </c>
      <c r="C718" s="113" t="s">
        <v>2210</v>
      </c>
      <c r="D718" s="113" t="s">
        <v>90</v>
      </c>
      <c r="E718" s="188" t="s">
        <v>141</v>
      </c>
      <c r="F718" s="113" t="s">
        <v>142</v>
      </c>
      <c r="G718" s="116">
        <v>23727272</v>
      </c>
      <c r="H718" s="79">
        <v>46239</v>
      </c>
      <c r="I718" s="114" t="s">
        <v>81</v>
      </c>
      <c r="J718" s="117" t="s">
        <v>2672</v>
      </c>
      <c r="K718" s="118">
        <v>46232</v>
      </c>
      <c r="L718" s="114" t="s">
        <v>79</v>
      </c>
      <c r="M718" s="119">
        <v>46233</v>
      </c>
      <c r="N718" s="128">
        <v>46234</v>
      </c>
      <c r="O718" s="120">
        <f>NETWORKDAYS.INTL(K718,N718,1,$AM$2:$AM$10)-1</f>
        <v>2</v>
      </c>
      <c r="P718" s="114" t="s">
        <v>81</v>
      </c>
      <c r="Q718" s="114" t="s">
        <v>79</v>
      </c>
      <c r="R718" s="115" t="s">
        <v>2673</v>
      </c>
      <c r="S718" s="145">
        <v>589</v>
      </c>
      <c r="T718" s="148" t="s">
        <v>2219</v>
      </c>
      <c r="U718" s="147">
        <v>1</v>
      </c>
      <c r="V718" s="121">
        <v>84</v>
      </c>
      <c r="W718" s="121">
        <v>680</v>
      </c>
      <c r="X718" s="114" t="s">
        <v>113</v>
      </c>
      <c r="Y718" s="115" t="s">
        <v>85</v>
      </c>
      <c r="Z718" s="115" t="s">
        <v>2674</v>
      </c>
      <c r="AA718" s="113" t="s">
        <v>87</v>
      </c>
      <c r="AB718" s="122">
        <v>2268</v>
      </c>
      <c r="AC718" s="122">
        <v>4200</v>
      </c>
      <c r="AD718" s="129">
        <f>AC718-AB718</f>
        <v>1932</v>
      </c>
      <c r="AE718" s="122">
        <v>73259.08</v>
      </c>
      <c r="AF718" s="130">
        <f>AB718/U718</f>
        <v>2268</v>
      </c>
      <c r="AG718" s="130">
        <f>AB718/V718</f>
        <v>27</v>
      </c>
      <c r="AH718" s="123">
        <f>AB718/S718</f>
        <v>3.8505942275042444</v>
      </c>
      <c r="AI718" s="124" t="s">
        <v>97</v>
      </c>
      <c r="AJ718" s="125" t="s">
        <v>2221</v>
      </c>
      <c r="AK718"/>
      <c r="AM718" s="80"/>
    </row>
    <row r="719" spans="1:39" ht="28.5" customHeight="1">
      <c r="A719" s="113" t="s">
        <v>73</v>
      </c>
      <c r="B719" s="114" t="s">
        <v>140</v>
      </c>
      <c r="C719" s="113" t="s">
        <v>2210</v>
      </c>
      <c r="D719" s="113" t="s">
        <v>90</v>
      </c>
      <c r="E719" s="188" t="s">
        <v>141</v>
      </c>
      <c r="F719" s="113" t="s">
        <v>142</v>
      </c>
      <c r="G719" s="116">
        <v>23705213</v>
      </c>
      <c r="H719" s="79">
        <v>46239</v>
      </c>
      <c r="I719" s="114" t="s">
        <v>81</v>
      </c>
      <c r="J719" s="117" t="s">
        <v>2675</v>
      </c>
      <c r="K719" s="118">
        <v>46232</v>
      </c>
      <c r="L719" s="114" t="s">
        <v>81</v>
      </c>
      <c r="M719" s="119">
        <v>46233</v>
      </c>
      <c r="N719" s="128">
        <v>46233</v>
      </c>
      <c r="O719" s="120">
        <f>NETWORKDAYS.INTL(K719,N719,1,$AM$2:$AM$10)-1</f>
        <v>1</v>
      </c>
      <c r="P719" s="114" t="s">
        <v>81</v>
      </c>
      <c r="Q719" s="114" t="s">
        <v>79</v>
      </c>
      <c r="R719" s="115" t="s">
        <v>2676</v>
      </c>
      <c r="S719" s="145">
        <v>275</v>
      </c>
      <c r="T719" s="148" t="s">
        <v>2677</v>
      </c>
      <c r="U719" s="147">
        <v>1</v>
      </c>
      <c r="V719" s="121">
        <v>84</v>
      </c>
      <c r="W719" s="121">
        <v>680</v>
      </c>
      <c r="X719" s="114" t="s">
        <v>113</v>
      </c>
      <c r="Y719" s="115" t="s">
        <v>85</v>
      </c>
      <c r="Z719" s="115" t="s">
        <v>2299</v>
      </c>
      <c r="AA719" s="113" t="s">
        <v>87</v>
      </c>
      <c r="AB719" s="122">
        <v>1781</v>
      </c>
      <c r="AC719" s="122">
        <v>3800</v>
      </c>
      <c r="AD719" s="129">
        <f>AC719-AB719</f>
        <v>2019</v>
      </c>
      <c r="AE719" s="122">
        <v>73259.08</v>
      </c>
      <c r="AF719" s="130">
        <f>AB719/U719</f>
        <v>1781</v>
      </c>
      <c r="AG719" s="130">
        <f>AB719/V719</f>
        <v>21.202380952380953</v>
      </c>
      <c r="AH719" s="123">
        <f>AB719/S719</f>
        <v>6.4763636363636365</v>
      </c>
      <c r="AI719" s="124" t="s">
        <v>97</v>
      </c>
      <c r="AJ719" s="125" t="s">
        <v>2678</v>
      </c>
      <c r="AK719"/>
      <c r="AM719" s="80"/>
    </row>
    <row r="720" spans="1:39" ht="28.5" customHeight="1">
      <c r="A720" s="113" t="s">
        <v>73</v>
      </c>
      <c r="B720" s="114" t="s">
        <v>140</v>
      </c>
      <c r="C720" s="113" t="s">
        <v>2210</v>
      </c>
      <c r="D720" s="113" t="s">
        <v>90</v>
      </c>
      <c r="E720" s="188" t="s">
        <v>2010</v>
      </c>
      <c r="F720" s="113" t="s">
        <v>75</v>
      </c>
      <c r="G720" s="116">
        <v>23719928</v>
      </c>
      <c r="H720" s="79">
        <v>46239</v>
      </c>
      <c r="I720" s="114" t="s">
        <v>81</v>
      </c>
      <c r="J720" s="117" t="s">
        <v>2679</v>
      </c>
      <c r="K720" s="118">
        <v>46232</v>
      </c>
      <c r="L720" s="114" t="s">
        <v>81</v>
      </c>
      <c r="M720" s="119">
        <v>46233</v>
      </c>
      <c r="N720" s="128">
        <v>46234</v>
      </c>
      <c r="O720" s="120">
        <f>NETWORKDAYS.INTL(K720,N720,1,$AM$2:$AM$10)-1</f>
        <v>2</v>
      </c>
      <c r="P720" s="114" t="s">
        <v>81</v>
      </c>
      <c r="Q720" s="114" t="s">
        <v>79</v>
      </c>
      <c r="R720" s="115"/>
      <c r="S720" s="145">
        <v>2791</v>
      </c>
      <c r="T720" s="148" t="s">
        <v>2669</v>
      </c>
      <c r="U720" s="147">
        <v>2</v>
      </c>
      <c r="V720" s="121">
        <v>194</v>
      </c>
      <c r="W720" s="121">
        <v>1651</v>
      </c>
      <c r="X720" s="114" t="s">
        <v>2213</v>
      </c>
      <c r="Y720" s="115" t="s">
        <v>85</v>
      </c>
      <c r="Z720" s="115" t="s">
        <v>2214</v>
      </c>
      <c r="AA720" s="113" t="s">
        <v>2215</v>
      </c>
      <c r="AB720" s="122">
        <v>8750</v>
      </c>
      <c r="AC720" s="122">
        <v>14500</v>
      </c>
      <c r="AD720" s="129">
        <f>AC720-AB720</f>
        <v>5750</v>
      </c>
      <c r="AE720" s="122">
        <v>75648.36</v>
      </c>
      <c r="AF720" s="130">
        <f>AB720/U720</f>
        <v>4375</v>
      </c>
      <c r="AG720" s="130">
        <f>AB720/V720</f>
        <v>45.103092783505154</v>
      </c>
      <c r="AH720" s="123">
        <f>AB720/S720</f>
        <v>3.13507703332139</v>
      </c>
      <c r="AI720" s="124" t="s">
        <v>97</v>
      </c>
      <c r="AJ720" s="125" t="s">
        <v>2671</v>
      </c>
      <c r="AK720"/>
      <c r="AM720" s="80"/>
    </row>
    <row r="721" spans="1:39" ht="28.5" customHeight="1">
      <c r="A721" s="113" t="s">
        <v>73</v>
      </c>
      <c r="B721" s="114" t="s">
        <v>140</v>
      </c>
      <c r="C721" s="113" t="s">
        <v>2210</v>
      </c>
      <c r="D721" s="113" t="s">
        <v>90</v>
      </c>
      <c r="E721" s="188" t="s">
        <v>1066</v>
      </c>
      <c r="F721" s="113" t="s">
        <v>370</v>
      </c>
      <c r="G721" s="116">
        <v>23719191</v>
      </c>
      <c r="H721" s="79">
        <v>46239</v>
      </c>
      <c r="I721" s="114" t="s">
        <v>81</v>
      </c>
      <c r="J721" s="117" t="s">
        <v>2680</v>
      </c>
      <c r="K721" s="118">
        <v>46232</v>
      </c>
      <c r="L721" s="114" t="s">
        <v>81</v>
      </c>
      <c r="M721" s="119">
        <v>46233</v>
      </c>
      <c r="N721" s="128">
        <v>46234</v>
      </c>
      <c r="O721" s="120">
        <f>NETWORKDAYS.INTL(K721,N721,1,$AM$2:$AM$10)-1</f>
        <v>2</v>
      </c>
      <c r="P721" s="114" t="s">
        <v>81</v>
      </c>
      <c r="Q721" s="114" t="s">
        <v>79</v>
      </c>
      <c r="R721" s="115"/>
      <c r="S721" s="145">
        <v>2527</v>
      </c>
      <c r="T721" s="148" t="s">
        <v>2677</v>
      </c>
      <c r="U721" s="147">
        <v>1</v>
      </c>
      <c r="V721" s="121">
        <v>194</v>
      </c>
      <c r="W721" s="121">
        <v>1539</v>
      </c>
      <c r="X721" s="114" t="s">
        <v>2213</v>
      </c>
      <c r="Y721" s="115" t="s">
        <v>85</v>
      </c>
      <c r="Z721" s="115" t="s">
        <v>2214</v>
      </c>
      <c r="AA721" s="113" t="s">
        <v>2215</v>
      </c>
      <c r="AB721" s="122">
        <v>9300</v>
      </c>
      <c r="AC721" s="122">
        <v>13500</v>
      </c>
      <c r="AD721" s="129">
        <f>AC721-AB721</f>
        <v>4200</v>
      </c>
      <c r="AE721" s="122">
        <v>75648.36</v>
      </c>
      <c r="AF721" s="130">
        <f>AB721/U721</f>
        <v>9300</v>
      </c>
      <c r="AG721" s="130">
        <f>AB721/V721</f>
        <v>47.938144329896907</v>
      </c>
      <c r="AH721" s="123">
        <f>AB721/S721</f>
        <v>3.6802532647407995</v>
      </c>
      <c r="AI721" s="124" t="s">
        <v>97</v>
      </c>
      <c r="AJ721" s="125" t="s">
        <v>2678</v>
      </c>
      <c r="AK721"/>
      <c r="AM721" s="80"/>
    </row>
    <row r="722" spans="1:39" ht="28.5" customHeight="1">
      <c r="A722" s="113" t="s">
        <v>73</v>
      </c>
      <c r="B722" s="114" t="s">
        <v>140</v>
      </c>
      <c r="C722" s="113" t="s">
        <v>2210</v>
      </c>
      <c r="D722" s="113" t="s">
        <v>90</v>
      </c>
      <c r="E722" s="188" t="s">
        <v>1259</v>
      </c>
      <c r="F722" s="113" t="s">
        <v>99</v>
      </c>
      <c r="G722" s="116">
        <v>23718373</v>
      </c>
      <c r="H722" s="79">
        <v>46239</v>
      </c>
      <c r="I722" s="114" t="s">
        <v>81</v>
      </c>
      <c r="J722" s="117" t="s">
        <v>2681</v>
      </c>
      <c r="K722" s="118">
        <v>46232</v>
      </c>
      <c r="L722" s="114" t="s">
        <v>81</v>
      </c>
      <c r="M722" s="119">
        <v>46233</v>
      </c>
      <c r="N722" s="128">
        <v>46233</v>
      </c>
      <c r="O722" s="120">
        <f>NETWORKDAYS.INTL(K722,N722,1,$AM$2:$AM$10)-1</f>
        <v>1</v>
      </c>
      <c r="P722" s="114" t="s">
        <v>81</v>
      </c>
      <c r="Q722" s="114" t="s">
        <v>79</v>
      </c>
      <c r="R722" s="115"/>
      <c r="S722" s="145">
        <v>684</v>
      </c>
      <c r="T722" s="148" t="s">
        <v>2682</v>
      </c>
      <c r="U722" s="147">
        <v>2</v>
      </c>
      <c r="V722" s="121">
        <v>256</v>
      </c>
      <c r="W722" s="121">
        <v>2120</v>
      </c>
      <c r="X722" s="114" t="s">
        <v>113</v>
      </c>
      <c r="Y722" s="115" t="s">
        <v>85</v>
      </c>
      <c r="Z722" s="115" t="s">
        <v>2683</v>
      </c>
      <c r="AA722" s="113" t="s">
        <v>87</v>
      </c>
      <c r="AB722" s="122">
        <v>3602</v>
      </c>
      <c r="AC722" s="122">
        <v>5600</v>
      </c>
      <c r="AD722" s="129">
        <f>AC722-AB722</f>
        <v>1998</v>
      </c>
      <c r="AE722" s="122">
        <v>99824.639999999999</v>
      </c>
      <c r="AF722" s="130">
        <f>AB722/U722</f>
        <v>1801</v>
      </c>
      <c r="AG722" s="130">
        <f>AB722/V722</f>
        <v>14.0703125</v>
      </c>
      <c r="AH722" s="123">
        <f>AB722/S722</f>
        <v>5.2660818713450288</v>
      </c>
      <c r="AI722" s="124" t="s">
        <v>97</v>
      </c>
      <c r="AJ722" s="125" t="s">
        <v>2684</v>
      </c>
      <c r="AK722"/>
      <c r="AM722" s="80"/>
    </row>
    <row r="723" spans="1:39" ht="28.5" customHeight="1">
      <c r="A723" s="113" t="s">
        <v>73</v>
      </c>
      <c r="B723" s="114" t="s">
        <v>140</v>
      </c>
      <c r="C723" s="113" t="s">
        <v>2210</v>
      </c>
      <c r="D723" s="113" t="s">
        <v>90</v>
      </c>
      <c r="E723" s="188" t="s">
        <v>1190</v>
      </c>
      <c r="F723" s="113" t="s">
        <v>90</v>
      </c>
      <c r="G723" s="116">
        <v>23718191</v>
      </c>
      <c r="H723" s="79">
        <v>46239</v>
      </c>
      <c r="I723" s="114" t="s">
        <v>81</v>
      </c>
      <c r="J723" s="117" t="s">
        <v>2685</v>
      </c>
      <c r="K723" s="118">
        <v>46232</v>
      </c>
      <c r="L723" s="114" t="s">
        <v>79</v>
      </c>
      <c r="M723" s="119">
        <v>46233</v>
      </c>
      <c r="N723" s="128">
        <v>46233</v>
      </c>
      <c r="O723" s="120">
        <f>NETWORKDAYS.INTL(K723,N723,1,$AM$2:$AM$10)-1</f>
        <v>1</v>
      </c>
      <c r="P723" s="114" t="s">
        <v>81</v>
      </c>
      <c r="Q723" s="114" t="s">
        <v>79</v>
      </c>
      <c r="R723" s="115"/>
      <c r="S723" s="145">
        <v>237</v>
      </c>
      <c r="T723" s="148" t="s">
        <v>2686</v>
      </c>
      <c r="U723" s="147">
        <v>1</v>
      </c>
      <c r="V723" s="121">
        <v>23</v>
      </c>
      <c r="W723" s="121">
        <v>216</v>
      </c>
      <c r="X723" s="114" t="s">
        <v>113</v>
      </c>
      <c r="Y723" s="115" t="s">
        <v>85</v>
      </c>
      <c r="Z723" s="115" t="s">
        <v>2687</v>
      </c>
      <c r="AA723" s="113" t="s">
        <v>87</v>
      </c>
      <c r="AB723" s="122">
        <v>1171</v>
      </c>
      <c r="AC723" s="122">
        <v>3700</v>
      </c>
      <c r="AD723" s="129">
        <f>AC723-AB723</f>
        <v>2529</v>
      </c>
      <c r="AE723" s="122">
        <v>8968.6200000000008</v>
      </c>
      <c r="AF723" s="130">
        <f>AB723/U723</f>
        <v>1171</v>
      </c>
      <c r="AG723" s="130">
        <f>AB723/V723</f>
        <v>50.913043478260867</v>
      </c>
      <c r="AH723" s="123">
        <f>AB723/S723</f>
        <v>4.9409282700421944</v>
      </c>
      <c r="AI723" s="124" t="s">
        <v>97</v>
      </c>
      <c r="AJ723" s="125" t="s">
        <v>2446</v>
      </c>
      <c r="AK723"/>
      <c r="AM723" s="80"/>
    </row>
    <row r="724" spans="1:39" ht="28.5" customHeight="1">
      <c r="A724" s="113" t="s">
        <v>73</v>
      </c>
      <c r="B724" s="114" t="s">
        <v>74</v>
      </c>
      <c r="C724" s="113" t="s">
        <v>36</v>
      </c>
      <c r="D724" s="113" t="s">
        <v>75</v>
      </c>
      <c r="E724" s="115" t="s">
        <v>391</v>
      </c>
      <c r="F724" s="113" t="s">
        <v>365</v>
      </c>
      <c r="G724" s="116"/>
      <c r="H724" s="79">
        <v>46240</v>
      </c>
      <c r="I724" s="114" t="s">
        <v>79</v>
      </c>
      <c r="J724" s="117"/>
      <c r="K724" s="118">
        <v>46233</v>
      </c>
      <c r="L724" s="182"/>
      <c r="M724" s="183"/>
      <c r="N724" s="184" t="s">
        <v>95</v>
      </c>
      <c r="O724" s="185" t="e">
        <f>NETWORKDAYS.INTL(K724,N724,1,$AM$2:$AM$10)-1</f>
        <v>#VALUE!</v>
      </c>
      <c r="P724" s="114" t="s">
        <v>976</v>
      </c>
      <c r="Q724" s="114" t="s">
        <v>81</v>
      </c>
      <c r="R724" s="115" t="s">
        <v>2688</v>
      </c>
      <c r="S724" s="145"/>
      <c r="T724" s="148" t="s">
        <v>2689</v>
      </c>
      <c r="U724" s="147">
        <v>5</v>
      </c>
      <c r="V724" s="121">
        <v>5</v>
      </c>
      <c r="W724" s="121">
        <v>2015</v>
      </c>
      <c r="X724" s="114" t="s">
        <v>84</v>
      </c>
      <c r="Y724" s="115" t="s">
        <v>85</v>
      </c>
      <c r="Z724" s="115"/>
      <c r="AA724" s="113" t="s">
        <v>87</v>
      </c>
      <c r="AB724" s="122">
        <v>0</v>
      </c>
      <c r="AC724" s="122">
        <f>IF(C724="DENALI", AB724*0.495, IF(C724="SCHNEIDER ELECTRIC", AB724*1.136, IF(C724="WWT", AB724*1.2, AC724)))+AB724</f>
        <v>0</v>
      </c>
      <c r="AD724" s="129">
        <f>AC724-AB724</f>
        <v>0</v>
      </c>
      <c r="AE724" s="122">
        <v>0</v>
      </c>
      <c r="AF724" s="130">
        <f>AB724/U724</f>
        <v>0</v>
      </c>
      <c r="AG724" s="130">
        <f>AB724/V724</f>
        <v>0</v>
      </c>
      <c r="AH724" s="123" t="e">
        <f>AB724/S724</f>
        <v>#DIV/0!</v>
      </c>
      <c r="AI724" s="124" t="s">
        <v>97</v>
      </c>
      <c r="AJ724" s="125" t="s">
        <v>98</v>
      </c>
      <c r="AK724"/>
      <c r="AM724" s="80"/>
    </row>
    <row r="725" spans="1:39" ht="28.5" customHeight="1">
      <c r="A725" s="113" t="s">
        <v>73</v>
      </c>
      <c r="B725" s="114" t="s">
        <v>140</v>
      </c>
      <c r="C725" s="113" t="s">
        <v>36</v>
      </c>
      <c r="D725" s="113" t="s">
        <v>75</v>
      </c>
      <c r="E725" s="115" t="s">
        <v>141</v>
      </c>
      <c r="F725" s="113" t="s">
        <v>142</v>
      </c>
      <c r="G725" s="116" t="s">
        <v>2690</v>
      </c>
      <c r="H725" s="79">
        <v>46241</v>
      </c>
      <c r="I725" s="114" t="s">
        <v>79</v>
      </c>
      <c r="J725" s="117" t="s">
        <v>2691</v>
      </c>
      <c r="K725" s="118">
        <v>46234</v>
      </c>
      <c r="L725" s="114" t="s">
        <v>79</v>
      </c>
      <c r="M725" s="119">
        <v>46238</v>
      </c>
      <c r="N725" s="128">
        <v>46240</v>
      </c>
      <c r="O725" s="120">
        <f>NETWORKDAYS.INTL(K725,N725,1,$AM$2:$AM$10)-1</f>
        <v>4</v>
      </c>
      <c r="P725" s="114" t="s">
        <v>81</v>
      </c>
      <c r="Q725" s="114" t="s">
        <v>79</v>
      </c>
      <c r="R725" s="115"/>
      <c r="S725" s="145">
        <v>728</v>
      </c>
      <c r="T725" s="148" t="s">
        <v>2692</v>
      </c>
      <c r="U725" s="147">
        <v>1</v>
      </c>
      <c r="V725" s="121">
        <v>6</v>
      </c>
      <c r="W725" s="121">
        <v>563</v>
      </c>
      <c r="X725" s="114" t="s">
        <v>84</v>
      </c>
      <c r="Y725" s="115" t="s">
        <v>85</v>
      </c>
      <c r="Z725" s="115" t="s">
        <v>86</v>
      </c>
      <c r="AA725" s="113" t="s">
        <v>87</v>
      </c>
      <c r="AB725" s="122">
        <v>258.44</v>
      </c>
      <c r="AC725" s="122">
        <f>IF(C725="DENALI", AB725*0.495, IF(C725="SCHNEIDER ELECTRIC", AB725*1.136, IF(C725="WWT", AB725*1.2, AC725)))+AB725</f>
        <v>552.02783999999997</v>
      </c>
      <c r="AD725" s="129">
        <f>AC725-AB725</f>
        <v>293.58783999999997</v>
      </c>
      <c r="AE725" s="122">
        <v>25007.25</v>
      </c>
      <c r="AF725" s="130">
        <f>AB725/U725</f>
        <v>258.44</v>
      </c>
      <c r="AG725" s="130">
        <f>AB725/V725</f>
        <v>43.073333333333331</v>
      </c>
      <c r="AH725" s="123">
        <f>AB725/S725</f>
        <v>0.35499999999999998</v>
      </c>
      <c r="AI725" s="124" t="s">
        <v>106</v>
      </c>
      <c r="AJ725" s="125" t="s">
        <v>98</v>
      </c>
      <c r="AK725"/>
      <c r="AM725" s="80"/>
    </row>
    <row r="726" spans="1:39" ht="28.5" customHeight="1">
      <c r="A726" s="113" t="s">
        <v>73</v>
      </c>
      <c r="B726" s="114" t="s">
        <v>74</v>
      </c>
      <c r="C726" s="113" t="s">
        <v>36</v>
      </c>
      <c r="D726" s="113" t="s">
        <v>75</v>
      </c>
      <c r="E726" s="115" t="s">
        <v>2693</v>
      </c>
      <c r="F726" s="113" t="s">
        <v>77</v>
      </c>
      <c r="G726" s="116" t="s">
        <v>2694</v>
      </c>
      <c r="H726" s="79">
        <v>46241</v>
      </c>
      <c r="I726" s="114" t="s">
        <v>79</v>
      </c>
      <c r="J726" s="117" t="s">
        <v>2695</v>
      </c>
      <c r="K726" s="118">
        <v>46234</v>
      </c>
      <c r="L726" s="114" t="s">
        <v>81</v>
      </c>
      <c r="M726" s="119">
        <v>46237</v>
      </c>
      <c r="N726" s="128">
        <v>46237</v>
      </c>
      <c r="O726" s="120">
        <f>NETWORKDAYS.INTL(K726,N726,1,$AM$2:$AM$10)-1</f>
        <v>1</v>
      </c>
      <c r="P726" s="114" t="s">
        <v>81</v>
      </c>
      <c r="Q726" s="114" t="s">
        <v>79</v>
      </c>
      <c r="R726" s="115"/>
      <c r="S726" s="145">
        <v>116</v>
      </c>
      <c r="T726" s="148" t="s">
        <v>2696</v>
      </c>
      <c r="U726" s="147">
        <v>1</v>
      </c>
      <c r="V726" s="121">
        <v>5</v>
      </c>
      <c r="W726" s="121">
        <v>425</v>
      </c>
      <c r="X726" s="114" t="s">
        <v>84</v>
      </c>
      <c r="Y726" s="115" t="s">
        <v>85</v>
      </c>
      <c r="Z726" s="115" t="s">
        <v>2312</v>
      </c>
      <c r="AA726" s="113" t="s">
        <v>87</v>
      </c>
      <c r="AB726" s="122">
        <v>173.15</v>
      </c>
      <c r="AC726" s="122">
        <f>IF(C726="DENALI", AB726*0.495, IF(C726="SCHNEIDER ELECTRIC", AB726*1.136, IF(C726="WWT", AB726*1.2, AC726)))+AB726</f>
        <v>369.84839999999997</v>
      </c>
      <c r="AD726" s="129">
        <f>AC726-AB726</f>
        <v>196.69839999999996</v>
      </c>
      <c r="AE726" s="122">
        <v>2483</v>
      </c>
      <c r="AF726" s="130">
        <f>AB726/U726</f>
        <v>173.15</v>
      </c>
      <c r="AG726" s="130">
        <f>AB726/V726</f>
        <v>34.630000000000003</v>
      </c>
      <c r="AH726" s="123">
        <f>AB726/S726</f>
        <v>1.4926724137931036</v>
      </c>
      <c r="AI726" s="124" t="s">
        <v>147</v>
      </c>
      <c r="AJ726" s="125" t="s">
        <v>98</v>
      </c>
      <c r="AK726"/>
      <c r="AM726" s="80"/>
    </row>
    <row r="727" spans="1:39" ht="28.5" customHeight="1">
      <c r="A727" s="113" t="s">
        <v>73</v>
      </c>
      <c r="B727" s="114" t="s">
        <v>74</v>
      </c>
      <c r="C727" s="113" t="s">
        <v>35</v>
      </c>
      <c r="D727" s="113" t="s">
        <v>218</v>
      </c>
      <c r="E727" s="115" t="s">
        <v>2038</v>
      </c>
      <c r="F727" s="113" t="s">
        <v>75</v>
      </c>
      <c r="G727" s="116" t="s">
        <v>2697</v>
      </c>
      <c r="H727" s="79">
        <v>46244</v>
      </c>
      <c r="I727" s="114" t="s">
        <v>79</v>
      </c>
      <c r="J727" s="117" t="s">
        <v>2698</v>
      </c>
      <c r="K727" s="118">
        <v>46234</v>
      </c>
      <c r="L727" s="114" t="s">
        <v>81</v>
      </c>
      <c r="M727" s="119">
        <v>46240</v>
      </c>
      <c r="N727" s="128">
        <v>46240</v>
      </c>
      <c r="O727" s="120">
        <f>NETWORKDAYS.INTL(K727,N727,1,$AM$2:$AM$10)-1</f>
        <v>4</v>
      </c>
      <c r="P727" s="114" t="s">
        <v>81</v>
      </c>
      <c r="Q727" s="114" t="s">
        <v>79</v>
      </c>
      <c r="R727" s="115"/>
      <c r="S727" s="145">
        <v>2261</v>
      </c>
      <c r="T727" s="148" t="s">
        <v>2699</v>
      </c>
      <c r="U727" s="147">
        <v>2</v>
      </c>
      <c r="V727" s="121">
        <v>113</v>
      </c>
      <c r="W727" s="121">
        <v>1120</v>
      </c>
      <c r="X727" s="114" t="s">
        <v>84</v>
      </c>
      <c r="Y727" s="115" t="s">
        <v>85</v>
      </c>
      <c r="Z727" s="115" t="s">
        <v>86</v>
      </c>
      <c r="AA727" s="113" t="s">
        <v>87</v>
      </c>
      <c r="AB727" s="122">
        <v>603.12</v>
      </c>
      <c r="AC727" s="122">
        <f>IF(C727="DENALI", AB727*0.495, IF(C727="SCHNEIDER ELECTRIC", AB727*1.136, IF(C727="WWT", AB727*1.2, AC727)))+AB727</f>
        <v>901.6644</v>
      </c>
      <c r="AD727" s="129">
        <f>AC727-AB727</f>
        <v>298.5444</v>
      </c>
      <c r="AE727" s="122">
        <v>40152.29</v>
      </c>
      <c r="AF727" s="130">
        <f>AB727/U727</f>
        <v>301.56</v>
      </c>
      <c r="AG727" s="130">
        <f>AB727/V727</f>
        <v>5.337345132743363</v>
      </c>
      <c r="AH727" s="123">
        <f>AB727/S727</f>
        <v>0.26674922600619194</v>
      </c>
      <c r="AI727" s="124" t="s">
        <v>1044</v>
      </c>
      <c r="AJ727" s="125" t="s">
        <v>349</v>
      </c>
      <c r="AK727"/>
      <c r="AM727" s="80"/>
    </row>
    <row r="728" spans="1:39" ht="28.5" customHeight="1">
      <c r="A728" s="113" t="s">
        <v>73</v>
      </c>
      <c r="B728" s="114" t="s">
        <v>74</v>
      </c>
      <c r="C728" s="113" t="s">
        <v>35</v>
      </c>
      <c r="D728" s="113" t="s">
        <v>218</v>
      </c>
      <c r="E728" s="115" t="s">
        <v>1748</v>
      </c>
      <c r="F728" s="113" t="s">
        <v>75</v>
      </c>
      <c r="G728" s="116" t="s">
        <v>2700</v>
      </c>
      <c r="H728" s="79">
        <v>46244</v>
      </c>
      <c r="I728" s="114" t="s">
        <v>79</v>
      </c>
      <c r="J728" s="117" t="s">
        <v>2701</v>
      </c>
      <c r="K728" s="118">
        <v>46234</v>
      </c>
      <c r="L728" s="114" t="s">
        <v>81</v>
      </c>
      <c r="M728" s="119">
        <v>46237</v>
      </c>
      <c r="N728" s="128">
        <v>46237</v>
      </c>
      <c r="O728" s="120">
        <f>NETWORKDAYS.INTL(K728,N728,1,$AM$2:$AM$10)-1</f>
        <v>1</v>
      </c>
      <c r="P728" s="114" t="s">
        <v>81</v>
      </c>
      <c r="Q728" s="114" t="s">
        <v>79</v>
      </c>
      <c r="R728" s="115"/>
      <c r="S728" s="145">
        <v>599</v>
      </c>
      <c r="T728" s="148" t="s">
        <v>2311</v>
      </c>
      <c r="U728" s="147">
        <v>1</v>
      </c>
      <c r="V728" s="121">
        <v>73</v>
      </c>
      <c r="W728" s="121">
        <v>460</v>
      </c>
      <c r="X728" s="114" t="s">
        <v>84</v>
      </c>
      <c r="Y728" s="115" t="s">
        <v>85</v>
      </c>
      <c r="Z728" s="115" t="s">
        <v>2312</v>
      </c>
      <c r="AA728" s="113" t="s">
        <v>87</v>
      </c>
      <c r="AB728" s="122">
        <v>180.28</v>
      </c>
      <c r="AC728" s="122">
        <f>IF(C728="DENALI", AB728*0.495, IF(C728="SCHNEIDER ELECTRIC", AB728*1.136, IF(C728="WWT", AB728*1.2, AC728)))+AB728</f>
        <v>269.51859999999999</v>
      </c>
      <c r="AD728" s="129">
        <f>AC728-AB728</f>
        <v>89.238599999999991</v>
      </c>
      <c r="AE728" s="122">
        <v>36361.32</v>
      </c>
      <c r="AF728" s="130">
        <f>AB728/U728</f>
        <v>180.28</v>
      </c>
      <c r="AG728" s="130">
        <f>AB728/V728</f>
        <v>2.4695890410958903</v>
      </c>
      <c r="AH728" s="123">
        <f>AB728/S728</f>
        <v>0.30096828046744573</v>
      </c>
      <c r="AI728" s="124" t="s">
        <v>147</v>
      </c>
      <c r="AJ728" s="125" t="s">
        <v>343</v>
      </c>
      <c r="AK728"/>
      <c r="AM728" s="80"/>
    </row>
    <row r="729" spans="1:39" ht="45.75">
      <c r="A729" s="113" t="s">
        <v>73</v>
      </c>
      <c r="B729" s="114" t="s">
        <v>74</v>
      </c>
      <c r="C729" s="113" t="s">
        <v>35</v>
      </c>
      <c r="D729" s="113" t="s">
        <v>218</v>
      </c>
      <c r="E729" s="115" t="s">
        <v>566</v>
      </c>
      <c r="F729" s="113" t="s">
        <v>131</v>
      </c>
      <c r="G729" s="116" t="s">
        <v>2702</v>
      </c>
      <c r="H729" s="79">
        <v>46244</v>
      </c>
      <c r="I729" s="114" t="s">
        <v>79</v>
      </c>
      <c r="J729" s="117" t="s">
        <v>2703</v>
      </c>
      <c r="K729" s="118">
        <v>46237</v>
      </c>
      <c r="L729" s="114" t="s">
        <v>81</v>
      </c>
      <c r="M729" s="119">
        <v>46239</v>
      </c>
      <c r="N729" s="128">
        <v>46239</v>
      </c>
      <c r="O729" s="120">
        <f>NETWORKDAYS.INTL(K729,N729,1,$AM$2:$AM$10)-1</f>
        <v>2</v>
      </c>
      <c r="P729" s="114" t="s">
        <v>81</v>
      </c>
      <c r="Q729" s="114" t="s">
        <v>79</v>
      </c>
      <c r="R729" s="115"/>
      <c r="S729" s="145">
        <v>821</v>
      </c>
      <c r="T729" s="148" t="s">
        <v>2704</v>
      </c>
      <c r="U729" s="147">
        <v>1</v>
      </c>
      <c r="V729" s="121">
        <v>87</v>
      </c>
      <c r="W729" s="121">
        <v>545</v>
      </c>
      <c r="X729" s="114" t="s">
        <v>84</v>
      </c>
      <c r="Y729" s="115" t="s">
        <v>85</v>
      </c>
      <c r="Z729" s="115" t="s">
        <v>86</v>
      </c>
      <c r="AA729" s="113" t="s">
        <v>87</v>
      </c>
      <c r="AB729" s="122">
        <v>305.24</v>
      </c>
      <c r="AC729" s="122">
        <f>IF(C729="DENALI", AB729*0.495, IF(C729="SCHNEIDER ELECTRIC", AB729*1.136, IF(C729="WWT", AB729*1.2, AC729)))+AB729</f>
        <v>456.3338</v>
      </c>
      <c r="AD729" s="129">
        <f>AC729-AB729</f>
        <v>151.09379999999999</v>
      </c>
      <c r="AE729" s="122">
        <v>148160.62</v>
      </c>
      <c r="AF729" s="130">
        <f>AB729/U729</f>
        <v>305.24</v>
      </c>
      <c r="AG729" s="130">
        <f>AB729/V729</f>
        <v>3.5085057471264367</v>
      </c>
      <c r="AH729" s="123">
        <f>AB729/S729</f>
        <v>0.37179049939098663</v>
      </c>
      <c r="AI729" s="124" t="s">
        <v>2056</v>
      </c>
      <c r="AJ729" s="125" t="s">
        <v>2057</v>
      </c>
      <c r="AK729"/>
      <c r="AM729" s="80"/>
    </row>
    <row r="730" spans="1:39" ht="28.5" customHeight="1">
      <c r="A730" s="113" t="s">
        <v>73</v>
      </c>
      <c r="B730" s="114" t="s">
        <v>74</v>
      </c>
      <c r="C730" s="113" t="s">
        <v>35</v>
      </c>
      <c r="D730" s="113" t="s">
        <v>218</v>
      </c>
      <c r="E730" s="115" t="s">
        <v>1154</v>
      </c>
      <c r="F730" s="113" t="s">
        <v>90</v>
      </c>
      <c r="G730" s="116" t="s">
        <v>2705</v>
      </c>
      <c r="H730" s="79">
        <v>46240</v>
      </c>
      <c r="I730" s="114" t="s">
        <v>79</v>
      </c>
      <c r="J730" s="117" t="s">
        <v>2706</v>
      </c>
      <c r="K730" s="118">
        <v>46234</v>
      </c>
      <c r="L730" s="114" t="s">
        <v>81</v>
      </c>
      <c r="M730" s="119">
        <v>46240</v>
      </c>
      <c r="N730" s="128">
        <v>46238</v>
      </c>
      <c r="O730" s="120">
        <f>NETWORKDAYS.INTL(K730,N730,1,$AM$2:$AM$10)-1</f>
        <v>2</v>
      </c>
      <c r="P730" s="114" t="s">
        <v>81</v>
      </c>
      <c r="Q730" s="114" t="s">
        <v>79</v>
      </c>
      <c r="R730" s="115"/>
      <c r="S730" s="145">
        <v>2288</v>
      </c>
      <c r="T730" s="148" t="s">
        <v>1156</v>
      </c>
      <c r="U730" s="147">
        <v>1</v>
      </c>
      <c r="V730" s="121">
        <v>42</v>
      </c>
      <c r="W730" s="121">
        <v>645</v>
      </c>
      <c r="X730" s="114" t="s">
        <v>84</v>
      </c>
      <c r="Y730" s="115" t="s">
        <v>85</v>
      </c>
      <c r="Z730" s="115" t="s">
        <v>86</v>
      </c>
      <c r="AA730" s="113" t="s">
        <v>87</v>
      </c>
      <c r="AB730" s="122">
        <v>372.53</v>
      </c>
      <c r="AC730" s="122">
        <f>IF(C730="DENALI", AB730*0.495, IF(C730="SCHNEIDER ELECTRIC", AB730*1.136, IF(C730="WWT", AB730*1.2, AC730)))+AB730</f>
        <v>556.93234999999993</v>
      </c>
      <c r="AD730" s="129">
        <f>AC730-AB730</f>
        <v>184.40234999999996</v>
      </c>
      <c r="AE730" s="122">
        <v>51623.46</v>
      </c>
      <c r="AF730" s="130">
        <f>AB730/U730</f>
        <v>372.53</v>
      </c>
      <c r="AG730" s="130">
        <f>AB730/V730</f>
        <v>8.869761904761905</v>
      </c>
      <c r="AH730" s="123">
        <f>AB730/S730</f>
        <v>0.16281905594405593</v>
      </c>
      <c r="AI730" s="124" t="s">
        <v>147</v>
      </c>
      <c r="AJ730" s="125" t="s">
        <v>343</v>
      </c>
      <c r="AK730"/>
      <c r="AM730" s="80"/>
    </row>
    <row r="731" spans="1:39" ht="28.5" customHeight="1">
      <c r="A731" s="113" t="s">
        <v>73</v>
      </c>
      <c r="B731" s="114" t="s">
        <v>74</v>
      </c>
      <c r="C731" s="113" t="s">
        <v>35</v>
      </c>
      <c r="D731" s="113" t="s">
        <v>218</v>
      </c>
      <c r="E731" s="115" t="s">
        <v>100</v>
      </c>
      <c r="F731" s="113" t="s">
        <v>99</v>
      </c>
      <c r="G731" s="116" t="s">
        <v>2707</v>
      </c>
      <c r="H731" s="79">
        <v>46240</v>
      </c>
      <c r="I731" s="114" t="s">
        <v>79</v>
      </c>
      <c r="J731" s="117" t="s">
        <v>2708</v>
      </c>
      <c r="K731" s="118">
        <v>46234</v>
      </c>
      <c r="L731" s="114" t="s">
        <v>81</v>
      </c>
      <c r="M731" s="119">
        <v>46240</v>
      </c>
      <c r="N731" s="128">
        <v>46239</v>
      </c>
      <c r="O731" s="120">
        <f>NETWORKDAYS.INTL(K731,N731,1,$AM$2:$AM$10)-1</f>
        <v>3</v>
      </c>
      <c r="P731" s="114" t="s">
        <v>81</v>
      </c>
      <c r="Q731" s="114" t="s">
        <v>79</v>
      </c>
      <c r="R731" s="115"/>
      <c r="S731" s="145">
        <v>2233</v>
      </c>
      <c r="T731" s="148" t="s">
        <v>2709</v>
      </c>
      <c r="U731" s="147">
        <v>1</v>
      </c>
      <c r="V731" s="121">
        <v>300</v>
      </c>
      <c r="W731" s="121">
        <v>305</v>
      </c>
      <c r="X731" s="114" t="s">
        <v>84</v>
      </c>
      <c r="Y731" s="115" t="s">
        <v>85</v>
      </c>
      <c r="Z731" s="115" t="s">
        <v>86</v>
      </c>
      <c r="AA731" s="113" t="s">
        <v>87</v>
      </c>
      <c r="AB731" s="122">
        <v>305.52</v>
      </c>
      <c r="AC731" s="122">
        <f>IF(C731="DENALI", AB731*0.495, IF(C731="SCHNEIDER ELECTRIC", AB731*1.136, IF(C731="WWT", AB731*1.2, AC731)))+AB731</f>
        <v>456.75239999999997</v>
      </c>
      <c r="AD731" s="129">
        <f>AC731-AB731</f>
        <v>151.23239999999998</v>
      </c>
      <c r="AE731" s="122">
        <v>25098.9</v>
      </c>
      <c r="AF731" s="130">
        <f>AB731/U731</f>
        <v>305.52</v>
      </c>
      <c r="AG731" s="130">
        <f>AB731/V731</f>
        <v>1.0184</v>
      </c>
      <c r="AH731" s="123">
        <f>AB731/S731</f>
        <v>0.13682042095835198</v>
      </c>
      <c r="AI731" s="124" t="s">
        <v>106</v>
      </c>
      <c r="AJ731" s="125" t="s">
        <v>107</v>
      </c>
      <c r="AK731"/>
      <c r="AM731" s="80"/>
    </row>
    <row r="732" spans="1:39" ht="28.5" customHeight="1">
      <c r="A732" s="113" t="s">
        <v>73</v>
      </c>
      <c r="B732" s="114" t="s">
        <v>74</v>
      </c>
      <c r="C732" s="113" t="s">
        <v>35</v>
      </c>
      <c r="D732" s="113" t="s">
        <v>218</v>
      </c>
      <c r="E732" s="115" t="s">
        <v>2710</v>
      </c>
      <c r="F732" s="113" t="s">
        <v>254</v>
      </c>
      <c r="G732" s="116" t="s">
        <v>2711</v>
      </c>
      <c r="H732" s="79">
        <v>46245</v>
      </c>
      <c r="I732" s="114" t="s">
        <v>79</v>
      </c>
      <c r="J732" s="117" t="s">
        <v>2712</v>
      </c>
      <c r="K732" s="118">
        <v>46237</v>
      </c>
      <c r="L732" s="114" t="s">
        <v>81</v>
      </c>
      <c r="M732" s="119">
        <v>46239</v>
      </c>
      <c r="N732" s="128">
        <v>46239</v>
      </c>
      <c r="O732" s="120">
        <f>NETWORKDAYS.INTL(K732,N732,1,$AM$2:$AM$10)-1</f>
        <v>2</v>
      </c>
      <c r="P732" s="114" t="s">
        <v>81</v>
      </c>
      <c r="Q732" s="114" t="s">
        <v>79</v>
      </c>
      <c r="R732" s="115"/>
      <c r="S732" s="145">
        <v>627</v>
      </c>
      <c r="T732" s="148" t="s">
        <v>2713</v>
      </c>
      <c r="U732" s="147">
        <v>1</v>
      </c>
      <c r="V732" s="121">
        <v>500</v>
      </c>
      <c r="W732" s="121">
        <v>3095</v>
      </c>
      <c r="X732" s="114" t="s">
        <v>84</v>
      </c>
      <c r="Y732" s="115" t="s">
        <v>85</v>
      </c>
      <c r="Z732" s="115" t="s">
        <v>86</v>
      </c>
      <c r="AA732" s="113" t="s">
        <v>87</v>
      </c>
      <c r="AB732" s="122">
        <v>1497.18</v>
      </c>
      <c r="AC732" s="122">
        <f>IF(C732="DENALI", AB732*0.495, IF(C732="SCHNEIDER ELECTRIC", AB732*1.136, IF(C732="WWT", AB732*1.2, AC732)))+AB732</f>
        <v>2238.2840999999999</v>
      </c>
      <c r="AD732" s="129">
        <f>AC732-AB732</f>
        <v>741.10409999999979</v>
      </c>
      <c r="AE732" s="122">
        <v>21510</v>
      </c>
      <c r="AF732" s="130">
        <f>AB732/U732</f>
        <v>1497.18</v>
      </c>
      <c r="AG732" s="130">
        <f>AB732/V732</f>
        <v>2.9943599999999999</v>
      </c>
      <c r="AH732" s="123">
        <f>AB732/S732</f>
        <v>2.387846889952153</v>
      </c>
      <c r="AI732" s="124" t="s">
        <v>2714</v>
      </c>
      <c r="AJ732" s="125" t="s">
        <v>349</v>
      </c>
      <c r="AK732"/>
      <c r="AM732" s="80"/>
    </row>
    <row r="733" spans="1:39" ht="28.5" customHeight="1">
      <c r="A733" s="113" t="s">
        <v>73</v>
      </c>
      <c r="B733" s="114" t="s">
        <v>74</v>
      </c>
      <c r="C733" s="113" t="s">
        <v>36</v>
      </c>
      <c r="D733" s="113" t="s">
        <v>75</v>
      </c>
      <c r="E733" s="115" t="s">
        <v>2715</v>
      </c>
      <c r="F733" s="113" t="s">
        <v>370</v>
      </c>
      <c r="G733" s="116" t="s">
        <v>2716</v>
      </c>
      <c r="H733" s="79">
        <v>46245</v>
      </c>
      <c r="I733" s="114" t="s">
        <v>79</v>
      </c>
      <c r="J733" s="117" t="s">
        <v>2717</v>
      </c>
      <c r="K733" s="118">
        <v>46238</v>
      </c>
      <c r="L733" s="114" t="s">
        <v>79</v>
      </c>
      <c r="M733" s="119">
        <v>46240</v>
      </c>
      <c r="N733" s="128">
        <v>46246</v>
      </c>
      <c r="O733" s="120">
        <f>NETWORKDAYS.INTL(K733,N733,1,$AM$2:$AM$10)-1</f>
        <v>6</v>
      </c>
      <c r="P733" s="114" t="s">
        <v>81</v>
      </c>
      <c r="Q733" s="114" t="s">
        <v>81</v>
      </c>
      <c r="R733" s="115" t="s">
        <v>2411</v>
      </c>
      <c r="S733" s="145">
        <v>722.1</v>
      </c>
      <c r="T733" s="148" t="s">
        <v>1924</v>
      </c>
      <c r="U733" s="147">
        <v>3</v>
      </c>
      <c r="V733" s="121">
        <v>3</v>
      </c>
      <c r="W733" s="121">
        <v>1722</v>
      </c>
      <c r="X733" s="114" t="s">
        <v>84</v>
      </c>
      <c r="Y733" s="115" t="s">
        <v>85</v>
      </c>
      <c r="Z733" s="115" t="s">
        <v>86</v>
      </c>
      <c r="AA733" s="113" t="s">
        <v>87</v>
      </c>
      <c r="AB733" s="122">
        <v>877.35</v>
      </c>
      <c r="AC733" s="122">
        <f>IF(C733="DENALI", AB733*0.495, IF(C733="SCHNEIDER ELECTRIC", AB733*1.136, IF(C733="WWT", AB733*1.2, AC733)))+AB733</f>
        <v>1874.0196000000001</v>
      </c>
      <c r="AD733" s="129">
        <f>AC733-AB733</f>
        <v>996.66960000000006</v>
      </c>
      <c r="AE733" s="122">
        <v>11817.57</v>
      </c>
      <c r="AF733" s="130">
        <f>AB733/U733</f>
        <v>292.45</v>
      </c>
      <c r="AG733" s="130">
        <f>AB733/V733</f>
        <v>292.45</v>
      </c>
      <c r="AH733" s="123">
        <f>AB733/S733</f>
        <v>1.2149979227253842</v>
      </c>
      <c r="AI733" s="124" t="s">
        <v>97</v>
      </c>
      <c r="AJ733" s="125" t="s">
        <v>98</v>
      </c>
      <c r="AK733"/>
      <c r="AM733" s="80"/>
    </row>
    <row r="734" spans="1:39" ht="28.5" customHeight="1">
      <c r="A734" s="113" t="s">
        <v>73</v>
      </c>
      <c r="B734" s="114" t="s">
        <v>74</v>
      </c>
      <c r="C734" s="113" t="s">
        <v>36</v>
      </c>
      <c r="D734" s="113" t="s">
        <v>75</v>
      </c>
      <c r="E734" s="115" t="s">
        <v>1845</v>
      </c>
      <c r="F734" s="113" t="s">
        <v>109</v>
      </c>
      <c r="G734" s="116" t="s">
        <v>2718</v>
      </c>
      <c r="H734" s="79">
        <v>46245</v>
      </c>
      <c r="I734" s="114" t="s">
        <v>79</v>
      </c>
      <c r="J734" s="117" t="s">
        <v>2719</v>
      </c>
      <c r="K734" s="118">
        <v>46238</v>
      </c>
      <c r="L734" s="114" t="s">
        <v>81</v>
      </c>
      <c r="M734" s="119">
        <v>46240</v>
      </c>
      <c r="N734" s="128">
        <v>46241</v>
      </c>
      <c r="O734" s="120">
        <f>NETWORKDAYS.INTL(K734,N734,1,$AM$2:$AM$10)-1</f>
        <v>3</v>
      </c>
      <c r="P734" s="114" t="s">
        <v>81</v>
      </c>
      <c r="Q734" s="114" t="s">
        <v>79</v>
      </c>
      <c r="R734" s="115"/>
      <c r="S734" s="145">
        <v>1137</v>
      </c>
      <c r="T734" s="148" t="s">
        <v>2530</v>
      </c>
      <c r="U734" s="147">
        <v>1</v>
      </c>
      <c r="V734" s="121">
        <v>9</v>
      </c>
      <c r="W734" s="121">
        <v>766</v>
      </c>
      <c r="X734" s="114" t="s">
        <v>84</v>
      </c>
      <c r="Y734" s="115" t="s">
        <v>85</v>
      </c>
      <c r="Z734" s="115" t="s">
        <v>86</v>
      </c>
      <c r="AA734" s="113" t="s">
        <v>87</v>
      </c>
      <c r="AB734" s="122">
        <v>465.07</v>
      </c>
      <c r="AC734" s="122">
        <f>IF(C734="DENALI", AB734*0.495, IF(C734="SCHNEIDER ELECTRIC", AB734*1.136, IF(C734="WWT", AB734*1.2, AC734)))+AB734</f>
        <v>993.38951999999995</v>
      </c>
      <c r="AD734" s="129">
        <f>AC734-AB734</f>
        <v>528.31952000000001</v>
      </c>
      <c r="AE734" s="122">
        <v>4961.2700000000004</v>
      </c>
      <c r="AF734" s="130">
        <f>AB734/U734</f>
        <v>465.07</v>
      </c>
      <c r="AG734" s="130">
        <f>AB734/V734</f>
        <v>51.674444444444447</v>
      </c>
      <c r="AH734" s="123">
        <f>AB734/S734</f>
        <v>0.40903254177660509</v>
      </c>
      <c r="AI734" s="124" t="s">
        <v>115</v>
      </c>
      <c r="AJ734" s="125" t="s">
        <v>2720</v>
      </c>
      <c r="AK734"/>
      <c r="AM734" s="80"/>
    </row>
    <row r="735" spans="1:39" ht="28.5" customHeight="1">
      <c r="A735" s="113" t="s">
        <v>73</v>
      </c>
      <c r="B735" s="114" t="s">
        <v>74</v>
      </c>
      <c r="C735" s="113" t="s">
        <v>35</v>
      </c>
      <c r="D735" s="113" t="s">
        <v>218</v>
      </c>
      <c r="E735" s="115" t="s">
        <v>1552</v>
      </c>
      <c r="F735" s="113" t="s">
        <v>142</v>
      </c>
      <c r="G735" s="116" t="s">
        <v>2721</v>
      </c>
      <c r="H735" s="79">
        <v>46246</v>
      </c>
      <c r="I735" s="114" t="s">
        <v>79</v>
      </c>
      <c r="J735" s="117" t="s">
        <v>2722</v>
      </c>
      <c r="K735" s="118">
        <v>46239</v>
      </c>
      <c r="L735" s="114" t="s">
        <v>81</v>
      </c>
      <c r="M735" s="119">
        <v>46241</v>
      </c>
      <c r="N735" s="128">
        <v>46241</v>
      </c>
      <c r="O735" s="120">
        <f>NETWORKDAYS.INTL(K735,N735,1,$AM$2:$AM$10)-1</f>
        <v>2</v>
      </c>
      <c r="P735" s="114" t="s">
        <v>81</v>
      </c>
      <c r="Q735" s="114" t="s">
        <v>79</v>
      </c>
      <c r="R735" s="115"/>
      <c r="S735" s="145">
        <v>615</v>
      </c>
      <c r="T735" s="148" t="s">
        <v>2023</v>
      </c>
      <c r="U735" s="147">
        <v>1</v>
      </c>
      <c r="V735" s="121">
        <v>500</v>
      </c>
      <c r="W735" s="121">
        <v>335</v>
      </c>
      <c r="X735" s="114" t="s">
        <v>84</v>
      </c>
      <c r="Y735" s="115" t="s">
        <v>85</v>
      </c>
      <c r="Z735" s="115" t="s">
        <v>2723</v>
      </c>
      <c r="AA735" s="113" t="s">
        <v>87</v>
      </c>
      <c r="AB735" s="122">
        <v>314.70999999999998</v>
      </c>
      <c r="AC735" s="122">
        <f>IF(C735="DENALI", AB735*0.495, IF(C735="SCHNEIDER ELECTRIC", AB735*1.136, IF(C735="WWT", AB735*1.2, AC735)))+AB735</f>
        <v>470.49144999999999</v>
      </c>
      <c r="AD735" s="129">
        <f>AC735-AB735</f>
        <v>155.78145000000001</v>
      </c>
      <c r="AE735" s="122">
        <v>209992.1</v>
      </c>
      <c r="AF735" s="130">
        <f>AB735/U735</f>
        <v>314.70999999999998</v>
      </c>
      <c r="AG735" s="130">
        <f>AB735/V735</f>
        <v>0.62941999999999998</v>
      </c>
      <c r="AH735" s="123">
        <f>AB735/S735</f>
        <v>0.51172357723577233</v>
      </c>
      <c r="AI735" s="124" t="s">
        <v>1044</v>
      </c>
      <c r="AJ735" s="125" t="s">
        <v>349</v>
      </c>
      <c r="AK735"/>
      <c r="AM735" s="80"/>
    </row>
    <row r="736" spans="1:39" ht="28.5" customHeight="1">
      <c r="A736" s="113" t="s">
        <v>73</v>
      </c>
      <c r="B736" s="114" t="s">
        <v>74</v>
      </c>
      <c r="C736" s="113" t="s">
        <v>35</v>
      </c>
      <c r="D736" s="113" t="s">
        <v>218</v>
      </c>
      <c r="E736" s="115" t="s">
        <v>1335</v>
      </c>
      <c r="F736" s="113" t="s">
        <v>585</v>
      </c>
      <c r="G736" s="116" t="s">
        <v>2724</v>
      </c>
      <c r="H736" s="79">
        <v>46246</v>
      </c>
      <c r="I736" s="114" t="s">
        <v>79</v>
      </c>
      <c r="J736" s="117" t="s">
        <v>2725</v>
      </c>
      <c r="K736" s="118">
        <v>46239</v>
      </c>
      <c r="L736" s="114" t="s">
        <v>81</v>
      </c>
      <c r="M736" s="119">
        <v>46245</v>
      </c>
      <c r="N736" s="128">
        <v>46246</v>
      </c>
      <c r="O736" s="120">
        <f>NETWORKDAYS.INTL(K736,N736,1,$AM$2:$AM$10)-1</f>
        <v>5</v>
      </c>
      <c r="P736" s="114" t="s">
        <v>81</v>
      </c>
      <c r="Q736" s="114" t="s">
        <v>79</v>
      </c>
      <c r="R736" s="115"/>
      <c r="S736" s="145">
        <v>1896</v>
      </c>
      <c r="T736" s="148" t="s">
        <v>2726</v>
      </c>
      <c r="U736" s="147">
        <v>1</v>
      </c>
      <c r="V736" s="121">
        <v>500</v>
      </c>
      <c r="W736" s="121">
        <v>335</v>
      </c>
      <c r="X736" s="114" t="s">
        <v>84</v>
      </c>
      <c r="Y736" s="115" t="s">
        <v>85</v>
      </c>
      <c r="Z736" s="115" t="s">
        <v>86</v>
      </c>
      <c r="AA736" s="113" t="s">
        <v>87</v>
      </c>
      <c r="AB736" s="122">
        <v>479.95</v>
      </c>
      <c r="AC736" s="122">
        <f>IF(C736="DENALI", AB736*0.495, IF(C736="SCHNEIDER ELECTRIC", AB736*1.136, IF(C736="WWT", AB736*1.2, AC736)))+AB736</f>
        <v>717.52524999999991</v>
      </c>
      <c r="AD736" s="129">
        <f>AC736-AB736</f>
        <v>237.57524999999993</v>
      </c>
      <c r="AE736" s="122">
        <v>12733</v>
      </c>
      <c r="AF736" s="130">
        <f>AB736/U736</f>
        <v>479.95</v>
      </c>
      <c r="AG736" s="130">
        <f>AB736/V736</f>
        <v>0.95989999999999998</v>
      </c>
      <c r="AH736" s="123">
        <f>AB736/S736</f>
        <v>0.25313818565400842</v>
      </c>
      <c r="AI736" s="124" t="s">
        <v>97</v>
      </c>
      <c r="AJ736" s="125" t="s">
        <v>349</v>
      </c>
      <c r="AK736"/>
      <c r="AM736" s="80"/>
    </row>
    <row r="737" spans="1:39" ht="28.5" customHeight="1">
      <c r="A737" s="113" t="s">
        <v>73</v>
      </c>
      <c r="B737" s="114" t="s">
        <v>74</v>
      </c>
      <c r="C737" s="113" t="s">
        <v>35</v>
      </c>
      <c r="D737" s="113" t="s">
        <v>99</v>
      </c>
      <c r="E737" s="115" t="s">
        <v>1190</v>
      </c>
      <c r="F737" s="113" t="s">
        <v>90</v>
      </c>
      <c r="G737" s="116" t="s">
        <v>2727</v>
      </c>
      <c r="H737" s="79">
        <v>46245</v>
      </c>
      <c r="I737" s="114" t="s">
        <v>79</v>
      </c>
      <c r="J737" s="117" t="s">
        <v>2728</v>
      </c>
      <c r="K737" s="118">
        <v>46239</v>
      </c>
      <c r="L737" s="114" t="s">
        <v>81</v>
      </c>
      <c r="M737" s="119">
        <v>46245</v>
      </c>
      <c r="N737" s="128">
        <v>46240</v>
      </c>
      <c r="O737" s="120">
        <f>NETWORKDAYS.INTL(K737,N737,1,$AM$2:$AM$10)-1</f>
        <v>1</v>
      </c>
      <c r="P737" s="114" t="s">
        <v>81</v>
      </c>
      <c r="Q737" s="114" t="s">
        <v>79</v>
      </c>
      <c r="R737" s="115"/>
      <c r="S737" s="145">
        <v>973</v>
      </c>
      <c r="T737" s="148" t="s">
        <v>2729</v>
      </c>
      <c r="U737" s="147">
        <v>1</v>
      </c>
      <c r="V737" s="121">
        <v>16</v>
      </c>
      <c r="W737" s="121">
        <v>490</v>
      </c>
      <c r="X737" s="114" t="s">
        <v>84</v>
      </c>
      <c r="Y737" s="115" t="s">
        <v>85</v>
      </c>
      <c r="Z737" s="115" t="s">
        <v>86</v>
      </c>
      <c r="AA737" s="113" t="s">
        <v>87</v>
      </c>
      <c r="AB737" s="122">
        <v>268.88</v>
      </c>
      <c r="AC737" s="122">
        <f>IF(C737="DENALI", AB737*0.495, IF(C737="SCHNEIDER ELECTRIC", AB737*1.136, IF(C737="WWT", AB737*1.2, AC737)))+AB737</f>
        <v>401.97559999999999</v>
      </c>
      <c r="AD737" s="129">
        <f>AC737-AB737</f>
        <v>133.09559999999999</v>
      </c>
      <c r="AE737" s="122">
        <v>41468.639999999999</v>
      </c>
      <c r="AF737" s="130">
        <f>AB737/U737</f>
        <v>268.88</v>
      </c>
      <c r="AG737" s="130">
        <f>AB737/V737</f>
        <v>16.805</v>
      </c>
      <c r="AH737" s="123">
        <f>AB737/S737</f>
        <v>0.27634121274409046</v>
      </c>
      <c r="AI737" s="124" t="s">
        <v>97</v>
      </c>
      <c r="AJ737" s="125" t="s">
        <v>349</v>
      </c>
      <c r="AK737"/>
      <c r="AM737" s="80"/>
    </row>
    <row r="738" spans="1:39" ht="28.5" customHeight="1">
      <c r="A738" s="113" t="s">
        <v>73</v>
      </c>
      <c r="B738" s="114" t="s">
        <v>74</v>
      </c>
      <c r="C738" s="113" t="s">
        <v>35</v>
      </c>
      <c r="D738" s="113" t="s">
        <v>218</v>
      </c>
      <c r="E738" s="115" t="s">
        <v>1831</v>
      </c>
      <c r="F738" s="113" t="s">
        <v>370</v>
      </c>
      <c r="G738" s="116" t="s">
        <v>2730</v>
      </c>
      <c r="H738" s="79">
        <v>46247</v>
      </c>
      <c r="I738" s="114" t="s">
        <v>79</v>
      </c>
      <c r="J738" s="117" t="s">
        <v>2731</v>
      </c>
      <c r="K738" s="118">
        <v>46239</v>
      </c>
      <c r="L738" s="114" t="s">
        <v>81</v>
      </c>
      <c r="M738" s="119">
        <v>46241</v>
      </c>
      <c r="N738" s="128">
        <v>46241</v>
      </c>
      <c r="O738" s="120">
        <f>NETWORKDAYS.INTL(K738,N738,1,$AM$2:$AM$10)-1</f>
        <v>2</v>
      </c>
      <c r="P738" s="114" t="s">
        <v>81</v>
      </c>
      <c r="Q738" s="114" t="s">
        <v>79</v>
      </c>
      <c r="R738" s="115"/>
      <c r="S738" s="145">
        <v>688</v>
      </c>
      <c r="T738" s="148" t="s">
        <v>2052</v>
      </c>
      <c r="U738" s="147">
        <v>2</v>
      </c>
      <c r="V738" s="121">
        <v>1500</v>
      </c>
      <c r="W738" s="121">
        <v>1140</v>
      </c>
      <c r="X738" s="114" t="s">
        <v>84</v>
      </c>
      <c r="Y738" s="115" t="s">
        <v>85</v>
      </c>
      <c r="Z738" s="115" t="s">
        <v>86</v>
      </c>
      <c r="AA738" s="113" t="s">
        <v>87</v>
      </c>
      <c r="AB738" s="122">
        <v>441.05</v>
      </c>
      <c r="AC738" s="122">
        <f>IF(C738="DENALI", AB738*0.495, IF(C738="SCHNEIDER ELECTRIC", AB738*1.136, IF(C738="WWT", AB738*1.2, AC738)))+AB738</f>
        <v>659.36975000000007</v>
      </c>
      <c r="AD738" s="129">
        <f>AC738-AB738</f>
        <v>218.31975000000006</v>
      </c>
      <c r="AE738" s="122">
        <v>0</v>
      </c>
      <c r="AF738" s="130">
        <f>AB738/U738</f>
        <v>220.52500000000001</v>
      </c>
      <c r="AG738" s="130">
        <f>AB738/V738</f>
        <v>0.29403333333333331</v>
      </c>
      <c r="AH738" s="123">
        <f>AB738/S738</f>
        <v>0.64106104651162787</v>
      </c>
      <c r="AI738" s="124" t="s">
        <v>1044</v>
      </c>
      <c r="AJ738" s="125" t="s">
        <v>349</v>
      </c>
      <c r="AK738"/>
      <c r="AM738" s="80"/>
    </row>
    <row r="739" spans="1:39" ht="28.5" customHeight="1">
      <c r="A739" s="113" t="s">
        <v>73</v>
      </c>
      <c r="B739" s="114" t="s">
        <v>74</v>
      </c>
      <c r="C739" s="113" t="s">
        <v>35</v>
      </c>
      <c r="D739" s="113" t="s">
        <v>218</v>
      </c>
      <c r="E739" s="115" t="s">
        <v>1541</v>
      </c>
      <c r="F739" s="113" t="s">
        <v>142</v>
      </c>
      <c r="G739" s="116" t="s">
        <v>2732</v>
      </c>
      <c r="H739" s="79">
        <v>46247</v>
      </c>
      <c r="I739" s="114" t="s">
        <v>79</v>
      </c>
      <c r="J739" s="117" t="s">
        <v>2733</v>
      </c>
      <c r="K739" s="118">
        <v>46239</v>
      </c>
      <c r="L739" s="114" t="s">
        <v>81</v>
      </c>
      <c r="M739" s="119">
        <v>46244</v>
      </c>
      <c r="N739" s="128">
        <v>46244</v>
      </c>
      <c r="O739" s="120">
        <f>NETWORKDAYS.INTL(K739,N739,1,$AM$2:$AM$10)-1</f>
        <v>3</v>
      </c>
      <c r="P739" s="114" t="s">
        <v>81</v>
      </c>
      <c r="Q739" s="114" t="s">
        <v>79</v>
      </c>
      <c r="R739" s="115"/>
      <c r="S739" s="145">
        <v>1147</v>
      </c>
      <c r="T739" s="148" t="s">
        <v>2019</v>
      </c>
      <c r="U739" s="147">
        <v>1</v>
      </c>
      <c r="V739" s="121">
        <v>500</v>
      </c>
      <c r="W739" s="121">
        <v>335</v>
      </c>
      <c r="X739" s="114" t="s">
        <v>84</v>
      </c>
      <c r="Y739" s="115" t="s">
        <v>85</v>
      </c>
      <c r="Z739" s="115" t="s">
        <v>86</v>
      </c>
      <c r="AA739" s="113" t="s">
        <v>87</v>
      </c>
      <c r="AB739" s="122">
        <v>447.91</v>
      </c>
      <c r="AC739" s="122">
        <f>IF(C739="DENALI", AB739*0.495, IF(C739="SCHNEIDER ELECTRIC", AB739*1.136, IF(C739="WWT", AB739*1.2, AC739)))+AB739</f>
        <v>669.62545</v>
      </c>
      <c r="AD739" s="129">
        <f>AC739-AB739</f>
        <v>221.71544999999998</v>
      </c>
      <c r="AE739" s="122">
        <v>0</v>
      </c>
      <c r="AF739" s="130">
        <f>AB739/U739</f>
        <v>447.91</v>
      </c>
      <c r="AG739" s="130">
        <f>AB739/V739</f>
        <v>0.89582000000000006</v>
      </c>
      <c r="AH739" s="123">
        <f>AB739/S739</f>
        <v>0.3905056669572799</v>
      </c>
      <c r="AI739" s="124" t="s">
        <v>1044</v>
      </c>
      <c r="AJ739" s="125" t="s">
        <v>349</v>
      </c>
      <c r="AK739"/>
      <c r="AM739" s="80"/>
    </row>
    <row r="740" spans="1:39" ht="28.5" customHeight="1">
      <c r="A740" s="113" t="s">
        <v>73</v>
      </c>
      <c r="B740" s="114" t="s">
        <v>74</v>
      </c>
      <c r="C740" s="113" t="s">
        <v>36</v>
      </c>
      <c r="D740" s="113" t="s">
        <v>75</v>
      </c>
      <c r="E740" s="115" t="s">
        <v>2612</v>
      </c>
      <c r="F740" s="113" t="s">
        <v>2613</v>
      </c>
      <c r="G740" s="116" t="s">
        <v>2734</v>
      </c>
      <c r="H740" s="79">
        <v>46247</v>
      </c>
      <c r="I740" s="114" t="s">
        <v>79</v>
      </c>
      <c r="J740" s="117" t="s">
        <v>2735</v>
      </c>
      <c r="K740" s="118">
        <v>46239</v>
      </c>
      <c r="L740" s="114" t="s">
        <v>79</v>
      </c>
      <c r="M740" s="119">
        <v>46240</v>
      </c>
      <c r="N740" s="128">
        <v>46241</v>
      </c>
      <c r="O740" s="120">
        <f>NETWORKDAYS.INTL(K740,N740,1,$AM$2:$AM$10)-1</f>
        <v>2</v>
      </c>
      <c r="P740" s="114" t="s">
        <v>81</v>
      </c>
      <c r="Q740" s="114" t="s">
        <v>79</v>
      </c>
      <c r="R740" s="115"/>
      <c r="S740" s="145">
        <v>345</v>
      </c>
      <c r="T740" s="148" t="s">
        <v>2736</v>
      </c>
      <c r="U740" s="147">
        <v>1</v>
      </c>
      <c r="V740" s="121">
        <v>10</v>
      </c>
      <c r="W740" s="121">
        <v>810</v>
      </c>
      <c r="X740" s="114" t="s">
        <v>84</v>
      </c>
      <c r="Y740" s="115" t="s">
        <v>85</v>
      </c>
      <c r="Z740" s="115" t="s">
        <v>86</v>
      </c>
      <c r="AA740" s="113" t="s">
        <v>87</v>
      </c>
      <c r="AB740" s="122">
        <v>215.12</v>
      </c>
      <c r="AC740" s="122">
        <f>IF(C740="DENALI", AB740*0.495, IF(C740="SCHNEIDER ELECTRIC", AB740*1.136, IF(C740="WWT", AB740*1.2, AC740)))+AB740</f>
        <v>459.49631999999997</v>
      </c>
      <c r="AD740" s="129">
        <f>AC740-AB740</f>
        <v>244.37631999999996</v>
      </c>
      <c r="AE740" s="122">
        <v>4966</v>
      </c>
      <c r="AF740" s="130">
        <f>AB740/U740</f>
        <v>215.12</v>
      </c>
      <c r="AG740" s="130">
        <f>AB740/V740</f>
        <v>21.512</v>
      </c>
      <c r="AH740" s="123">
        <f>AB740/S740</f>
        <v>0.62353623188405793</v>
      </c>
      <c r="AI740" s="124" t="s">
        <v>97</v>
      </c>
      <c r="AJ740" s="125" t="s">
        <v>349</v>
      </c>
      <c r="AK740"/>
      <c r="AM740" s="80"/>
    </row>
    <row r="741" spans="1:39" ht="28.5" customHeight="1">
      <c r="A741" s="113" t="s">
        <v>73</v>
      </c>
      <c r="B741" s="114" t="s">
        <v>74</v>
      </c>
      <c r="C741" s="113" t="s">
        <v>36</v>
      </c>
      <c r="D741" s="113" t="s">
        <v>75</v>
      </c>
      <c r="E741" s="115" t="s">
        <v>2737</v>
      </c>
      <c r="F741" s="113" t="s">
        <v>77</v>
      </c>
      <c r="G741" s="116" t="s">
        <v>2738</v>
      </c>
      <c r="H741" s="79">
        <v>46248</v>
      </c>
      <c r="I741" s="114" t="s">
        <v>79</v>
      </c>
      <c r="J741" s="117" t="s">
        <v>2739</v>
      </c>
      <c r="K741" s="118">
        <v>46241</v>
      </c>
      <c r="L741" s="114" t="s">
        <v>81</v>
      </c>
      <c r="M741" s="119">
        <v>46244</v>
      </c>
      <c r="N741" s="128">
        <v>46244</v>
      </c>
      <c r="O741" s="120">
        <f>NETWORKDAYS.INTL(K741,N741,1,$AM$2:$AM$10)-1</f>
        <v>1</v>
      </c>
      <c r="P741" s="114" t="s">
        <v>81</v>
      </c>
      <c r="Q741" s="114" t="s">
        <v>79</v>
      </c>
      <c r="R741" s="115"/>
      <c r="S741" s="145">
        <v>166</v>
      </c>
      <c r="T741" s="148" t="s">
        <v>2740</v>
      </c>
      <c r="U741" s="147">
        <v>1</v>
      </c>
      <c r="V741" s="121">
        <v>10</v>
      </c>
      <c r="W741" s="121">
        <v>757</v>
      </c>
      <c r="X741" s="114" t="s">
        <v>84</v>
      </c>
      <c r="Y741" s="115" t="s">
        <v>85</v>
      </c>
      <c r="Z741" s="115" t="s">
        <v>2312</v>
      </c>
      <c r="AA741" s="113" t="s">
        <v>87</v>
      </c>
      <c r="AB741" s="122">
        <v>208.97</v>
      </c>
      <c r="AC741" s="122">
        <f>IF(C741="DENALI", AB741*0.495, IF(C741="SCHNEIDER ELECTRIC", AB741*1.136, IF(C741="WWT", AB741*1.2, AC741)))+AB741</f>
        <v>446.35991999999999</v>
      </c>
      <c r="AD741" s="129">
        <f>AC741-AB741</f>
        <v>237.38991999999999</v>
      </c>
      <c r="AE741" s="122">
        <v>15468.2</v>
      </c>
      <c r="AF741" s="130">
        <f>AB741/U741</f>
        <v>208.97</v>
      </c>
      <c r="AG741" s="130">
        <f>AB741/V741</f>
        <v>20.896999999999998</v>
      </c>
      <c r="AH741" s="123">
        <f>AB741/S741</f>
        <v>1.2588554216867469</v>
      </c>
      <c r="AI741" s="124" t="s">
        <v>155</v>
      </c>
      <c r="AJ741" s="125" t="s">
        <v>2272</v>
      </c>
      <c r="AK741"/>
      <c r="AM741" s="80"/>
    </row>
    <row r="742" spans="1:39" ht="28.5" customHeight="1">
      <c r="A742" s="113" t="s">
        <v>73</v>
      </c>
      <c r="B742" s="114" t="s">
        <v>74</v>
      </c>
      <c r="C742" s="113" t="s">
        <v>35</v>
      </c>
      <c r="D742" s="113" t="s">
        <v>99</v>
      </c>
      <c r="E742" s="115" t="s">
        <v>2741</v>
      </c>
      <c r="F742" s="113" t="s">
        <v>142</v>
      </c>
      <c r="G742" s="116">
        <v>23792343</v>
      </c>
      <c r="H742" s="79">
        <v>46248</v>
      </c>
      <c r="I742" s="114" t="s">
        <v>79</v>
      </c>
      <c r="J742" s="117" t="s">
        <v>2742</v>
      </c>
      <c r="K742" s="118">
        <v>46240</v>
      </c>
      <c r="L742" s="114" t="s">
        <v>81</v>
      </c>
      <c r="M742" s="119">
        <v>46244</v>
      </c>
      <c r="N742" s="128">
        <v>46244</v>
      </c>
      <c r="O742" s="120">
        <f>NETWORKDAYS.INTL(K742,N742,1,$AM$2:$AM$10)-1</f>
        <v>2</v>
      </c>
      <c r="P742" s="114" t="s">
        <v>81</v>
      </c>
      <c r="Q742" s="114" t="s">
        <v>79</v>
      </c>
      <c r="R742" s="115"/>
      <c r="S742" s="145">
        <v>2437.9</v>
      </c>
      <c r="T742" s="148" t="s">
        <v>2743</v>
      </c>
      <c r="U742" s="147">
        <v>2</v>
      </c>
      <c r="V742" s="121">
        <v>2</v>
      </c>
      <c r="W742" s="121">
        <v>1420</v>
      </c>
      <c r="X742" s="114" t="s">
        <v>113</v>
      </c>
      <c r="Y742" s="115" t="s">
        <v>85</v>
      </c>
      <c r="Z742" s="115" t="s">
        <v>2744</v>
      </c>
      <c r="AA742" s="113" t="s">
        <v>87</v>
      </c>
      <c r="AB742" s="122">
        <v>5501</v>
      </c>
      <c r="AC742" s="122">
        <f>IF(C742="DENALI", AB742*0.495, IF(C742="SCHNEIDER ELECTRIC", AB742*1.136, IF(C742="WWT", AB742*1.2, AC742)))+AB742</f>
        <v>8223.994999999999</v>
      </c>
      <c r="AD742" s="129">
        <f>AC742-AB742</f>
        <v>2722.994999999999</v>
      </c>
      <c r="AE742" s="122">
        <v>16976.84</v>
      </c>
      <c r="AF742" s="130">
        <f>AB742/U742</f>
        <v>2750.5</v>
      </c>
      <c r="AG742" s="130">
        <f>AB742/V742</f>
        <v>2750.5</v>
      </c>
      <c r="AH742" s="123">
        <f>AB742/S742</f>
        <v>2.2564502235530579</v>
      </c>
      <c r="AI742" s="124" t="s">
        <v>115</v>
      </c>
      <c r="AJ742" s="125" t="s">
        <v>107</v>
      </c>
      <c r="AK742"/>
      <c r="AM742" s="80"/>
    </row>
    <row r="743" spans="1:39" ht="28.5" customHeight="1">
      <c r="A743" s="113" t="s">
        <v>73</v>
      </c>
      <c r="B743" s="114" t="s">
        <v>74</v>
      </c>
      <c r="C743" s="113" t="s">
        <v>35</v>
      </c>
      <c r="D743" s="113" t="s">
        <v>99</v>
      </c>
      <c r="E743" s="115" t="s">
        <v>872</v>
      </c>
      <c r="F743" s="113" t="s">
        <v>90</v>
      </c>
      <c r="G743" s="116">
        <v>23792310</v>
      </c>
      <c r="H743" s="79">
        <v>46248</v>
      </c>
      <c r="I743" s="114" t="s">
        <v>79</v>
      </c>
      <c r="J743" s="117" t="s">
        <v>2745</v>
      </c>
      <c r="K743" s="118">
        <v>46240</v>
      </c>
      <c r="L743" s="114" t="s">
        <v>81</v>
      </c>
      <c r="M743" s="119">
        <v>46241</v>
      </c>
      <c r="N743" s="128">
        <v>46241</v>
      </c>
      <c r="O743" s="120">
        <f>NETWORKDAYS.INTL(K743,N743,1,$AM$2:$AM$10)-1</f>
        <v>1</v>
      </c>
      <c r="P743" s="114" t="s">
        <v>81</v>
      </c>
      <c r="Q743" s="114" t="s">
        <v>79</v>
      </c>
      <c r="R743" s="115"/>
      <c r="S743" s="145">
        <v>767.5</v>
      </c>
      <c r="T743" s="148" t="s">
        <v>2746</v>
      </c>
      <c r="U743" s="147">
        <v>1</v>
      </c>
      <c r="V743" s="121">
        <v>1</v>
      </c>
      <c r="W743" s="121">
        <v>710</v>
      </c>
      <c r="X743" s="114" t="s">
        <v>113</v>
      </c>
      <c r="Y743" s="115" t="s">
        <v>85</v>
      </c>
      <c r="Z743" s="115" t="s">
        <v>2747</v>
      </c>
      <c r="AA743" s="113" t="s">
        <v>87</v>
      </c>
      <c r="AB743" s="122">
        <v>1594</v>
      </c>
      <c r="AC743" s="122">
        <f>IF(C743="DENALI", AB743*0.495, IF(C743="SCHNEIDER ELECTRIC", AB743*1.136, IF(C743="WWT", AB743*1.2, AC743)))+AB743</f>
        <v>2383.0299999999997</v>
      </c>
      <c r="AD743" s="129">
        <f>AC743-AB743</f>
        <v>789.02999999999975</v>
      </c>
      <c r="AE743" s="122">
        <v>9407.68</v>
      </c>
      <c r="AF743" s="130">
        <f>AB743/U743</f>
        <v>1594</v>
      </c>
      <c r="AG743" s="130">
        <f>AB743/V743</f>
        <v>1594</v>
      </c>
      <c r="AH743" s="123">
        <f>AB743/S743</f>
        <v>2.0768729641693811</v>
      </c>
      <c r="AI743" s="124" t="s">
        <v>147</v>
      </c>
      <c r="AJ743" s="125" t="s">
        <v>343</v>
      </c>
      <c r="AK743"/>
      <c r="AM743" s="80"/>
    </row>
    <row r="744" spans="1:39" ht="28.5" customHeight="1">
      <c r="A744" s="113" t="s">
        <v>73</v>
      </c>
      <c r="B744" s="114" t="s">
        <v>74</v>
      </c>
      <c r="C744" s="113" t="s">
        <v>35</v>
      </c>
      <c r="D744" s="113" t="s">
        <v>218</v>
      </c>
      <c r="E744" s="115" t="s">
        <v>141</v>
      </c>
      <c r="F744" s="113" t="s">
        <v>142</v>
      </c>
      <c r="G744" s="116">
        <v>23792320</v>
      </c>
      <c r="H744" s="79">
        <v>46245</v>
      </c>
      <c r="I744" s="114" t="s">
        <v>79</v>
      </c>
      <c r="J744" s="117" t="s">
        <v>2411</v>
      </c>
      <c r="K744" s="118">
        <v>46240</v>
      </c>
      <c r="L744" s="114" t="s">
        <v>81</v>
      </c>
      <c r="M744" s="119">
        <v>46241</v>
      </c>
      <c r="N744" s="128">
        <v>46240</v>
      </c>
      <c r="O744" s="120">
        <f>NETWORKDAYS.INTL(K744,N744,1,$AM$2:$AM$10)-1</f>
        <v>0</v>
      </c>
      <c r="P744" s="114" t="s">
        <v>81</v>
      </c>
      <c r="Q744" s="114" t="s">
        <v>79</v>
      </c>
      <c r="R744" s="115"/>
      <c r="S744" s="145">
        <v>443</v>
      </c>
      <c r="T744" s="148" t="s">
        <v>2748</v>
      </c>
      <c r="U744" s="147">
        <v>9</v>
      </c>
      <c r="V744" s="121">
        <v>159</v>
      </c>
      <c r="W744" s="121">
        <v>6165</v>
      </c>
      <c r="X744" s="114" t="s">
        <v>113</v>
      </c>
      <c r="Y744" s="115" t="s">
        <v>85</v>
      </c>
      <c r="Z744" s="115" t="s">
        <v>2749</v>
      </c>
      <c r="AA744" s="113" t="s">
        <v>87</v>
      </c>
      <c r="AB744" s="122">
        <v>1842.15</v>
      </c>
      <c r="AC744" s="122">
        <f>IF(C744="DENALI", AB744*0.495, IF(C744="SCHNEIDER ELECTRIC", AB744*1.136, IF(C744="WWT", AB744*1.2, AC744)))+AB744</f>
        <v>2754.0142500000002</v>
      </c>
      <c r="AD744" s="129">
        <f>AC744-AB744</f>
        <v>911.86425000000008</v>
      </c>
      <c r="AE744" s="122">
        <v>479354.29</v>
      </c>
      <c r="AF744" s="130">
        <f>AB744/U744</f>
        <v>204.68333333333334</v>
      </c>
      <c r="AG744" s="130">
        <f>AB744/V744</f>
        <v>11.585849056603774</v>
      </c>
      <c r="AH744" s="123">
        <f>AB744/S744</f>
        <v>4.1583521444695259</v>
      </c>
      <c r="AI744" s="124" t="s">
        <v>97</v>
      </c>
      <c r="AJ744" s="125" t="s">
        <v>349</v>
      </c>
      <c r="AK744"/>
      <c r="AM744" s="80"/>
    </row>
    <row r="745" spans="1:39" ht="28.5" customHeight="1">
      <c r="A745" s="113" t="s">
        <v>73</v>
      </c>
      <c r="B745" s="114" t="s">
        <v>74</v>
      </c>
      <c r="C745" s="113" t="s">
        <v>36</v>
      </c>
      <c r="D745" s="113" t="s">
        <v>90</v>
      </c>
      <c r="E745" s="115" t="s">
        <v>2750</v>
      </c>
      <c r="F745" s="113" t="s">
        <v>90</v>
      </c>
      <c r="G745" s="116" t="s">
        <v>2751</v>
      </c>
      <c r="H745" s="79">
        <v>46248</v>
      </c>
      <c r="I745" s="114" t="s">
        <v>79</v>
      </c>
      <c r="J745" s="117" t="s">
        <v>2752</v>
      </c>
      <c r="K745" s="118">
        <v>46240</v>
      </c>
      <c r="L745" s="114" t="s">
        <v>81</v>
      </c>
      <c r="M745" s="119">
        <v>46241</v>
      </c>
      <c r="N745" s="128">
        <v>46241</v>
      </c>
      <c r="O745" s="120">
        <f>NETWORKDAYS.INTL(K745,N745,1,$AM$2:$AM$10)-1</f>
        <v>1</v>
      </c>
      <c r="P745" s="114" t="s">
        <v>81</v>
      </c>
      <c r="Q745" s="114" t="s">
        <v>79</v>
      </c>
      <c r="R745" s="115"/>
      <c r="S745" s="145">
        <v>27.7</v>
      </c>
      <c r="T745" s="148" t="s">
        <v>2753</v>
      </c>
      <c r="U745" s="147">
        <v>1</v>
      </c>
      <c r="V745" s="121">
        <v>3</v>
      </c>
      <c r="W745" s="121">
        <v>271</v>
      </c>
      <c r="X745" s="114" t="s">
        <v>84</v>
      </c>
      <c r="Y745" s="115" t="s">
        <v>85</v>
      </c>
      <c r="Z745" s="115" t="s">
        <v>86</v>
      </c>
      <c r="AA745" s="113" t="s">
        <v>87</v>
      </c>
      <c r="AB745" s="122">
        <v>191.92</v>
      </c>
      <c r="AC745" s="122">
        <f>IF(C745="DENALI", AB745*0.495, IF(C745="SCHNEIDER ELECTRIC", AB745*1.136, IF(C745="WWT", AB745*1.2, AC745)))+AB745</f>
        <v>409.94111999999996</v>
      </c>
      <c r="AD745" s="129">
        <f>AC745-AB745</f>
        <v>218.02111999999997</v>
      </c>
      <c r="AE745" s="122">
        <v>1489.8</v>
      </c>
      <c r="AF745" s="130">
        <f>AB745/U745</f>
        <v>191.92</v>
      </c>
      <c r="AG745" s="130">
        <f>AB745/V745</f>
        <v>63.973333333333329</v>
      </c>
      <c r="AH745" s="123">
        <f>AB745/S745</f>
        <v>6.9285198555956677</v>
      </c>
      <c r="AI745" s="124" t="s">
        <v>97</v>
      </c>
      <c r="AJ745" s="125" t="s">
        <v>2267</v>
      </c>
      <c r="AK745"/>
      <c r="AM745" s="80"/>
    </row>
    <row r="746" spans="1:39" ht="39" customHeight="1">
      <c r="A746" s="113" t="s">
        <v>73</v>
      </c>
      <c r="B746" s="114" t="s">
        <v>74</v>
      </c>
      <c r="C746" s="113" t="s">
        <v>35</v>
      </c>
      <c r="D746" s="113" t="s">
        <v>218</v>
      </c>
      <c r="E746" s="115" t="s">
        <v>2754</v>
      </c>
      <c r="F746" s="113" t="s">
        <v>2755</v>
      </c>
      <c r="G746" s="116" t="s">
        <v>2756</v>
      </c>
      <c r="H746" s="79">
        <v>46252</v>
      </c>
      <c r="I746" s="114" t="s">
        <v>79</v>
      </c>
      <c r="J746" s="117" t="s">
        <v>2757</v>
      </c>
      <c r="K746" s="118">
        <v>46244</v>
      </c>
      <c r="L746" s="114" t="s">
        <v>81</v>
      </c>
      <c r="M746" s="119">
        <v>46252</v>
      </c>
      <c r="N746" s="128">
        <v>46268</v>
      </c>
      <c r="O746" s="120">
        <f>NETWORKDAYS.INTL(K746,N746,1,$AM$2:$AM$10)-1</f>
        <v>18</v>
      </c>
      <c r="P746" s="114" t="s">
        <v>79</v>
      </c>
      <c r="Q746" s="114" t="s">
        <v>81</v>
      </c>
      <c r="R746" s="115" t="s">
        <v>2758</v>
      </c>
      <c r="S746" s="145"/>
      <c r="T746" s="148" t="s">
        <v>2759</v>
      </c>
      <c r="U746" s="147">
        <v>1</v>
      </c>
      <c r="V746" s="121">
        <v>2</v>
      </c>
      <c r="W746" s="121">
        <v>175</v>
      </c>
      <c r="X746" s="114" t="s">
        <v>84</v>
      </c>
      <c r="Y746" s="115" t="s">
        <v>85</v>
      </c>
      <c r="Z746" s="115" t="s">
        <v>86</v>
      </c>
      <c r="AA746" s="113" t="s">
        <v>87</v>
      </c>
      <c r="AB746" s="122">
        <v>955.84</v>
      </c>
      <c r="AC746" s="122">
        <f>IF(C746="DENALI", AB746*0.495, IF(C746="SCHNEIDER ELECTRIC", AB746*1.136, IF(C746="WWT", AB746*1.2, AC746)))+AB746</f>
        <v>1428.9808</v>
      </c>
      <c r="AD746" s="129">
        <f>AC746-AB746</f>
        <v>473.14080000000001</v>
      </c>
      <c r="AE746" s="122">
        <v>1093.23</v>
      </c>
      <c r="AF746" s="130">
        <f>AB746/U746</f>
        <v>955.84</v>
      </c>
      <c r="AG746" s="130">
        <f>AB746/V746</f>
        <v>477.92</v>
      </c>
      <c r="AH746" s="123" t="e">
        <f>AB746/S746</f>
        <v>#DIV/0!</v>
      </c>
      <c r="AI746" s="124" t="s">
        <v>155</v>
      </c>
      <c r="AJ746" s="125" t="s">
        <v>89</v>
      </c>
      <c r="AK746"/>
      <c r="AM746" s="80"/>
    </row>
    <row r="747" spans="1:39" ht="28.5" customHeight="1">
      <c r="A747" s="113" t="s">
        <v>73</v>
      </c>
      <c r="B747" s="114" t="s">
        <v>74</v>
      </c>
      <c r="C747" s="113" t="s">
        <v>35</v>
      </c>
      <c r="D747" s="113" t="s">
        <v>218</v>
      </c>
      <c r="E747" s="115" t="s">
        <v>951</v>
      </c>
      <c r="F747" s="113" t="s">
        <v>109</v>
      </c>
      <c r="G747" s="116" t="s">
        <v>2760</v>
      </c>
      <c r="H747" s="79">
        <v>46251</v>
      </c>
      <c r="I747" s="114" t="s">
        <v>79</v>
      </c>
      <c r="J747" s="117" t="s">
        <v>2761</v>
      </c>
      <c r="K747" s="118">
        <v>46241</v>
      </c>
      <c r="L747" s="114" t="s">
        <v>81</v>
      </c>
      <c r="M747" s="119">
        <v>46246</v>
      </c>
      <c r="N747" s="128">
        <v>46255</v>
      </c>
      <c r="O747" s="120">
        <f>NETWORKDAYS.INTL(K747,N747,1,$AM$2:$AM$10)-1</f>
        <v>10</v>
      </c>
      <c r="P747" s="114" t="s">
        <v>79</v>
      </c>
      <c r="Q747" s="114" t="s">
        <v>81</v>
      </c>
      <c r="R747" s="115" t="s">
        <v>2762</v>
      </c>
      <c r="S747" s="145">
        <v>1035</v>
      </c>
      <c r="T747" s="148" t="s">
        <v>2763</v>
      </c>
      <c r="U747" s="147">
        <v>1</v>
      </c>
      <c r="V747" s="121">
        <v>26</v>
      </c>
      <c r="W747" s="121">
        <v>425</v>
      </c>
      <c r="X747" s="114" t="s">
        <v>84</v>
      </c>
      <c r="Y747" s="115" t="s">
        <v>85</v>
      </c>
      <c r="Z747" s="115" t="s">
        <v>86</v>
      </c>
      <c r="AA747" s="113" t="s">
        <v>87</v>
      </c>
      <c r="AB747" s="122">
        <v>342.09</v>
      </c>
      <c r="AC747" s="122">
        <f>IF(C747="DENALI", AB747*0.495, IF(C747="SCHNEIDER ELECTRIC", AB747*1.136, IF(C747="WWT", AB747*1.2, AC747)))+AB747</f>
        <v>511.42454999999995</v>
      </c>
      <c r="AD747" s="129">
        <f>AC747-AB747</f>
        <v>169.33454999999998</v>
      </c>
      <c r="AE747" s="122">
        <v>33693.269999999997</v>
      </c>
      <c r="AF747" s="130">
        <f>AB747/U747</f>
        <v>342.09</v>
      </c>
      <c r="AG747" s="130">
        <f>AB747/V747</f>
        <v>13.157307692307691</v>
      </c>
      <c r="AH747" s="123">
        <f>AB747/S747</f>
        <v>0.33052173913043476</v>
      </c>
      <c r="AI747" s="124" t="s">
        <v>97</v>
      </c>
      <c r="AJ747" s="125" t="s">
        <v>349</v>
      </c>
      <c r="AK747"/>
      <c r="AM747" s="80"/>
    </row>
    <row r="748" spans="1:39" ht="28.5" customHeight="1">
      <c r="A748" s="113" t="s">
        <v>73</v>
      </c>
      <c r="B748" s="114" t="s">
        <v>74</v>
      </c>
      <c r="C748" s="113" t="s">
        <v>35</v>
      </c>
      <c r="D748" s="113" t="s">
        <v>218</v>
      </c>
      <c r="E748" s="115" t="s">
        <v>2764</v>
      </c>
      <c r="F748" s="113" t="s">
        <v>99</v>
      </c>
      <c r="G748" s="116" t="s">
        <v>2765</v>
      </c>
      <c r="H748" s="79">
        <v>46251</v>
      </c>
      <c r="I748" s="114" t="s">
        <v>79</v>
      </c>
      <c r="J748" s="117" t="s">
        <v>2766</v>
      </c>
      <c r="K748" s="118">
        <v>46241</v>
      </c>
      <c r="L748" s="114" t="s">
        <v>81</v>
      </c>
      <c r="M748" s="119">
        <v>46247</v>
      </c>
      <c r="N748" s="128">
        <v>46251</v>
      </c>
      <c r="O748" s="120">
        <f>NETWORKDAYS.INTL(K748,N748,1,$AM$2:$AM$10)-1</f>
        <v>6</v>
      </c>
      <c r="P748" s="114" t="s">
        <v>81</v>
      </c>
      <c r="Q748" s="114" t="s">
        <v>79</v>
      </c>
      <c r="R748" s="115"/>
      <c r="S748" s="145">
        <v>2087</v>
      </c>
      <c r="T748" s="148" t="s">
        <v>2767</v>
      </c>
      <c r="U748" s="147">
        <v>1</v>
      </c>
      <c r="V748" s="121">
        <v>471</v>
      </c>
      <c r="W748" s="121">
        <v>180</v>
      </c>
      <c r="X748" s="114" t="s">
        <v>84</v>
      </c>
      <c r="Y748" s="115" t="s">
        <v>85</v>
      </c>
      <c r="Z748" s="115" t="s">
        <v>86</v>
      </c>
      <c r="AA748" s="113" t="s">
        <v>87</v>
      </c>
      <c r="AB748" s="122">
        <v>312.29000000000002</v>
      </c>
      <c r="AC748" s="122">
        <f>IF(C748="DENALI", AB748*0.495, IF(C748="SCHNEIDER ELECTRIC", AB748*1.136, IF(C748="WWT", AB748*1.2, AC748)))+AB748</f>
        <v>466.87355000000002</v>
      </c>
      <c r="AD748" s="129">
        <f>AC748-AB748</f>
        <v>154.58355</v>
      </c>
      <c r="AE748" s="122">
        <v>3036.19</v>
      </c>
      <c r="AF748" s="130">
        <f>AB748/U748</f>
        <v>312.29000000000002</v>
      </c>
      <c r="AG748" s="130">
        <f>AB748/V748</f>
        <v>0.66303609341825909</v>
      </c>
      <c r="AH748" s="123">
        <f>AB748/S748</f>
        <v>0.14963584091998083</v>
      </c>
      <c r="AI748" s="124" t="s">
        <v>1044</v>
      </c>
      <c r="AJ748" s="125" t="s">
        <v>349</v>
      </c>
      <c r="AK748"/>
      <c r="AM748" s="80"/>
    </row>
    <row r="749" spans="1:39" ht="28.5" customHeight="1">
      <c r="A749" s="113" t="s">
        <v>73</v>
      </c>
      <c r="B749" s="114" t="s">
        <v>74</v>
      </c>
      <c r="C749" s="113" t="s">
        <v>35</v>
      </c>
      <c r="D749" s="113" t="s">
        <v>218</v>
      </c>
      <c r="E749" s="115" t="s">
        <v>1262</v>
      </c>
      <c r="F749" s="113" t="s">
        <v>92</v>
      </c>
      <c r="G749" s="116" t="s">
        <v>2768</v>
      </c>
      <c r="H749" s="79">
        <v>46252</v>
      </c>
      <c r="I749" s="114" t="s">
        <v>79</v>
      </c>
      <c r="J749" s="117" t="s">
        <v>2769</v>
      </c>
      <c r="K749" s="118">
        <v>46244</v>
      </c>
      <c r="L749" s="114" t="s">
        <v>81</v>
      </c>
      <c r="M749" s="119">
        <v>46245</v>
      </c>
      <c r="N749" s="128">
        <v>46246</v>
      </c>
      <c r="O749" s="120">
        <f>NETWORKDAYS.INTL(K749,N749,1,$AM$2:$AM$10)-1</f>
        <v>2</v>
      </c>
      <c r="P749" s="114" t="s">
        <v>81</v>
      </c>
      <c r="Q749" s="114" t="s">
        <v>79</v>
      </c>
      <c r="R749" s="115"/>
      <c r="S749" s="145">
        <v>1316</v>
      </c>
      <c r="T749" s="148" t="s">
        <v>2770</v>
      </c>
      <c r="U749" s="147">
        <v>1</v>
      </c>
      <c r="V749" s="121">
        <v>93</v>
      </c>
      <c r="W749" s="121">
        <v>275</v>
      </c>
      <c r="X749" s="114" t="s">
        <v>84</v>
      </c>
      <c r="Y749" s="115" t="s">
        <v>85</v>
      </c>
      <c r="Z749" s="115" t="s">
        <v>86</v>
      </c>
      <c r="AA749" s="113" t="s">
        <v>87</v>
      </c>
      <c r="AB749" s="122">
        <v>289.39</v>
      </c>
      <c r="AC749" s="122">
        <f>IF(C749="DENALI", AB749*0.495, IF(C749="SCHNEIDER ELECTRIC", AB749*1.136, IF(C749="WWT", AB749*1.2, AC749)))+AB749</f>
        <v>432.63804999999996</v>
      </c>
      <c r="AD749" s="129">
        <f>AC749-AB749</f>
        <v>143.24804999999998</v>
      </c>
      <c r="AE749" s="122">
        <v>143.76</v>
      </c>
      <c r="AF749" s="130">
        <f>AB749/U749</f>
        <v>289.39</v>
      </c>
      <c r="AG749" s="130">
        <f>AB749/V749</f>
        <v>3.1117204301075265</v>
      </c>
      <c r="AH749" s="123">
        <f>AB749/S749</f>
        <v>0.21990121580547112</v>
      </c>
      <c r="AI749" s="124" t="s">
        <v>147</v>
      </c>
      <c r="AJ749" s="125" t="s">
        <v>343</v>
      </c>
      <c r="AK749"/>
      <c r="AM749" s="80"/>
    </row>
    <row r="750" spans="1:39" ht="28.5" customHeight="1">
      <c r="A750" s="113" t="s">
        <v>73</v>
      </c>
      <c r="B750" s="114" t="s">
        <v>74</v>
      </c>
      <c r="C750" s="113" t="s">
        <v>35</v>
      </c>
      <c r="D750" s="113" t="s">
        <v>218</v>
      </c>
      <c r="E750" s="115" t="s">
        <v>2596</v>
      </c>
      <c r="F750" s="113" t="s">
        <v>457</v>
      </c>
      <c r="G750" s="116" t="s">
        <v>2771</v>
      </c>
      <c r="H750" s="79">
        <v>46251</v>
      </c>
      <c r="I750" s="114" t="s">
        <v>79</v>
      </c>
      <c r="J750" s="117" t="s">
        <v>2772</v>
      </c>
      <c r="K750" s="118">
        <v>46241</v>
      </c>
      <c r="L750" s="114" t="s">
        <v>81</v>
      </c>
      <c r="M750" s="119">
        <v>46245</v>
      </c>
      <c r="N750" s="128">
        <v>46253</v>
      </c>
      <c r="O750" s="120">
        <f>NETWORKDAYS.INTL(K750,N750,1,$AM$2:$AM$10)-1</f>
        <v>8</v>
      </c>
      <c r="P750" s="114" t="s">
        <v>79</v>
      </c>
      <c r="Q750" s="114" t="s">
        <v>81</v>
      </c>
      <c r="R750" s="115"/>
      <c r="S750" s="145">
        <v>390</v>
      </c>
      <c r="T750" s="148" t="s">
        <v>2773</v>
      </c>
      <c r="U750" s="147">
        <v>1</v>
      </c>
      <c r="V750" s="121">
        <v>1</v>
      </c>
      <c r="W750" s="121">
        <v>405</v>
      </c>
      <c r="X750" s="114" t="s">
        <v>84</v>
      </c>
      <c r="Y750" s="115" t="s">
        <v>85</v>
      </c>
      <c r="Z750" s="115" t="s">
        <v>2585</v>
      </c>
      <c r="AA750" s="113" t="s">
        <v>87</v>
      </c>
      <c r="AB750" s="122">
        <v>415.15</v>
      </c>
      <c r="AC750" s="122">
        <f>IF(C750="DENALI", AB750*0.495, IF(C750="SCHNEIDER ELECTRIC", AB750*1.136, IF(C750="WWT", AB750*1.2, AC750)))+AB750</f>
        <v>620.64924999999994</v>
      </c>
      <c r="AD750" s="129">
        <f>AC750-AB750</f>
        <v>205.49924999999996</v>
      </c>
      <c r="AE750" s="122">
        <v>2130.2199999999998</v>
      </c>
      <c r="AF750" s="130">
        <f>AB750/U750</f>
        <v>415.15</v>
      </c>
      <c r="AG750" s="130">
        <f>AB750/V750</f>
        <v>415.15</v>
      </c>
      <c r="AH750" s="123">
        <f>AB750/S750</f>
        <v>1.0644871794871795</v>
      </c>
      <c r="AI750" s="124" t="s">
        <v>155</v>
      </c>
      <c r="AJ750" s="125" t="s">
        <v>89</v>
      </c>
      <c r="AK750"/>
      <c r="AM750" s="80"/>
    </row>
    <row r="751" spans="1:39" ht="28.5" customHeight="1">
      <c r="A751" s="113" t="s">
        <v>73</v>
      </c>
      <c r="B751" s="114" t="s">
        <v>140</v>
      </c>
      <c r="C751" s="113" t="s">
        <v>35</v>
      </c>
      <c r="D751" s="113" t="s">
        <v>218</v>
      </c>
      <c r="E751" s="115" t="s">
        <v>141</v>
      </c>
      <c r="F751" s="113" t="s">
        <v>142</v>
      </c>
      <c r="G751" s="116" t="s">
        <v>2774</v>
      </c>
      <c r="H751" s="79">
        <v>46251</v>
      </c>
      <c r="I751" s="114" t="s">
        <v>79</v>
      </c>
      <c r="J751" s="117" t="s">
        <v>2775</v>
      </c>
      <c r="K751" s="118">
        <v>46241</v>
      </c>
      <c r="L751" s="114" t="s">
        <v>81</v>
      </c>
      <c r="M751" s="119">
        <v>46244</v>
      </c>
      <c r="N751" s="128">
        <v>46245</v>
      </c>
      <c r="O751" s="120">
        <f>NETWORKDAYS.INTL(K751,N751,1,$AM$2:$AM$10)-1</f>
        <v>2</v>
      </c>
      <c r="P751" s="114" t="s">
        <v>81</v>
      </c>
      <c r="Q751" s="114" t="s">
        <v>79</v>
      </c>
      <c r="R751" s="115"/>
      <c r="S751" s="145">
        <v>441</v>
      </c>
      <c r="T751" s="148" t="s">
        <v>2776</v>
      </c>
      <c r="U751" s="147">
        <v>5</v>
      </c>
      <c r="V751" s="121">
        <v>492</v>
      </c>
      <c r="W751" s="121">
        <v>2445</v>
      </c>
      <c r="X751" s="114" t="s">
        <v>84</v>
      </c>
      <c r="Y751" s="115" t="s">
        <v>85</v>
      </c>
      <c r="Z751" s="115" t="s">
        <v>2723</v>
      </c>
      <c r="AA751" s="113" t="s">
        <v>87</v>
      </c>
      <c r="AB751" s="122">
        <v>572.38</v>
      </c>
      <c r="AC751" s="122">
        <f>IF(C751="DENALI", AB751*0.495, IF(C751="SCHNEIDER ELECTRIC", AB751*1.136, IF(C751="WWT", AB751*1.2, AC751)))+AB751</f>
        <v>855.70810000000006</v>
      </c>
      <c r="AD751" s="129">
        <f>AC751-AB751</f>
        <v>283.32810000000006</v>
      </c>
      <c r="AE751" s="122">
        <v>190671.54</v>
      </c>
      <c r="AF751" s="130">
        <f>AB751/U751</f>
        <v>114.476</v>
      </c>
      <c r="AG751" s="130">
        <f>AB751/V751</f>
        <v>1.1633739837398374</v>
      </c>
      <c r="AH751" s="123">
        <f>AB751/S751</f>
        <v>1.2979138321995465</v>
      </c>
      <c r="AI751" s="124" t="s">
        <v>147</v>
      </c>
      <c r="AJ751" s="125" t="s">
        <v>343</v>
      </c>
      <c r="AK751"/>
      <c r="AM751" s="80"/>
    </row>
    <row r="752" spans="1:39" ht="28.5" customHeight="1">
      <c r="A752" s="113" t="s">
        <v>73</v>
      </c>
      <c r="B752" s="114" t="s">
        <v>74</v>
      </c>
      <c r="C752" s="113" t="s">
        <v>35</v>
      </c>
      <c r="D752" s="113" t="s">
        <v>218</v>
      </c>
      <c r="E752" s="115" t="s">
        <v>2034</v>
      </c>
      <c r="F752" s="113" t="s">
        <v>213</v>
      </c>
      <c r="G752" s="116" t="s">
        <v>2777</v>
      </c>
      <c r="H752" s="79">
        <v>46251</v>
      </c>
      <c r="I752" s="114" t="s">
        <v>79</v>
      </c>
      <c r="J752" s="117" t="s">
        <v>2778</v>
      </c>
      <c r="K752" s="118">
        <v>46241</v>
      </c>
      <c r="L752" s="114" t="s">
        <v>81</v>
      </c>
      <c r="M752" s="119">
        <v>46245</v>
      </c>
      <c r="N752" s="128">
        <v>46245</v>
      </c>
      <c r="O752" s="120">
        <f>NETWORKDAYS.INTL(K752,N752,1,$AM$2:$AM$10)-1</f>
        <v>2</v>
      </c>
      <c r="P752" s="114" t="s">
        <v>81</v>
      </c>
      <c r="Q752" s="114" t="s">
        <v>79</v>
      </c>
      <c r="R752" s="115"/>
      <c r="S752" s="145">
        <v>655</v>
      </c>
      <c r="T752" s="148" t="s">
        <v>2037</v>
      </c>
      <c r="U752" s="147">
        <v>2</v>
      </c>
      <c r="V752" s="121">
        <v>2100</v>
      </c>
      <c r="W752" s="121">
        <v>1140</v>
      </c>
      <c r="X752" s="114" t="s">
        <v>84</v>
      </c>
      <c r="Y752" s="115" t="s">
        <v>85</v>
      </c>
      <c r="Z752" s="115" t="s">
        <v>86</v>
      </c>
      <c r="AA752" s="113" t="s">
        <v>87</v>
      </c>
      <c r="AB752" s="122">
        <v>414.76</v>
      </c>
      <c r="AC752" s="122">
        <f>IF(C752="DENALI", AB752*0.495, IF(C752="SCHNEIDER ELECTRIC", AB752*1.136, IF(C752="WWT", AB752*1.2, AC752)))+AB752</f>
        <v>620.06619999999998</v>
      </c>
      <c r="AD752" s="129">
        <f>AC752-AB752</f>
        <v>205.30619999999999</v>
      </c>
      <c r="AE752" s="122">
        <v>38199</v>
      </c>
      <c r="AF752" s="130">
        <f>AB752/U752</f>
        <v>207.38</v>
      </c>
      <c r="AG752" s="130">
        <f>AB752/V752</f>
        <v>0.19750476190476191</v>
      </c>
      <c r="AH752" s="123">
        <f>AB752/S752</f>
        <v>0.63322137404580148</v>
      </c>
      <c r="AI752" s="124" t="s">
        <v>1044</v>
      </c>
      <c r="AJ752" s="125" t="s">
        <v>349</v>
      </c>
      <c r="AK752"/>
      <c r="AM752" s="80"/>
    </row>
    <row r="753" spans="1:39" ht="28.5" customHeight="1">
      <c r="A753" s="113" t="s">
        <v>73</v>
      </c>
      <c r="B753" s="114" t="s">
        <v>74</v>
      </c>
      <c r="C753" s="113" t="s">
        <v>35</v>
      </c>
      <c r="D753" s="113" t="s">
        <v>99</v>
      </c>
      <c r="E753" s="115" t="s">
        <v>1736</v>
      </c>
      <c r="F753" s="113" t="s">
        <v>90</v>
      </c>
      <c r="G753" s="116" t="s">
        <v>2779</v>
      </c>
      <c r="H753" s="79">
        <v>46251</v>
      </c>
      <c r="I753" s="114" t="s">
        <v>79</v>
      </c>
      <c r="J753" s="117" t="s">
        <v>2780</v>
      </c>
      <c r="K753" s="118">
        <v>46241</v>
      </c>
      <c r="L753" s="114" t="s">
        <v>81</v>
      </c>
      <c r="M753" s="119">
        <v>46245</v>
      </c>
      <c r="N753" s="128">
        <v>46245</v>
      </c>
      <c r="O753" s="120">
        <f>NETWORKDAYS.INTL(K753,N753,1,$AM$2:$AM$10)-1</f>
        <v>2</v>
      </c>
      <c r="P753" s="114" t="s">
        <v>81</v>
      </c>
      <c r="Q753" s="114" t="s">
        <v>79</v>
      </c>
      <c r="R753" s="115"/>
      <c r="S753" s="145">
        <v>825</v>
      </c>
      <c r="T753" s="148" t="s">
        <v>2781</v>
      </c>
      <c r="U753" s="147">
        <v>3</v>
      </c>
      <c r="V753" s="121">
        <v>152</v>
      </c>
      <c r="W753" s="121">
        <v>1405</v>
      </c>
      <c r="X753" s="114" t="s">
        <v>84</v>
      </c>
      <c r="Y753" s="115" t="s">
        <v>85</v>
      </c>
      <c r="Z753" s="115" t="s">
        <v>2782</v>
      </c>
      <c r="AA753" s="113" t="s">
        <v>87</v>
      </c>
      <c r="AB753" s="122">
        <v>500.71</v>
      </c>
      <c r="AC753" s="122">
        <f>IF(C753="DENALI", AB753*0.495, IF(C753="SCHNEIDER ELECTRIC", AB753*1.136, IF(C753="WWT", AB753*1.2, AC753)))+AB753</f>
        <v>748.56144999999992</v>
      </c>
      <c r="AD753" s="129">
        <f>AC753-AB753</f>
        <v>247.85144999999994</v>
      </c>
      <c r="AE753" s="122">
        <v>17623.04</v>
      </c>
      <c r="AF753" s="130">
        <f>AB753/U753</f>
        <v>166.90333333333334</v>
      </c>
      <c r="AG753" s="130">
        <f>AB753/V753</f>
        <v>3.2941447368421053</v>
      </c>
      <c r="AH753" s="123">
        <f>AB753/S753</f>
        <v>0.60692121212121208</v>
      </c>
      <c r="AI753" s="124" t="s">
        <v>147</v>
      </c>
      <c r="AJ753" s="125" t="s">
        <v>343</v>
      </c>
      <c r="AK753"/>
      <c r="AM753" s="80"/>
    </row>
    <row r="754" spans="1:39" ht="28.5" customHeight="1">
      <c r="A754" s="113" t="s">
        <v>73</v>
      </c>
      <c r="B754" s="114" t="s">
        <v>74</v>
      </c>
      <c r="C754" s="113" t="s">
        <v>35</v>
      </c>
      <c r="D754" s="113" t="s">
        <v>99</v>
      </c>
      <c r="E754" s="115" t="s">
        <v>580</v>
      </c>
      <c r="F754" s="113" t="s">
        <v>92</v>
      </c>
      <c r="G754" s="116" t="s">
        <v>2783</v>
      </c>
      <c r="H754" s="79">
        <v>46251</v>
      </c>
      <c r="I754" s="114" t="s">
        <v>79</v>
      </c>
      <c r="J754" s="117" t="s">
        <v>2784</v>
      </c>
      <c r="K754" s="118">
        <v>46241</v>
      </c>
      <c r="L754" s="114" t="s">
        <v>81</v>
      </c>
      <c r="M754" s="119">
        <v>46248</v>
      </c>
      <c r="N754" s="128">
        <v>46248</v>
      </c>
      <c r="O754" s="120">
        <f>NETWORKDAYS.INTL(K754,N754,1,$AM$2:$AM$10)-1</f>
        <v>5</v>
      </c>
      <c r="P754" s="114" t="s">
        <v>81</v>
      </c>
      <c r="Q754" s="114" t="s">
        <v>79</v>
      </c>
      <c r="R754" s="115"/>
      <c r="S754" s="145">
        <v>2353</v>
      </c>
      <c r="T754" s="148" t="s">
        <v>2293</v>
      </c>
      <c r="U754" s="147">
        <v>2</v>
      </c>
      <c r="V754" s="121">
        <v>63</v>
      </c>
      <c r="W754" s="121">
        <v>1030</v>
      </c>
      <c r="X754" s="114" t="s">
        <v>84</v>
      </c>
      <c r="Y754" s="115" t="s">
        <v>85</v>
      </c>
      <c r="Z754" s="115" t="s">
        <v>86</v>
      </c>
      <c r="AA754" s="113" t="s">
        <v>87</v>
      </c>
      <c r="AB754" s="122">
        <v>429.18</v>
      </c>
      <c r="AC754" s="122">
        <f>IF(C754="DENALI", AB754*0.495, IF(C754="SCHNEIDER ELECTRIC", AB754*1.136, IF(C754="WWT", AB754*1.2, AC754)))+AB754</f>
        <v>641.6241</v>
      </c>
      <c r="AD754" s="129">
        <f>AC754-AB754</f>
        <v>212.44409999999999</v>
      </c>
      <c r="AE754" s="122">
        <v>83072.149999999994</v>
      </c>
      <c r="AF754" s="130">
        <f>AB754/U754</f>
        <v>214.59</v>
      </c>
      <c r="AG754" s="130">
        <f>AB754/V754</f>
        <v>6.8123809523809529</v>
      </c>
      <c r="AH754" s="123">
        <f>AB754/S754</f>
        <v>0.18239694007649809</v>
      </c>
      <c r="AI754" s="124" t="s">
        <v>622</v>
      </c>
      <c r="AJ754" s="125" t="s">
        <v>349</v>
      </c>
      <c r="AK754"/>
      <c r="AM754" s="80"/>
    </row>
    <row r="755" spans="1:39" ht="28.5" customHeight="1">
      <c r="A755" s="113" t="s">
        <v>73</v>
      </c>
      <c r="B755" s="114" t="s">
        <v>140</v>
      </c>
      <c r="C755" s="113" t="s">
        <v>35</v>
      </c>
      <c r="D755" s="113" t="s">
        <v>218</v>
      </c>
      <c r="E755" s="115" t="s">
        <v>141</v>
      </c>
      <c r="F755" s="113" t="s">
        <v>142</v>
      </c>
      <c r="G755" s="116" t="s">
        <v>2785</v>
      </c>
      <c r="H755" s="79">
        <v>46251</v>
      </c>
      <c r="I755" s="114" t="s">
        <v>79</v>
      </c>
      <c r="J755" s="117" t="s">
        <v>2786</v>
      </c>
      <c r="K755" s="118">
        <v>46244</v>
      </c>
      <c r="L755" s="114" t="s">
        <v>81</v>
      </c>
      <c r="M755" s="119">
        <v>46245</v>
      </c>
      <c r="N755" s="128">
        <v>46246</v>
      </c>
      <c r="O755" s="120">
        <f>NETWORKDAYS.INTL(K755,N755,1,$AM$2:$AM$10)-1</f>
        <v>2</v>
      </c>
      <c r="P755" s="114" t="s">
        <v>81</v>
      </c>
      <c r="Q755" s="114" t="s">
        <v>79</v>
      </c>
      <c r="R755" s="115"/>
      <c r="S755" s="145">
        <v>441</v>
      </c>
      <c r="T755" s="148" t="s">
        <v>2787</v>
      </c>
      <c r="U755" s="147">
        <v>4</v>
      </c>
      <c r="V755" s="121">
        <v>2976</v>
      </c>
      <c r="W755" s="121">
        <v>3070</v>
      </c>
      <c r="X755" s="114" t="s">
        <v>84</v>
      </c>
      <c r="Y755" s="115" t="s">
        <v>85</v>
      </c>
      <c r="Z755" s="115" t="s">
        <v>2723</v>
      </c>
      <c r="AA755" s="113" t="s">
        <v>87</v>
      </c>
      <c r="AB755" s="122">
        <v>546.98</v>
      </c>
      <c r="AC755" s="122">
        <f>IF(C755="DENALI", AB755*0.495, IF(C755="SCHNEIDER ELECTRIC", AB755*1.136, IF(C755="WWT", AB755*1.2, AC755)))+AB755</f>
        <v>817.7351000000001</v>
      </c>
      <c r="AD755" s="129">
        <f>AC755-AB755</f>
        <v>270.75510000000008</v>
      </c>
      <c r="AE755" s="122">
        <v>222336.48</v>
      </c>
      <c r="AF755" s="130">
        <f>AB755/U755</f>
        <v>136.745</v>
      </c>
      <c r="AG755" s="130">
        <f>AB755/V755</f>
        <v>0.1837970430107527</v>
      </c>
      <c r="AH755" s="123">
        <f>AB755/S755</f>
        <v>1.2403174603174603</v>
      </c>
      <c r="AI755" s="124" t="s">
        <v>155</v>
      </c>
      <c r="AJ755" s="125" t="s">
        <v>89</v>
      </c>
      <c r="AK755"/>
      <c r="AM755" s="80"/>
    </row>
    <row r="756" spans="1:39" ht="28.5" customHeight="1">
      <c r="A756" s="113" t="s">
        <v>73</v>
      </c>
      <c r="B756" s="114" t="s">
        <v>74</v>
      </c>
      <c r="C756" s="113" t="s">
        <v>227</v>
      </c>
      <c r="D756" s="113" t="s">
        <v>228</v>
      </c>
      <c r="E756" s="115" t="s">
        <v>1262</v>
      </c>
      <c r="F756" s="113" t="s">
        <v>92</v>
      </c>
      <c r="G756" s="116" t="s">
        <v>2788</v>
      </c>
      <c r="H756" s="79">
        <v>46251</v>
      </c>
      <c r="I756" s="114" t="s">
        <v>79</v>
      </c>
      <c r="J756" s="117" t="s">
        <v>2789</v>
      </c>
      <c r="K756" s="118">
        <v>46244</v>
      </c>
      <c r="L756" s="114" t="s">
        <v>81</v>
      </c>
      <c r="M756" s="119">
        <v>46246</v>
      </c>
      <c r="N756" s="128">
        <v>46246</v>
      </c>
      <c r="O756" s="120">
        <f>NETWORKDAYS.INTL(K756,N756,1,$AM$2:$AM$10)-1</f>
        <v>2</v>
      </c>
      <c r="P756" s="114" t="s">
        <v>81</v>
      </c>
      <c r="Q756" s="114" t="s">
        <v>79</v>
      </c>
      <c r="R756" s="115"/>
      <c r="S756" s="145">
        <v>931.3</v>
      </c>
      <c r="T756" s="148" t="s">
        <v>2790</v>
      </c>
      <c r="U756" s="147">
        <v>1</v>
      </c>
      <c r="V756" s="121">
        <v>650</v>
      </c>
      <c r="W756" s="121">
        <v>309</v>
      </c>
      <c r="X756" s="114" t="s">
        <v>84</v>
      </c>
      <c r="Y756" s="115" t="s">
        <v>85</v>
      </c>
      <c r="Z756" s="115" t="s">
        <v>2791</v>
      </c>
      <c r="AA756" s="113" t="s">
        <v>87</v>
      </c>
      <c r="AB756" s="122">
        <v>260.17</v>
      </c>
      <c r="AC756" s="122">
        <f>IF(C756="DENALI", AB756*0.495, IF(C756="SCHNEIDER ELECTRIC", AB756*1.136, IF(C756="WWT", AB756*1.2, AC756)))+AB756</f>
        <v>572.37400000000002</v>
      </c>
      <c r="AD756" s="129">
        <f>AC756-AB756</f>
        <v>312.20400000000001</v>
      </c>
      <c r="AE756" s="122">
        <v>124722.06</v>
      </c>
      <c r="AF756" s="130">
        <f>AB756/U756</f>
        <v>260.17</v>
      </c>
      <c r="AG756" s="130">
        <f>AB756/V756</f>
        <v>0.4002615384615385</v>
      </c>
      <c r="AH756" s="123">
        <f>AB756/S756</f>
        <v>0.27936218189627404</v>
      </c>
      <c r="AI756" s="124" t="s">
        <v>147</v>
      </c>
      <c r="AJ756" s="125" t="s">
        <v>343</v>
      </c>
      <c r="AK756"/>
      <c r="AM756" s="80"/>
    </row>
    <row r="757" spans="1:39" ht="28.5" customHeight="1">
      <c r="A757" s="113" t="s">
        <v>73</v>
      </c>
      <c r="B757" s="114" t="s">
        <v>74</v>
      </c>
      <c r="C757" s="113" t="s">
        <v>35</v>
      </c>
      <c r="D757" s="113" t="s">
        <v>99</v>
      </c>
      <c r="E757" s="115" t="s">
        <v>1086</v>
      </c>
      <c r="F757" s="113" t="s">
        <v>218</v>
      </c>
      <c r="G757" s="116">
        <v>23819512</v>
      </c>
      <c r="H757" s="79">
        <v>46251</v>
      </c>
      <c r="I757" s="114" t="s">
        <v>79</v>
      </c>
      <c r="J757" s="150" t="s">
        <v>2792</v>
      </c>
      <c r="K757" s="118">
        <v>46244</v>
      </c>
      <c r="L757" s="114" t="s">
        <v>81</v>
      </c>
      <c r="M757" s="119">
        <v>46247</v>
      </c>
      <c r="N757" s="128">
        <v>46247</v>
      </c>
      <c r="O757" s="120">
        <f>NETWORKDAYS.INTL(K757,N757,1,$AM$2:$AM$10)-1</f>
        <v>3</v>
      </c>
      <c r="P757" s="114" t="s">
        <v>81</v>
      </c>
      <c r="Q757" s="114" t="s">
        <v>79</v>
      </c>
      <c r="R757" s="169"/>
      <c r="S757" s="145">
        <v>2266.5</v>
      </c>
      <c r="T757" s="148" t="s">
        <v>2793</v>
      </c>
      <c r="U757" s="147">
        <v>3</v>
      </c>
      <c r="V757" s="121">
        <v>3</v>
      </c>
      <c r="W757" s="121">
        <v>1470</v>
      </c>
      <c r="X757" s="114" t="s">
        <v>113</v>
      </c>
      <c r="Y757" s="115" t="s">
        <v>85</v>
      </c>
      <c r="Z757" s="115" t="s">
        <v>1243</v>
      </c>
      <c r="AA757" s="113" t="s">
        <v>87</v>
      </c>
      <c r="AB757" s="122">
        <v>4936.8500000000004</v>
      </c>
      <c r="AC757" s="122">
        <f>IF(C757="DENALI", AB757*0.495, IF(C757="SCHNEIDER ELECTRIC", AB757*1.136, IF(C757="WWT", AB757*1.2, AC757)))+AB757</f>
        <v>7380.5907500000003</v>
      </c>
      <c r="AD757" s="129">
        <f>AC757-AB757</f>
        <v>2443.7407499999999</v>
      </c>
      <c r="AE757" s="122">
        <v>20135.439999999999</v>
      </c>
      <c r="AF757" s="130">
        <f>AB757/U757</f>
        <v>1645.6166666666668</v>
      </c>
      <c r="AG757" s="130">
        <f>AB757/V757</f>
        <v>1645.6166666666668</v>
      </c>
      <c r="AH757" s="123">
        <f>AB757/S757</f>
        <v>2.1781822192808296</v>
      </c>
      <c r="AI757" s="124" t="s">
        <v>97</v>
      </c>
      <c r="AJ757" s="125" t="s">
        <v>349</v>
      </c>
      <c r="AK757"/>
      <c r="AM757" s="80"/>
    </row>
    <row r="758" spans="1:39" ht="28.5" customHeight="1">
      <c r="A758" s="113" t="s">
        <v>73</v>
      </c>
      <c r="B758" s="114" t="s">
        <v>74</v>
      </c>
      <c r="C758" s="113" t="s">
        <v>35</v>
      </c>
      <c r="D758" s="113" t="s">
        <v>99</v>
      </c>
      <c r="E758" s="115" t="s">
        <v>2596</v>
      </c>
      <c r="F758" s="113" t="s">
        <v>457</v>
      </c>
      <c r="G758" s="116" t="s">
        <v>2794</v>
      </c>
      <c r="H758" s="79">
        <v>46251</v>
      </c>
      <c r="I758" s="114" t="s">
        <v>79</v>
      </c>
      <c r="J758" s="151" t="s">
        <v>2795</v>
      </c>
      <c r="K758" s="149">
        <v>46244</v>
      </c>
      <c r="L758" s="114" t="s">
        <v>79</v>
      </c>
      <c r="M758" s="119">
        <v>46251</v>
      </c>
      <c r="N758" s="128">
        <v>46259</v>
      </c>
      <c r="O758" s="120">
        <f>NETWORKDAYS.INTL(K758,N758,1,$AM$2:$AM$10)-1</f>
        <v>11</v>
      </c>
      <c r="P758" s="114" t="s">
        <v>79</v>
      </c>
      <c r="Q758" s="167" t="s">
        <v>81</v>
      </c>
      <c r="R758" s="175" t="s">
        <v>2796</v>
      </c>
      <c r="S758" s="168">
        <v>2575</v>
      </c>
      <c r="T758" s="148" t="s">
        <v>2599</v>
      </c>
      <c r="U758" s="147">
        <v>1</v>
      </c>
      <c r="V758" s="121">
        <v>4</v>
      </c>
      <c r="W758" s="121">
        <v>350</v>
      </c>
      <c r="X758" s="114" t="s">
        <v>84</v>
      </c>
      <c r="Y758" s="115" t="s">
        <v>85</v>
      </c>
      <c r="Z758" s="115" t="s">
        <v>2585</v>
      </c>
      <c r="AA758" s="113" t="s">
        <v>87</v>
      </c>
      <c r="AB758" s="122">
        <v>653.78</v>
      </c>
      <c r="AC758" s="122">
        <f>IF(C758="DENALI", AB758*0.495, IF(C758="SCHNEIDER ELECTRIC", AB758*1.136, IF(C758="WWT", AB758*1.2, AC758)))+AB758</f>
        <v>977.40109999999993</v>
      </c>
      <c r="AD758" s="129">
        <f>AC758-AB758</f>
        <v>323.62109999999996</v>
      </c>
      <c r="AE758" s="122">
        <v>814.04</v>
      </c>
      <c r="AF758" s="130">
        <f>AB758/U758</f>
        <v>653.78</v>
      </c>
      <c r="AG758" s="130">
        <f>AB758/V758</f>
        <v>163.44499999999999</v>
      </c>
      <c r="AH758" s="123">
        <f>AB758/S758</f>
        <v>0.25389514563106796</v>
      </c>
      <c r="AI758" s="124" t="s">
        <v>155</v>
      </c>
      <c r="AJ758" s="125" t="s">
        <v>89</v>
      </c>
      <c r="AK758"/>
      <c r="AM758" s="80"/>
    </row>
    <row r="759" spans="1:39" ht="28.5" customHeight="1">
      <c r="A759" s="113" t="s">
        <v>73</v>
      </c>
      <c r="B759" s="114" t="s">
        <v>74</v>
      </c>
      <c r="C759" s="113" t="s">
        <v>227</v>
      </c>
      <c r="D759" s="113" t="s">
        <v>228</v>
      </c>
      <c r="E759" s="115" t="s">
        <v>2797</v>
      </c>
      <c r="F759" s="113" t="s">
        <v>272</v>
      </c>
      <c r="G759" s="116" t="s">
        <v>2798</v>
      </c>
      <c r="H759" s="79">
        <v>46252</v>
      </c>
      <c r="I759" s="114" t="s">
        <v>79</v>
      </c>
      <c r="J759" s="159" t="s">
        <v>2799</v>
      </c>
      <c r="K759" s="118">
        <v>46245</v>
      </c>
      <c r="L759" s="114" t="s">
        <v>81</v>
      </c>
      <c r="M759" s="119">
        <v>46247</v>
      </c>
      <c r="N759" s="128">
        <v>46247</v>
      </c>
      <c r="O759" s="120">
        <f>NETWORKDAYS.INTL(K759,N759,1,$AM$2:$AM$10)-1</f>
        <v>2</v>
      </c>
      <c r="P759" s="114" t="s">
        <v>81</v>
      </c>
      <c r="Q759" s="114" t="s">
        <v>79</v>
      </c>
      <c r="R759" s="176"/>
      <c r="S759" s="145">
        <v>577.29999999999995</v>
      </c>
      <c r="T759" s="148" t="s">
        <v>2800</v>
      </c>
      <c r="U759" s="147">
        <v>1</v>
      </c>
      <c r="V759" s="121">
        <v>515</v>
      </c>
      <c r="W759" s="121">
        <v>257</v>
      </c>
      <c r="X759" s="114" t="s">
        <v>84</v>
      </c>
      <c r="Y759" s="115" t="s">
        <v>85</v>
      </c>
      <c r="Z759" s="115" t="s">
        <v>1540</v>
      </c>
      <c r="AA759" s="113" t="s">
        <v>87</v>
      </c>
      <c r="AB759" s="122">
        <v>198.79</v>
      </c>
      <c r="AC759" s="122">
        <f>IF(C759="DENALI", AB759*0.495, IF(C759="SCHNEIDER ELECTRIC", AB759*1.136, IF(C759="WWT", AB759*1.2, AC759)))+AB759</f>
        <v>437.33799999999997</v>
      </c>
      <c r="AD759" s="129">
        <f>AC759-AB759</f>
        <v>238.54799999999997</v>
      </c>
      <c r="AE759" s="122">
        <v>75185.3</v>
      </c>
      <c r="AF759" s="130">
        <f>AB759/U759</f>
        <v>198.79</v>
      </c>
      <c r="AG759" s="130">
        <f>AB759/V759</f>
        <v>0.38600000000000001</v>
      </c>
      <c r="AH759" s="123">
        <f>AB759/S759</f>
        <v>0.34434436168369997</v>
      </c>
      <c r="AI759" s="124" t="s">
        <v>183</v>
      </c>
      <c r="AJ759" s="125" t="s">
        <v>343</v>
      </c>
      <c r="AK759"/>
      <c r="AM759" s="80"/>
    </row>
    <row r="760" spans="1:39" ht="28.5" customHeight="1">
      <c r="A760" s="113" t="s">
        <v>73</v>
      </c>
      <c r="B760" s="114" t="s">
        <v>74</v>
      </c>
      <c r="C760" s="113" t="s">
        <v>36</v>
      </c>
      <c r="D760" s="113" t="s">
        <v>75</v>
      </c>
      <c r="E760" s="115" t="s">
        <v>2534</v>
      </c>
      <c r="F760" s="113" t="s">
        <v>272</v>
      </c>
      <c r="G760" s="116" t="s">
        <v>2801</v>
      </c>
      <c r="H760" s="79">
        <v>46252</v>
      </c>
      <c r="I760" s="114" t="s">
        <v>79</v>
      </c>
      <c r="J760" s="117" t="s">
        <v>2802</v>
      </c>
      <c r="K760" s="118">
        <v>46245</v>
      </c>
      <c r="L760" s="114" t="s">
        <v>79</v>
      </c>
      <c r="M760" s="119">
        <v>46247</v>
      </c>
      <c r="N760" s="128">
        <v>46253</v>
      </c>
      <c r="O760" s="120">
        <f>NETWORKDAYS.INTL(K760,N760,1,$AM$2:$AM$10)-1</f>
        <v>6</v>
      </c>
      <c r="P760" s="114" t="s">
        <v>81</v>
      </c>
      <c r="Q760" s="114" t="s">
        <v>79</v>
      </c>
      <c r="R760" s="115"/>
      <c r="S760" s="145">
        <v>626</v>
      </c>
      <c r="T760" s="148" t="s">
        <v>2803</v>
      </c>
      <c r="U760" s="147">
        <v>4</v>
      </c>
      <c r="V760" s="121">
        <v>42</v>
      </c>
      <c r="W760" s="121">
        <v>3393</v>
      </c>
      <c r="X760" s="114" t="s">
        <v>84</v>
      </c>
      <c r="Y760" s="115" t="s">
        <v>85</v>
      </c>
      <c r="Z760" s="115" t="s">
        <v>86</v>
      </c>
      <c r="AA760" s="113" t="s">
        <v>87</v>
      </c>
      <c r="AB760" s="122">
        <v>502.14</v>
      </c>
      <c r="AC760" s="122">
        <f>IF(C760="DENALI", AB760*0.495, IF(C760="SCHNEIDER ELECTRIC", AB760*1.136, IF(C760="WWT", AB760*1.2, AC760)))+AB760</f>
        <v>1072.5710399999998</v>
      </c>
      <c r="AD760" s="129">
        <f>AC760-AB760</f>
        <v>570.43103999999983</v>
      </c>
      <c r="AE760" s="122">
        <v>20857.2</v>
      </c>
      <c r="AF760" s="130">
        <f>AB760/U760</f>
        <v>125.535</v>
      </c>
      <c r="AG760" s="130">
        <f>AB760/V760</f>
        <v>11.955714285714285</v>
      </c>
      <c r="AH760" s="123">
        <f>AB760/S760</f>
        <v>0.80214057507987213</v>
      </c>
      <c r="AI760" s="124" t="s">
        <v>155</v>
      </c>
      <c r="AJ760" s="125" t="s">
        <v>98</v>
      </c>
      <c r="AK760"/>
      <c r="AM760" s="80"/>
    </row>
    <row r="761" spans="1:39" ht="28.5" customHeight="1">
      <c r="A761" s="113" t="s">
        <v>73</v>
      </c>
      <c r="B761" s="114" t="s">
        <v>74</v>
      </c>
      <c r="C761" s="113" t="s">
        <v>36</v>
      </c>
      <c r="D761" s="113" t="s">
        <v>75</v>
      </c>
      <c r="E761" s="115" t="s">
        <v>2804</v>
      </c>
      <c r="F761" s="113" t="s">
        <v>109</v>
      </c>
      <c r="G761" s="116" t="s">
        <v>2785</v>
      </c>
      <c r="H761" s="79">
        <v>46252</v>
      </c>
      <c r="I761" s="114" t="s">
        <v>79</v>
      </c>
      <c r="J761" s="117" t="s">
        <v>2805</v>
      </c>
      <c r="K761" s="118">
        <v>46245</v>
      </c>
      <c r="L761" s="114" t="s">
        <v>81</v>
      </c>
      <c r="M761" s="119">
        <v>46247</v>
      </c>
      <c r="N761" s="128">
        <v>46247</v>
      </c>
      <c r="O761" s="120">
        <f>NETWORKDAYS.INTL(K761,N761,1,$AM$2:$AM$10)-1</f>
        <v>2</v>
      </c>
      <c r="P761" s="114" t="s">
        <v>81</v>
      </c>
      <c r="Q761" s="114" t="s">
        <v>79</v>
      </c>
      <c r="R761" s="115"/>
      <c r="S761" s="145">
        <v>937</v>
      </c>
      <c r="T761" s="148" t="s">
        <v>2806</v>
      </c>
      <c r="U761" s="147">
        <v>1</v>
      </c>
      <c r="V761" s="121">
        <v>9</v>
      </c>
      <c r="W761" s="121">
        <v>733</v>
      </c>
      <c r="X761" s="114" t="s">
        <v>84</v>
      </c>
      <c r="Y761" s="115" t="s">
        <v>85</v>
      </c>
      <c r="Z761" s="115" t="s">
        <v>86</v>
      </c>
      <c r="AA761" s="113" t="s">
        <v>87</v>
      </c>
      <c r="AB761" s="122">
        <v>293.93</v>
      </c>
      <c r="AC761" s="122">
        <f>IF(C761="DENALI", AB761*0.495, IF(C761="SCHNEIDER ELECTRIC", AB761*1.136, IF(C761="WWT", AB761*1.2, AC761)))+AB761</f>
        <v>627.83447999999999</v>
      </c>
      <c r="AD761" s="129">
        <f>AC761-AB761</f>
        <v>333.90447999999998</v>
      </c>
      <c r="AE761" s="122">
        <v>4469.3999999999996</v>
      </c>
      <c r="AF761" s="130">
        <f>AB761/U761</f>
        <v>293.93</v>
      </c>
      <c r="AG761" s="130">
        <f>AB761/V761</f>
        <v>32.658888888888889</v>
      </c>
      <c r="AH761" s="123">
        <f>AB761/S761</f>
        <v>0.31369263607257203</v>
      </c>
      <c r="AI761" s="124" t="s">
        <v>97</v>
      </c>
      <c r="AJ761" s="125" t="s">
        <v>98</v>
      </c>
      <c r="AK761"/>
      <c r="AM761" s="80"/>
    </row>
    <row r="762" spans="1:39" ht="28.5" customHeight="1">
      <c r="A762" s="113" t="s">
        <v>73</v>
      </c>
      <c r="B762" s="114" t="s">
        <v>74</v>
      </c>
      <c r="C762" s="113" t="s">
        <v>227</v>
      </c>
      <c r="D762" s="113" t="s">
        <v>228</v>
      </c>
      <c r="E762" s="115" t="s">
        <v>1881</v>
      </c>
      <c r="F762" s="113" t="s">
        <v>218</v>
      </c>
      <c r="G762" s="116" t="s">
        <v>2807</v>
      </c>
      <c r="H762" s="79">
        <v>46252</v>
      </c>
      <c r="I762" s="114" t="s">
        <v>79</v>
      </c>
      <c r="J762" s="117" t="s">
        <v>2808</v>
      </c>
      <c r="K762" s="118">
        <v>46245</v>
      </c>
      <c r="L762" s="114" t="s">
        <v>81</v>
      </c>
      <c r="M762" s="119">
        <v>46246</v>
      </c>
      <c r="N762" s="128">
        <v>46246</v>
      </c>
      <c r="O762" s="120">
        <f>NETWORKDAYS.INTL(K762,N762,1,$AM$2:$AM$10)-1</f>
        <v>1</v>
      </c>
      <c r="P762" s="114" t="s">
        <v>81</v>
      </c>
      <c r="Q762" s="114" t="s">
        <v>79</v>
      </c>
      <c r="R762" s="115"/>
      <c r="S762" s="145">
        <v>243</v>
      </c>
      <c r="T762" s="148" t="s">
        <v>2809</v>
      </c>
      <c r="U762" s="147">
        <v>1</v>
      </c>
      <c r="V762" s="121">
        <v>647</v>
      </c>
      <c r="W762" s="121">
        <v>304</v>
      </c>
      <c r="X762" s="114" t="s">
        <v>84</v>
      </c>
      <c r="Y762" s="115" t="s">
        <v>85</v>
      </c>
      <c r="Z762" s="115" t="s">
        <v>2723</v>
      </c>
      <c r="AA762" s="113" t="s">
        <v>87</v>
      </c>
      <c r="AB762" s="122">
        <v>165.75</v>
      </c>
      <c r="AC762" s="122">
        <f>IF(C762="DENALI", AB762*0.495, IF(C762="SCHNEIDER ELECTRIC", AB762*1.136, IF(C762="WWT", AB762*1.2, AC762)))+AB762</f>
        <v>364.65</v>
      </c>
      <c r="AD762" s="129">
        <f>AC762-AB762</f>
        <v>198.89999999999998</v>
      </c>
      <c r="AE762" s="122">
        <v>90102.81</v>
      </c>
      <c r="AF762" s="130">
        <f>AB762/U762</f>
        <v>165.75</v>
      </c>
      <c r="AG762" s="130">
        <f>AB762/V762</f>
        <v>0.25618238021638329</v>
      </c>
      <c r="AH762" s="123">
        <f>AB762/S762</f>
        <v>0.6820987654320988</v>
      </c>
      <c r="AI762" s="124" t="s">
        <v>147</v>
      </c>
      <c r="AJ762" s="125" t="s">
        <v>343</v>
      </c>
      <c r="AK762"/>
      <c r="AM762" s="80"/>
    </row>
    <row r="763" spans="1:39" ht="28.5" customHeight="1">
      <c r="A763" s="113" t="s">
        <v>73</v>
      </c>
      <c r="B763" s="114" t="s">
        <v>140</v>
      </c>
      <c r="C763" s="113" t="s">
        <v>2210</v>
      </c>
      <c r="D763" s="113" t="s">
        <v>90</v>
      </c>
      <c r="E763" s="115" t="s">
        <v>1190</v>
      </c>
      <c r="F763" s="113" t="s">
        <v>90</v>
      </c>
      <c r="G763" s="116">
        <v>23809942</v>
      </c>
      <c r="H763" s="79">
        <v>46251</v>
      </c>
      <c r="I763" s="114" t="s">
        <v>81</v>
      </c>
      <c r="J763" s="117" t="s">
        <v>2810</v>
      </c>
      <c r="K763" s="118">
        <v>46241</v>
      </c>
      <c r="L763" s="114" t="s">
        <v>81</v>
      </c>
      <c r="M763" s="119">
        <v>46242</v>
      </c>
      <c r="N763" s="128">
        <v>46242</v>
      </c>
      <c r="O763" s="120">
        <f>NETWORKDAYS.INTL(K763,N763,1,$AM$2:$AM$10)-1</f>
        <v>0</v>
      </c>
      <c r="P763" s="114" t="s">
        <v>81</v>
      </c>
      <c r="Q763" s="114" t="s">
        <v>79</v>
      </c>
      <c r="R763" s="115"/>
      <c r="S763" s="145">
        <v>229</v>
      </c>
      <c r="T763" s="148" t="s">
        <v>2686</v>
      </c>
      <c r="U763" s="147">
        <v>3</v>
      </c>
      <c r="V763" s="121">
        <v>233</v>
      </c>
      <c r="W763" s="121">
        <v>1285</v>
      </c>
      <c r="X763" s="114" t="s">
        <v>2213</v>
      </c>
      <c r="Y763" s="115" t="s">
        <v>85</v>
      </c>
      <c r="Z763" s="115" t="s">
        <v>2687</v>
      </c>
      <c r="AA763" s="113" t="s">
        <v>87</v>
      </c>
      <c r="AB763" s="122">
        <v>1171</v>
      </c>
      <c r="AC763" s="122">
        <v>3500</v>
      </c>
      <c r="AD763" s="129">
        <f>AC763-AB763</f>
        <v>2329</v>
      </c>
      <c r="AE763" s="122">
        <v>90856.02</v>
      </c>
      <c r="AF763" s="130">
        <f>AB763/U763</f>
        <v>390.33333333333331</v>
      </c>
      <c r="AG763" s="130">
        <f>AB763/V763</f>
        <v>5.0257510729613735</v>
      </c>
      <c r="AH763" s="123">
        <f>AB763/S763</f>
        <v>5.1135371179039302</v>
      </c>
      <c r="AI763" s="124" t="s">
        <v>97</v>
      </c>
      <c r="AJ763" s="125" t="s">
        <v>2446</v>
      </c>
      <c r="AK763"/>
      <c r="AM763" s="80"/>
    </row>
    <row r="764" spans="1:39" ht="28.5" customHeight="1">
      <c r="A764" s="113" t="s">
        <v>73</v>
      </c>
      <c r="B764" s="114" t="s">
        <v>74</v>
      </c>
      <c r="C764" s="113" t="s">
        <v>36</v>
      </c>
      <c r="D764" s="113" t="s">
        <v>90</v>
      </c>
      <c r="E764" s="115" t="s">
        <v>2338</v>
      </c>
      <c r="F764" s="113" t="s">
        <v>585</v>
      </c>
      <c r="G764" s="116" t="s">
        <v>2811</v>
      </c>
      <c r="H764" s="79">
        <v>46251</v>
      </c>
      <c r="I764" s="114" t="s">
        <v>79</v>
      </c>
      <c r="J764" s="117" t="s">
        <v>2812</v>
      </c>
      <c r="K764" s="118">
        <v>46245</v>
      </c>
      <c r="L764" s="114" t="s">
        <v>81</v>
      </c>
      <c r="M764" s="119">
        <v>46248</v>
      </c>
      <c r="N764" s="128">
        <v>46247</v>
      </c>
      <c r="O764" s="120">
        <f>NETWORKDAYS.INTL(K764,N764,1,$AM$2:$AM$10)-1</f>
        <v>2</v>
      </c>
      <c r="P764" s="114" t="s">
        <v>81</v>
      </c>
      <c r="Q764" s="114" t="s">
        <v>79</v>
      </c>
      <c r="R764" s="115"/>
      <c r="S764" s="145">
        <v>340</v>
      </c>
      <c r="T764" s="148" t="s">
        <v>2813</v>
      </c>
      <c r="U764" s="147">
        <v>1</v>
      </c>
      <c r="V764" s="121">
        <v>7</v>
      </c>
      <c r="W764" s="121">
        <v>387</v>
      </c>
      <c r="X764" s="114" t="s">
        <v>84</v>
      </c>
      <c r="Y764" s="115" t="s">
        <v>85</v>
      </c>
      <c r="Z764" s="115" t="s">
        <v>86</v>
      </c>
      <c r="AA764" s="113" t="s">
        <v>87</v>
      </c>
      <c r="AB764" s="122">
        <v>408.3</v>
      </c>
      <c r="AC764" s="122">
        <f>IF(C764="DENALI", AB764*0.495, IF(C764="SCHNEIDER ELECTRIC", AB764*1.136, IF(C764="WWT", AB764*1.2, AC764)))+AB764</f>
        <v>872.12879999999996</v>
      </c>
      <c r="AD764" s="129">
        <f>AC764-AB764</f>
        <v>463.82879999999994</v>
      </c>
      <c r="AE764" s="122">
        <v>3439.23</v>
      </c>
      <c r="AF764" s="130">
        <f>AB764/U764</f>
        <v>408.3</v>
      </c>
      <c r="AG764" s="130">
        <f>AB764/V764</f>
        <v>58.328571428571429</v>
      </c>
      <c r="AH764" s="123">
        <f>AB764/S764</f>
        <v>1.2008823529411765</v>
      </c>
      <c r="AI764" s="124" t="s">
        <v>622</v>
      </c>
      <c r="AJ764" s="125" t="s">
        <v>98</v>
      </c>
      <c r="AK764"/>
      <c r="AM764" s="80"/>
    </row>
    <row r="765" spans="1:39" ht="28.5" customHeight="1">
      <c r="A765" s="113" t="s">
        <v>73</v>
      </c>
      <c r="B765" s="114" t="s">
        <v>74</v>
      </c>
      <c r="C765" s="113" t="s">
        <v>35</v>
      </c>
      <c r="D765" s="113" t="s">
        <v>99</v>
      </c>
      <c r="E765" s="115" t="s">
        <v>2814</v>
      </c>
      <c r="F765" s="113" t="s">
        <v>207</v>
      </c>
      <c r="G765" s="116" t="s">
        <v>2815</v>
      </c>
      <c r="H765" s="79">
        <v>46251</v>
      </c>
      <c r="I765" s="114" t="s">
        <v>79</v>
      </c>
      <c r="J765" s="117" t="s">
        <v>2816</v>
      </c>
      <c r="K765" s="118">
        <v>46245</v>
      </c>
      <c r="L765" s="114" t="s">
        <v>81</v>
      </c>
      <c r="M765" s="119">
        <v>46248</v>
      </c>
      <c r="N765" s="128">
        <v>46251</v>
      </c>
      <c r="O765" s="120">
        <f>NETWORKDAYS.INTL(K765,N765,1,$AM$2:$AM$10)-1</f>
        <v>4</v>
      </c>
      <c r="P765" s="114" t="s">
        <v>81</v>
      </c>
      <c r="Q765" s="114" t="s">
        <v>79</v>
      </c>
      <c r="R765" s="115"/>
      <c r="S765" s="145">
        <v>2418</v>
      </c>
      <c r="T765" s="148" t="s">
        <v>2817</v>
      </c>
      <c r="U765" s="147">
        <v>1</v>
      </c>
      <c r="V765" s="121">
        <v>52</v>
      </c>
      <c r="W765" s="121">
        <v>1050</v>
      </c>
      <c r="X765" s="114" t="s">
        <v>84</v>
      </c>
      <c r="Y765" s="115" t="s">
        <v>85</v>
      </c>
      <c r="Z765" s="115" t="s">
        <v>86</v>
      </c>
      <c r="AA765" s="113" t="s">
        <v>87</v>
      </c>
      <c r="AB765" s="122">
        <v>440.94</v>
      </c>
      <c r="AC765" s="122">
        <f>IF(C765="DENALI", AB765*0.495, IF(C765="SCHNEIDER ELECTRIC", AB765*1.136, IF(C765="WWT", AB765*1.2, AC765)))+AB765</f>
        <v>659.20529999999997</v>
      </c>
      <c r="AD765" s="129">
        <f>AC765-AB765</f>
        <v>218.26529999999997</v>
      </c>
      <c r="AE765" s="122">
        <v>100325.68</v>
      </c>
      <c r="AF765" s="130">
        <f>AB765/U765</f>
        <v>440.94</v>
      </c>
      <c r="AG765" s="130">
        <f>AB765/V765</f>
        <v>8.4796153846153839</v>
      </c>
      <c r="AH765" s="123">
        <f>AB765/S765</f>
        <v>0.18235732009925559</v>
      </c>
      <c r="AI765" s="124" t="s">
        <v>97</v>
      </c>
      <c r="AJ765" s="125" t="s">
        <v>349</v>
      </c>
      <c r="AK765"/>
      <c r="AM765" s="80"/>
    </row>
    <row r="766" spans="1:39" ht="28.5" customHeight="1">
      <c r="A766" s="113" t="s">
        <v>73</v>
      </c>
      <c r="B766" s="114" t="s">
        <v>74</v>
      </c>
      <c r="C766" s="113" t="s">
        <v>36</v>
      </c>
      <c r="D766" s="113" t="s">
        <v>90</v>
      </c>
      <c r="E766" s="115" t="s">
        <v>2818</v>
      </c>
      <c r="F766" s="113" t="s">
        <v>162</v>
      </c>
      <c r="G766" s="116" t="s">
        <v>2819</v>
      </c>
      <c r="H766" s="79">
        <v>46252</v>
      </c>
      <c r="I766" s="114" t="s">
        <v>79</v>
      </c>
      <c r="J766" s="150" t="s">
        <v>2820</v>
      </c>
      <c r="K766" s="118">
        <v>46245</v>
      </c>
      <c r="L766" s="114" t="s">
        <v>81</v>
      </c>
      <c r="M766" s="119">
        <v>46246</v>
      </c>
      <c r="N766" s="128">
        <v>46246</v>
      </c>
      <c r="O766" s="120">
        <f>NETWORKDAYS.INTL(K766,N766,1,$AM$2:$AM$10)-1</f>
        <v>1</v>
      </c>
      <c r="P766" s="114" t="s">
        <v>81</v>
      </c>
      <c r="Q766" s="114" t="s">
        <v>79</v>
      </c>
      <c r="R766" s="169"/>
      <c r="S766" s="145">
        <v>242</v>
      </c>
      <c r="T766" s="148" t="s">
        <v>2821</v>
      </c>
      <c r="U766" s="147">
        <v>1</v>
      </c>
      <c r="V766" s="121">
        <v>10</v>
      </c>
      <c r="W766" s="121">
        <v>1050</v>
      </c>
      <c r="X766" s="114" t="s">
        <v>84</v>
      </c>
      <c r="Y766" s="115" t="s">
        <v>85</v>
      </c>
      <c r="Z766" s="115" t="s">
        <v>86</v>
      </c>
      <c r="AA766" s="113" t="s">
        <v>87</v>
      </c>
      <c r="AB766" s="122">
        <v>310.20999999999998</v>
      </c>
      <c r="AC766" s="122">
        <f>IF(C766="DENALI", AB766*0.495, IF(C766="SCHNEIDER ELECTRIC", AB766*1.136, IF(C766="WWT", AB766*1.2, AC766)))+AB766</f>
        <v>662.6085599999999</v>
      </c>
      <c r="AD766" s="129">
        <f>AC766-AB766</f>
        <v>352.39855999999992</v>
      </c>
      <c r="AE766" s="122">
        <v>19099.599999999999</v>
      </c>
      <c r="AF766" s="130">
        <f>AB766/U766</f>
        <v>310.20999999999998</v>
      </c>
      <c r="AG766" s="130">
        <f>AB766/V766</f>
        <v>31.020999999999997</v>
      </c>
      <c r="AH766" s="123">
        <f>AB766/S766</f>
        <v>1.2818595041322314</v>
      </c>
      <c r="AI766" s="124" t="s">
        <v>97</v>
      </c>
      <c r="AJ766" s="125" t="s">
        <v>2267</v>
      </c>
      <c r="AK766"/>
      <c r="AM766" s="80"/>
    </row>
    <row r="767" spans="1:39" ht="28.5" customHeight="1">
      <c r="A767" s="113" t="s">
        <v>73</v>
      </c>
      <c r="B767" s="114" t="s">
        <v>140</v>
      </c>
      <c r="C767" s="113" t="s">
        <v>227</v>
      </c>
      <c r="D767" s="113" t="s">
        <v>228</v>
      </c>
      <c r="E767" s="115" t="s">
        <v>1453</v>
      </c>
      <c r="F767" s="113" t="s">
        <v>142</v>
      </c>
      <c r="G767" s="116" t="s">
        <v>2822</v>
      </c>
      <c r="H767" s="79">
        <v>46253</v>
      </c>
      <c r="I767" s="114" t="s">
        <v>79</v>
      </c>
      <c r="J767" s="151">
        <v>34913734</v>
      </c>
      <c r="K767" s="149">
        <v>46246</v>
      </c>
      <c r="L767" s="114" t="s">
        <v>79</v>
      </c>
      <c r="M767" s="119">
        <v>46247</v>
      </c>
      <c r="N767" s="128">
        <v>46258</v>
      </c>
      <c r="O767" s="120">
        <f>NETWORKDAYS.INTL(K767,N767,1,$AM$2:$AM$10)-1</f>
        <v>8</v>
      </c>
      <c r="P767" s="114" t="s">
        <v>79</v>
      </c>
      <c r="Q767" s="167" t="s">
        <v>81</v>
      </c>
      <c r="R767" s="175" t="s">
        <v>2823</v>
      </c>
      <c r="S767" s="168">
        <v>326.10000000000002</v>
      </c>
      <c r="T767" s="148" t="s">
        <v>2824</v>
      </c>
      <c r="U767" s="147">
        <v>1</v>
      </c>
      <c r="V767" s="121">
        <v>521</v>
      </c>
      <c r="W767" s="121">
        <v>350</v>
      </c>
      <c r="X767" s="114" t="s">
        <v>84</v>
      </c>
      <c r="Y767" s="115" t="s">
        <v>85</v>
      </c>
      <c r="Z767" s="115" t="s">
        <v>2723</v>
      </c>
      <c r="AA767" s="113" t="s">
        <v>87</v>
      </c>
      <c r="AB767" s="122">
        <v>217.08</v>
      </c>
      <c r="AC767" s="122">
        <f>IF(C767="DENALI", AB767*0.495, IF(C767="SCHNEIDER ELECTRIC", AB767*1.136, IF(C767="WWT", AB767*1.2, AC767)))+AB767</f>
        <v>477.57600000000002</v>
      </c>
      <c r="AD767" s="129">
        <f>AC767-AB767</f>
        <v>260.49599999999998</v>
      </c>
      <c r="AE767" s="122">
        <v>96255.84</v>
      </c>
      <c r="AF767" s="130">
        <f>AB767/U767</f>
        <v>217.08</v>
      </c>
      <c r="AG767" s="130">
        <f>AB767/V767</f>
        <v>0.41666026871401152</v>
      </c>
      <c r="AH767" s="123">
        <f>AB767/S767</f>
        <v>0.66568537258509664</v>
      </c>
      <c r="AI767" s="124" t="s">
        <v>97</v>
      </c>
      <c r="AJ767" s="125" t="s">
        <v>349</v>
      </c>
      <c r="AK767"/>
      <c r="AM767" s="80"/>
    </row>
    <row r="768" spans="1:39" ht="28.5" customHeight="1">
      <c r="A768" s="113" t="s">
        <v>73</v>
      </c>
      <c r="B768" s="114" t="s">
        <v>74</v>
      </c>
      <c r="C768" s="113" t="s">
        <v>35</v>
      </c>
      <c r="D768" s="113" t="s">
        <v>99</v>
      </c>
      <c r="E768" s="115" t="s">
        <v>2825</v>
      </c>
      <c r="F768" s="113" t="s">
        <v>131</v>
      </c>
      <c r="G768" s="116">
        <v>23845288</v>
      </c>
      <c r="H768" s="79">
        <v>46253</v>
      </c>
      <c r="I768" s="114" t="s">
        <v>79</v>
      </c>
      <c r="J768" s="159" t="s">
        <v>2826</v>
      </c>
      <c r="K768" s="118">
        <v>46247</v>
      </c>
      <c r="L768" s="114" t="s">
        <v>81</v>
      </c>
      <c r="M768" s="119">
        <v>46251</v>
      </c>
      <c r="N768" s="128">
        <v>46251</v>
      </c>
      <c r="O768" s="120">
        <f>NETWORKDAYS.INTL(K768,N768,1,$AM$2:$AM$10)-1</f>
        <v>2</v>
      </c>
      <c r="P768" s="114" t="s">
        <v>81</v>
      </c>
      <c r="Q768" s="114" t="s">
        <v>79</v>
      </c>
      <c r="R768" s="176"/>
      <c r="S768" s="145">
        <v>3063</v>
      </c>
      <c r="T768" s="148" t="s">
        <v>2827</v>
      </c>
      <c r="U768" s="147">
        <v>8</v>
      </c>
      <c r="V768" s="121">
        <v>8</v>
      </c>
      <c r="W768" s="121">
        <v>5680</v>
      </c>
      <c r="X768" s="114" t="s">
        <v>113</v>
      </c>
      <c r="Y768" s="115" t="s">
        <v>85</v>
      </c>
      <c r="Z768" s="115" t="s">
        <v>1243</v>
      </c>
      <c r="AA768" s="113" t="s">
        <v>87</v>
      </c>
      <c r="AB768" s="122">
        <v>7828.94</v>
      </c>
      <c r="AC768" s="122">
        <f>IF(C768="DENALI", AB768*0.495, IF(C768="SCHNEIDER ELECTRIC", AB768*1.136, IF(C768="WWT", AB768*1.2, AC768)))+AB768</f>
        <v>11704.265299999999</v>
      </c>
      <c r="AD768" s="129">
        <f>AC768-AB768</f>
        <v>3875.3252999999995</v>
      </c>
      <c r="AE768" s="122">
        <v>69428.240000000005</v>
      </c>
      <c r="AF768" s="130">
        <f>AB768/U768</f>
        <v>978.61749999999995</v>
      </c>
      <c r="AG768" s="130">
        <f>AB768/V768</f>
        <v>978.61749999999995</v>
      </c>
      <c r="AH768" s="123">
        <f>AB768/S768</f>
        <v>2.5559712699967352</v>
      </c>
      <c r="AI768" s="124" t="s">
        <v>437</v>
      </c>
      <c r="AJ768" s="125" t="s">
        <v>107</v>
      </c>
      <c r="AK768"/>
      <c r="AM768" s="80"/>
    </row>
    <row r="769" spans="1:39" ht="28.5" customHeight="1">
      <c r="A769" s="113" t="s">
        <v>73</v>
      </c>
      <c r="B769" s="114" t="s">
        <v>2828</v>
      </c>
      <c r="C769" s="113" t="s">
        <v>1066</v>
      </c>
      <c r="D769" s="113" t="s">
        <v>370</v>
      </c>
      <c r="E769" s="115" t="s">
        <v>883</v>
      </c>
      <c r="F769" s="113" t="s">
        <v>254</v>
      </c>
      <c r="G769" s="116">
        <v>23845306</v>
      </c>
      <c r="H769" s="79">
        <v>46253</v>
      </c>
      <c r="I769" s="114" t="s">
        <v>81</v>
      </c>
      <c r="J769" s="117" t="s">
        <v>2829</v>
      </c>
      <c r="K769" s="118">
        <v>46246</v>
      </c>
      <c r="L769" s="114" t="s">
        <v>81</v>
      </c>
      <c r="M769" s="119">
        <v>46246</v>
      </c>
      <c r="N769" s="128">
        <v>46246</v>
      </c>
      <c r="O769" s="120">
        <f>NETWORKDAYS.INTL(K769,N769,1,$AM$2:$AM$10)-1</f>
        <v>0</v>
      </c>
      <c r="P769" s="114" t="s">
        <v>81</v>
      </c>
      <c r="Q769" s="114" t="s">
        <v>79</v>
      </c>
      <c r="R769" s="115"/>
      <c r="S769" s="145">
        <v>123</v>
      </c>
      <c r="T769" s="148" t="s">
        <v>2830</v>
      </c>
      <c r="U769" s="147">
        <v>1</v>
      </c>
      <c r="V769" s="121">
        <v>97</v>
      </c>
      <c r="W769" s="121">
        <v>485</v>
      </c>
      <c r="X769" s="114" t="s">
        <v>113</v>
      </c>
      <c r="Y769" s="115" t="s">
        <v>85</v>
      </c>
      <c r="Z769" s="115" t="s">
        <v>2831</v>
      </c>
      <c r="AA769" s="113" t="s">
        <v>87</v>
      </c>
      <c r="AB769" s="122">
        <v>950</v>
      </c>
      <c r="AC769" s="122">
        <v>2500</v>
      </c>
      <c r="AD769" s="129">
        <f>AC769-AB769</f>
        <v>1550</v>
      </c>
      <c r="AE769" s="122">
        <v>63544.7</v>
      </c>
      <c r="AF769" s="130">
        <f>AB769/U769</f>
        <v>950</v>
      </c>
      <c r="AG769" s="130">
        <f>AB769/V769</f>
        <v>9.7938144329896915</v>
      </c>
      <c r="AH769" s="123">
        <f>AB769/S769</f>
        <v>7.7235772357723578</v>
      </c>
      <c r="AI769" s="124">
        <v>1290</v>
      </c>
      <c r="AJ769" s="125" t="s">
        <v>2216</v>
      </c>
      <c r="AK769"/>
      <c r="AM769" s="80"/>
    </row>
    <row r="770" spans="1:39" ht="28.5" customHeight="1">
      <c r="A770" s="113" t="s">
        <v>73</v>
      </c>
      <c r="B770" s="114" t="s">
        <v>74</v>
      </c>
      <c r="C770" s="113" t="s">
        <v>36</v>
      </c>
      <c r="D770" s="113" t="s">
        <v>90</v>
      </c>
      <c r="E770" s="115" t="s">
        <v>193</v>
      </c>
      <c r="F770" s="113" t="s">
        <v>92</v>
      </c>
      <c r="G770" s="116" t="s">
        <v>2832</v>
      </c>
      <c r="H770" s="79">
        <v>46254</v>
      </c>
      <c r="I770" s="114" t="s">
        <v>79</v>
      </c>
      <c r="J770" s="117" t="s">
        <v>2833</v>
      </c>
      <c r="K770" s="118">
        <v>46246</v>
      </c>
      <c r="L770" s="114" t="s">
        <v>81</v>
      </c>
      <c r="M770" s="119">
        <v>46252</v>
      </c>
      <c r="N770" s="128">
        <v>46252</v>
      </c>
      <c r="O770" s="120">
        <f>NETWORKDAYS.INTL(K770,N770,1,$AM$2:$AM$10)-1</f>
        <v>4</v>
      </c>
      <c r="P770" s="114" t="s">
        <v>81</v>
      </c>
      <c r="Q770" s="114" t="s">
        <v>79</v>
      </c>
      <c r="R770" s="115"/>
      <c r="S770" s="145">
        <v>1511</v>
      </c>
      <c r="T770" s="148" t="s">
        <v>2834</v>
      </c>
      <c r="U770" s="147">
        <v>1</v>
      </c>
      <c r="V770" s="121">
        <v>4</v>
      </c>
      <c r="W770" s="121">
        <v>348</v>
      </c>
      <c r="X770" s="114" t="s">
        <v>84</v>
      </c>
      <c r="Y770" s="115" t="s">
        <v>85</v>
      </c>
      <c r="Z770" s="115" t="s">
        <v>1173</v>
      </c>
      <c r="AA770" s="113" t="s">
        <v>87</v>
      </c>
      <c r="AB770" s="122">
        <v>438.71</v>
      </c>
      <c r="AC770" s="122">
        <f>IF(C770="DENALI", AB770*0.495, IF(C770="SCHNEIDER ELECTRIC", AB770*1.136, IF(C770="WWT", AB770*1.2, AC770)))+AB770</f>
        <v>937.0845599999999</v>
      </c>
      <c r="AD770" s="129">
        <f>AC770-AB770</f>
        <v>498.37455999999992</v>
      </c>
      <c r="AE770" s="122">
        <v>1986.4</v>
      </c>
      <c r="AF770" s="130">
        <f>AB770/U770</f>
        <v>438.71</v>
      </c>
      <c r="AG770" s="130">
        <f>AB770/V770</f>
        <v>109.67749999999999</v>
      </c>
      <c r="AH770" s="123">
        <f>AB770/S770</f>
        <v>0.29034414295168759</v>
      </c>
      <c r="AI770" s="124" t="s">
        <v>97</v>
      </c>
      <c r="AJ770" s="125" t="s">
        <v>2267</v>
      </c>
      <c r="AK770"/>
      <c r="AM770" s="80"/>
    </row>
    <row r="771" spans="1:39" ht="28.5" customHeight="1">
      <c r="A771" s="113" t="s">
        <v>73</v>
      </c>
      <c r="B771" s="114" t="s">
        <v>74</v>
      </c>
      <c r="C771" s="113" t="s">
        <v>36</v>
      </c>
      <c r="D771" s="113" t="s">
        <v>90</v>
      </c>
      <c r="E771" s="115" t="s">
        <v>2835</v>
      </c>
      <c r="F771" s="113" t="s">
        <v>92</v>
      </c>
      <c r="G771" s="116" t="s">
        <v>2836</v>
      </c>
      <c r="H771" s="79">
        <v>46255</v>
      </c>
      <c r="I771" s="114" t="s">
        <v>79</v>
      </c>
      <c r="J771" s="117" t="s">
        <v>2837</v>
      </c>
      <c r="K771" s="118">
        <v>46247</v>
      </c>
      <c r="L771" s="114" t="s">
        <v>79</v>
      </c>
      <c r="M771" s="119">
        <v>46252</v>
      </c>
      <c r="N771" s="128">
        <v>46253</v>
      </c>
      <c r="O771" s="120">
        <f>NETWORKDAYS.INTL(K771,N771,1,$AM$2:$AM$10)-1</f>
        <v>4</v>
      </c>
      <c r="P771" s="114" t="s">
        <v>81</v>
      </c>
      <c r="Q771" s="114" t="s">
        <v>79</v>
      </c>
      <c r="R771" s="115"/>
      <c r="S771" s="145">
        <v>1319.9</v>
      </c>
      <c r="T771" s="148" t="s">
        <v>2838</v>
      </c>
      <c r="U771" s="147">
        <v>1</v>
      </c>
      <c r="V771" s="121">
        <v>2</v>
      </c>
      <c r="W771" s="121">
        <v>194</v>
      </c>
      <c r="X771" s="114" t="s">
        <v>84</v>
      </c>
      <c r="Y771" s="115" t="s">
        <v>85</v>
      </c>
      <c r="Z771" s="115" t="s">
        <v>86</v>
      </c>
      <c r="AA771" s="113" t="s">
        <v>87</v>
      </c>
      <c r="AB771" s="122">
        <v>344.44</v>
      </c>
      <c r="AC771" s="122">
        <f>IF(C771="DENALI", AB771*0.495, IF(C771="SCHNEIDER ELECTRIC", AB771*1.136, IF(C771="WWT", AB771*1.2, AC771)))+AB771</f>
        <v>735.72383999999988</v>
      </c>
      <c r="AD771" s="129">
        <f>AC771-AB771</f>
        <v>391.28383999999988</v>
      </c>
      <c r="AE771" s="122">
        <v>993.2</v>
      </c>
      <c r="AF771" s="130">
        <f>AB771/U771</f>
        <v>344.44</v>
      </c>
      <c r="AG771" s="130">
        <f>AB771/V771</f>
        <v>172.22</v>
      </c>
      <c r="AH771" s="123">
        <f>AB771/S771</f>
        <v>0.26095916357299792</v>
      </c>
      <c r="AI771" s="124" t="s">
        <v>97</v>
      </c>
      <c r="AJ771" s="125" t="s">
        <v>2839</v>
      </c>
      <c r="AK771"/>
      <c r="AM771" s="80"/>
    </row>
    <row r="772" spans="1:39" ht="28.5" customHeight="1">
      <c r="A772" s="113" t="s">
        <v>73</v>
      </c>
      <c r="B772" s="114" t="s">
        <v>140</v>
      </c>
      <c r="C772" s="113" t="s">
        <v>35</v>
      </c>
      <c r="D772" s="113" t="s">
        <v>218</v>
      </c>
      <c r="E772" s="115" t="s">
        <v>141</v>
      </c>
      <c r="F772" s="113" t="s">
        <v>142</v>
      </c>
      <c r="G772" s="116" t="s">
        <v>2840</v>
      </c>
      <c r="H772" s="79">
        <v>46255</v>
      </c>
      <c r="I772" s="114" t="s">
        <v>79</v>
      </c>
      <c r="J772" s="117" t="s">
        <v>2841</v>
      </c>
      <c r="K772" s="118">
        <v>46247</v>
      </c>
      <c r="L772" s="114" t="s">
        <v>81</v>
      </c>
      <c r="M772" s="119">
        <v>46248</v>
      </c>
      <c r="N772" s="128">
        <v>46252</v>
      </c>
      <c r="O772" s="120">
        <f>NETWORKDAYS.INTL(K772,N772,1,$AM$2:$AM$10)-1</f>
        <v>3</v>
      </c>
      <c r="P772" s="114" t="s">
        <v>81</v>
      </c>
      <c r="Q772" s="114" t="s">
        <v>79</v>
      </c>
      <c r="R772" s="115"/>
      <c r="S772" s="145">
        <v>441</v>
      </c>
      <c r="T772" s="148" t="s">
        <v>2842</v>
      </c>
      <c r="U772" s="147">
        <v>6</v>
      </c>
      <c r="V772" s="121">
        <v>2343</v>
      </c>
      <c r="W772" s="121">
        <v>5860</v>
      </c>
      <c r="X772" s="114" t="s">
        <v>84</v>
      </c>
      <c r="Y772" s="115" t="s">
        <v>85</v>
      </c>
      <c r="Z772" s="115" t="s">
        <v>2723</v>
      </c>
      <c r="AA772" s="113" t="s">
        <v>87</v>
      </c>
      <c r="AB772" s="122">
        <v>865.04</v>
      </c>
      <c r="AC772" s="122">
        <f>IF(C772="DENALI", AB772*0.495, IF(C772="SCHNEIDER ELECTRIC", AB772*1.136, IF(C772="WWT", AB772*1.2, AC772)))+AB772</f>
        <v>1293.2348</v>
      </c>
      <c r="AD772" s="129">
        <f>AC772-AB772</f>
        <v>428.19479999999999</v>
      </c>
      <c r="AE772" s="122">
        <v>5875.22</v>
      </c>
      <c r="AF772" s="130">
        <f>AB772/U772</f>
        <v>144.17333333333332</v>
      </c>
      <c r="AG772" s="130">
        <f>AB772/V772</f>
        <v>0.36920187793427228</v>
      </c>
      <c r="AH772" s="123">
        <f>AB772/S772</f>
        <v>1.9615419501133786</v>
      </c>
      <c r="AI772" s="124" t="s">
        <v>97</v>
      </c>
      <c r="AJ772" s="125" t="s">
        <v>349</v>
      </c>
      <c r="AK772"/>
      <c r="AM772" s="80"/>
    </row>
    <row r="773" spans="1:39" ht="28.5" customHeight="1">
      <c r="A773" s="113" t="s">
        <v>73</v>
      </c>
      <c r="B773" s="114" t="s">
        <v>74</v>
      </c>
      <c r="C773" s="113" t="s">
        <v>35</v>
      </c>
      <c r="D773" s="113" t="s">
        <v>218</v>
      </c>
      <c r="E773" s="115" t="s">
        <v>1086</v>
      </c>
      <c r="F773" s="113" t="s">
        <v>218</v>
      </c>
      <c r="G773" s="116" t="s">
        <v>2843</v>
      </c>
      <c r="H773" s="79">
        <v>46255</v>
      </c>
      <c r="I773" s="114" t="s">
        <v>79</v>
      </c>
      <c r="J773" s="117" t="s">
        <v>2844</v>
      </c>
      <c r="K773" s="118">
        <v>46247</v>
      </c>
      <c r="L773" s="114" t="s">
        <v>81</v>
      </c>
      <c r="M773" s="119">
        <v>46248</v>
      </c>
      <c r="N773" s="128">
        <v>46251</v>
      </c>
      <c r="O773" s="120">
        <f>NETWORKDAYS.INTL(K773,N773,1,$AM$2:$AM$10)-1</f>
        <v>2</v>
      </c>
      <c r="P773" s="114" t="s">
        <v>81</v>
      </c>
      <c r="Q773" s="114" t="s">
        <v>79</v>
      </c>
      <c r="R773" s="115"/>
      <c r="S773" s="145">
        <v>132</v>
      </c>
      <c r="T773" s="148" t="s">
        <v>1539</v>
      </c>
      <c r="U773" s="147">
        <v>1</v>
      </c>
      <c r="V773" s="121">
        <v>3</v>
      </c>
      <c r="W773" s="121">
        <v>485</v>
      </c>
      <c r="X773" s="114" t="s">
        <v>84</v>
      </c>
      <c r="Y773" s="115" t="s">
        <v>85</v>
      </c>
      <c r="Z773" s="115" t="s">
        <v>86</v>
      </c>
      <c r="AA773" s="113" t="s">
        <v>87</v>
      </c>
      <c r="AB773" s="122">
        <v>204.05</v>
      </c>
      <c r="AC773" s="122">
        <f>IF(C773="DENALI", AB773*0.495, IF(C773="SCHNEIDER ELECTRIC", AB773*1.136, IF(C773="WWT", AB773*1.2, AC773)))+AB773</f>
        <v>305.05475000000001</v>
      </c>
      <c r="AD773" s="129">
        <f>AC773-AB773</f>
        <v>101.00475</v>
      </c>
      <c r="AE773" s="122">
        <v>2367</v>
      </c>
      <c r="AF773" s="130">
        <f>AB773/U773</f>
        <v>204.05</v>
      </c>
      <c r="AG773" s="130">
        <f>AB773/V773</f>
        <v>68.016666666666666</v>
      </c>
      <c r="AH773" s="123">
        <f>AB773/S773</f>
        <v>1.5458333333333334</v>
      </c>
      <c r="AI773" s="124" t="s">
        <v>97</v>
      </c>
      <c r="AJ773" s="125" t="s">
        <v>349</v>
      </c>
      <c r="AK773"/>
      <c r="AM773" s="80"/>
    </row>
    <row r="774" spans="1:39" ht="28.5" customHeight="1">
      <c r="A774" s="113" t="s">
        <v>73</v>
      </c>
      <c r="B774" s="114" t="s">
        <v>74</v>
      </c>
      <c r="C774" s="113" t="s">
        <v>35</v>
      </c>
      <c r="D774" s="113" t="s">
        <v>218</v>
      </c>
      <c r="E774" s="115" t="s">
        <v>1876</v>
      </c>
      <c r="F774" s="113" t="s">
        <v>228</v>
      </c>
      <c r="G774" s="116" t="s">
        <v>2845</v>
      </c>
      <c r="H774" s="79">
        <v>46255</v>
      </c>
      <c r="I774" s="114" t="s">
        <v>79</v>
      </c>
      <c r="J774" s="117" t="s">
        <v>2846</v>
      </c>
      <c r="K774" s="118">
        <v>46247</v>
      </c>
      <c r="L774" s="114" t="s">
        <v>79</v>
      </c>
      <c r="M774" s="119">
        <v>46248</v>
      </c>
      <c r="N774" s="128">
        <v>46251</v>
      </c>
      <c r="O774" s="120">
        <f>NETWORKDAYS.INTL(K774,N774,1,$AM$2:$AM$10)-1</f>
        <v>2</v>
      </c>
      <c r="P774" s="114" t="s">
        <v>81</v>
      </c>
      <c r="Q774" s="114" t="s">
        <v>79</v>
      </c>
      <c r="R774" s="115"/>
      <c r="S774" s="145">
        <v>380</v>
      </c>
      <c r="T774" s="148" t="s">
        <v>2847</v>
      </c>
      <c r="U774" s="147">
        <v>1</v>
      </c>
      <c r="V774" s="121">
        <v>720</v>
      </c>
      <c r="W774" s="121">
        <v>635</v>
      </c>
      <c r="X774" s="114" t="s">
        <v>84</v>
      </c>
      <c r="Y774" s="115" t="s">
        <v>85</v>
      </c>
      <c r="Z774" s="115" t="s">
        <v>2723</v>
      </c>
      <c r="AA774" s="113" t="s">
        <v>87</v>
      </c>
      <c r="AB774" s="122">
        <v>178.05</v>
      </c>
      <c r="AC774" s="122">
        <f>IF(C774="DENALI", AB774*0.495, IF(C774="SCHNEIDER ELECTRIC", AB774*1.136, IF(C774="WWT", AB774*1.2, AC774)))+AB774</f>
        <v>266.18475000000001</v>
      </c>
      <c r="AD774" s="129">
        <f>AC774-AB774</f>
        <v>88.134749999999997</v>
      </c>
      <c r="AE774" s="122">
        <v>133411.44</v>
      </c>
      <c r="AF774" s="130">
        <f>AB774/U774</f>
        <v>178.05</v>
      </c>
      <c r="AG774" s="130">
        <f>AB774/V774</f>
        <v>0.24729166666666669</v>
      </c>
      <c r="AH774" s="123">
        <f>AB774/S774</f>
        <v>0.46855263157894739</v>
      </c>
      <c r="AI774" s="124" t="s">
        <v>115</v>
      </c>
      <c r="AJ774" s="125" t="s">
        <v>107</v>
      </c>
      <c r="AK774"/>
      <c r="AM774" s="80"/>
    </row>
    <row r="775" spans="1:39" ht="28.5" customHeight="1">
      <c r="A775" s="113" t="s">
        <v>73</v>
      </c>
      <c r="B775" s="114" t="s">
        <v>74</v>
      </c>
      <c r="C775" s="113" t="s">
        <v>35</v>
      </c>
      <c r="D775" s="113" t="s">
        <v>218</v>
      </c>
      <c r="E775" s="115" t="s">
        <v>866</v>
      </c>
      <c r="F775" s="113" t="s">
        <v>90</v>
      </c>
      <c r="G775" s="116" t="s">
        <v>2848</v>
      </c>
      <c r="H775" s="79">
        <v>46255</v>
      </c>
      <c r="I775" s="114" t="s">
        <v>79</v>
      </c>
      <c r="J775" s="117" t="s">
        <v>2849</v>
      </c>
      <c r="K775" s="118">
        <v>46247</v>
      </c>
      <c r="L775" s="114" t="s">
        <v>81</v>
      </c>
      <c r="M775" s="119">
        <v>46253</v>
      </c>
      <c r="N775" s="128">
        <v>46254</v>
      </c>
      <c r="O775" s="120">
        <f>NETWORKDAYS.INTL(K775,N775,1,$AM$2:$AM$10)-1</f>
        <v>5</v>
      </c>
      <c r="P775" s="114" t="s">
        <v>81</v>
      </c>
      <c r="Q775" s="114" t="s">
        <v>79</v>
      </c>
      <c r="R775" s="115"/>
      <c r="S775" s="145">
        <v>2261</v>
      </c>
      <c r="T775" s="148" t="s">
        <v>1819</v>
      </c>
      <c r="U775" s="147">
        <v>4</v>
      </c>
      <c r="V775" s="121">
        <v>1506</v>
      </c>
      <c r="W775" s="121">
        <v>2540</v>
      </c>
      <c r="X775" s="114" t="s">
        <v>84</v>
      </c>
      <c r="Y775" s="115" t="s">
        <v>85</v>
      </c>
      <c r="Z775" s="115" t="s">
        <v>86</v>
      </c>
      <c r="AA775" s="113" t="s">
        <v>87</v>
      </c>
      <c r="AB775" s="122">
        <v>1331.13</v>
      </c>
      <c r="AC775" s="122">
        <f>IF(C775="DENALI", AB775*0.495, IF(C775="SCHNEIDER ELECTRIC", AB775*1.136, IF(C775="WWT", AB775*1.2, AC775)))+AB775</f>
        <v>1990.03935</v>
      </c>
      <c r="AD775" s="129">
        <f>AC775-AB775</f>
        <v>658.9093499999999</v>
      </c>
      <c r="AE775" s="122">
        <v>105891.42</v>
      </c>
      <c r="AF775" s="130">
        <f>AB775/U775</f>
        <v>332.78250000000003</v>
      </c>
      <c r="AG775" s="130">
        <f>AB775/V775</f>
        <v>0.88388446215139449</v>
      </c>
      <c r="AH775" s="123">
        <f>AB775/S775</f>
        <v>0.58873507297655914</v>
      </c>
      <c r="AI775" s="124" t="s">
        <v>1044</v>
      </c>
      <c r="AJ775" s="125" t="s">
        <v>349</v>
      </c>
      <c r="AK775"/>
      <c r="AM775" s="80"/>
    </row>
    <row r="776" spans="1:39" ht="28.5" customHeight="1">
      <c r="A776" s="113" t="s">
        <v>73</v>
      </c>
      <c r="B776" s="114" t="s">
        <v>74</v>
      </c>
      <c r="C776" s="113" t="s">
        <v>35</v>
      </c>
      <c r="D776" s="113" t="s">
        <v>218</v>
      </c>
      <c r="E776" s="115" t="s">
        <v>2027</v>
      </c>
      <c r="F776" s="113" t="s">
        <v>272</v>
      </c>
      <c r="G776" s="116" t="s">
        <v>2850</v>
      </c>
      <c r="H776" s="79">
        <v>46255</v>
      </c>
      <c r="I776" s="114" t="s">
        <v>79</v>
      </c>
      <c r="J776" s="117" t="s">
        <v>2851</v>
      </c>
      <c r="K776" s="118">
        <v>46247</v>
      </c>
      <c r="L776" s="114" t="s">
        <v>81</v>
      </c>
      <c r="M776" s="119">
        <v>46248</v>
      </c>
      <c r="N776" s="128">
        <v>46251</v>
      </c>
      <c r="O776" s="120">
        <f>NETWORKDAYS.INTL(K776,N776,1,$AM$2:$AM$10)-1</f>
        <v>2</v>
      </c>
      <c r="P776" s="114" t="s">
        <v>81</v>
      </c>
      <c r="Q776" s="114" t="s">
        <v>79</v>
      </c>
      <c r="R776" s="115"/>
      <c r="S776" s="145">
        <v>106</v>
      </c>
      <c r="T776" s="148" t="s">
        <v>2030</v>
      </c>
      <c r="U776" s="147">
        <v>1</v>
      </c>
      <c r="V776" s="121">
        <v>800</v>
      </c>
      <c r="W776" s="121">
        <v>450</v>
      </c>
      <c r="X776" s="114" t="s">
        <v>84</v>
      </c>
      <c r="Y776" s="115" t="s">
        <v>85</v>
      </c>
      <c r="Z776" s="115" t="s">
        <v>2723</v>
      </c>
      <c r="AA776" s="113" t="s">
        <v>87</v>
      </c>
      <c r="AB776" s="122">
        <v>185.67</v>
      </c>
      <c r="AC776" s="122">
        <f>IF(C776="DENALI", AB776*0.495, IF(C776="SCHNEIDER ELECTRIC", AB776*1.136, IF(C776="WWT", AB776*1.2, AC776)))+AB776</f>
        <v>277.57664999999997</v>
      </c>
      <c r="AD776" s="129">
        <f>AC776-AB776</f>
        <v>91.906649999999985</v>
      </c>
      <c r="AE776" s="122">
        <v>17342.400000000001</v>
      </c>
      <c r="AF776" s="130">
        <f>AB776/U776</f>
        <v>185.67</v>
      </c>
      <c r="AG776" s="130">
        <f>AB776/V776</f>
        <v>0.23208749999999997</v>
      </c>
      <c r="AH776" s="123">
        <f>AB776/S776</f>
        <v>1.7516037735849055</v>
      </c>
      <c r="AI776" s="124" t="s">
        <v>1044</v>
      </c>
      <c r="AJ776" s="125" t="s">
        <v>349</v>
      </c>
      <c r="AK776"/>
      <c r="AM776" s="80"/>
    </row>
    <row r="777" spans="1:39" ht="28.5" customHeight="1">
      <c r="A777" s="113" t="s">
        <v>73</v>
      </c>
      <c r="B777" s="114" t="s">
        <v>74</v>
      </c>
      <c r="C777" s="113" t="s">
        <v>35</v>
      </c>
      <c r="D777" s="113" t="s">
        <v>218</v>
      </c>
      <c r="E777" s="115" t="s">
        <v>1331</v>
      </c>
      <c r="F777" s="113" t="s">
        <v>396</v>
      </c>
      <c r="G777" s="116" t="s">
        <v>2852</v>
      </c>
      <c r="H777" s="79">
        <v>46255</v>
      </c>
      <c r="I777" s="114" t="s">
        <v>79</v>
      </c>
      <c r="J777" s="117" t="s">
        <v>2853</v>
      </c>
      <c r="K777" s="118">
        <v>46247</v>
      </c>
      <c r="L777" s="114" t="s">
        <v>81</v>
      </c>
      <c r="M777" s="119">
        <v>46251</v>
      </c>
      <c r="N777" s="128">
        <v>46251</v>
      </c>
      <c r="O777" s="120">
        <f>NETWORKDAYS.INTL(K777,N777,1,$AM$2:$AM$10)-1</f>
        <v>2</v>
      </c>
      <c r="P777" s="114" t="s">
        <v>81</v>
      </c>
      <c r="Q777" s="114" t="s">
        <v>79</v>
      </c>
      <c r="R777" s="115"/>
      <c r="S777" s="145">
        <v>636</v>
      </c>
      <c r="T777" s="148" t="s">
        <v>1334</v>
      </c>
      <c r="U777" s="147">
        <v>1</v>
      </c>
      <c r="V777" s="121">
        <v>64</v>
      </c>
      <c r="W777" s="121">
        <v>155</v>
      </c>
      <c r="X777" s="114" t="s">
        <v>84</v>
      </c>
      <c r="Y777" s="115" t="s">
        <v>85</v>
      </c>
      <c r="Z777" s="115" t="s">
        <v>86</v>
      </c>
      <c r="AA777" s="113" t="s">
        <v>87</v>
      </c>
      <c r="AB777" s="122">
        <v>228.65</v>
      </c>
      <c r="AC777" s="122">
        <f>IF(C777="DENALI", AB777*0.495, IF(C777="SCHNEIDER ELECTRIC", AB777*1.136, IF(C777="WWT", AB777*1.2, AC777)))+AB777</f>
        <v>341.83175</v>
      </c>
      <c r="AD777" s="129">
        <f>AC777-AB777</f>
        <v>113.18174999999999</v>
      </c>
      <c r="AE777" s="122">
        <v>37676.800000000003</v>
      </c>
      <c r="AF777" s="130">
        <f>AB777/U777</f>
        <v>228.65</v>
      </c>
      <c r="AG777" s="130">
        <f>AB777/V777</f>
        <v>3.5726562500000001</v>
      </c>
      <c r="AH777" s="123">
        <f>AB777/S777</f>
        <v>0.35951257861635222</v>
      </c>
      <c r="AI777" s="124" t="s">
        <v>1044</v>
      </c>
      <c r="AJ777" s="125" t="s">
        <v>349</v>
      </c>
      <c r="AK777"/>
      <c r="AM777" s="80"/>
    </row>
    <row r="778" spans="1:39" ht="28.5" customHeight="1">
      <c r="A778" s="113" t="s">
        <v>73</v>
      </c>
      <c r="B778" s="114" t="s">
        <v>74</v>
      </c>
      <c r="C778" s="113" t="s">
        <v>35</v>
      </c>
      <c r="D778" s="113" t="s">
        <v>218</v>
      </c>
      <c r="E778" s="115" t="s">
        <v>657</v>
      </c>
      <c r="F778" s="113" t="s">
        <v>644</v>
      </c>
      <c r="G778" s="116" t="s">
        <v>2854</v>
      </c>
      <c r="H778" s="79">
        <v>46255</v>
      </c>
      <c r="I778" s="114" t="s">
        <v>79</v>
      </c>
      <c r="J778" s="117" t="s">
        <v>2855</v>
      </c>
      <c r="K778" s="118">
        <v>46247</v>
      </c>
      <c r="L778" s="114" t="s">
        <v>81</v>
      </c>
      <c r="M778" s="119">
        <v>46248</v>
      </c>
      <c r="N778" s="128">
        <v>46251</v>
      </c>
      <c r="O778" s="120">
        <f>NETWORKDAYS.INTL(K778,N778,1,$AM$2:$AM$10)-1</f>
        <v>2</v>
      </c>
      <c r="P778" s="114" t="s">
        <v>81</v>
      </c>
      <c r="Q778" s="114" t="s">
        <v>79</v>
      </c>
      <c r="R778" s="115"/>
      <c r="S778" s="145">
        <v>317</v>
      </c>
      <c r="T778" s="148" t="s">
        <v>1917</v>
      </c>
      <c r="U778" s="147">
        <v>1</v>
      </c>
      <c r="V778" s="121">
        <v>200</v>
      </c>
      <c r="W778" s="121">
        <v>370</v>
      </c>
      <c r="X778" s="114" t="s">
        <v>84</v>
      </c>
      <c r="Y778" s="115" t="s">
        <v>85</v>
      </c>
      <c r="Z778" s="115" t="s">
        <v>2723</v>
      </c>
      <c r="AA778" s="113" t="s">
        <v>87</v>
      </c>
      <c r="AB778" s="122">
        <v>187.28</v>
      </c>
      <c r="AC778" s="122">
        <f>IF(C778="DENALI", AB778*0.495, IF(C778="SCHNEIDER ELECTRIC", AB778*1.136, IF(C778="WWT", AB778*1.2, AC778)))+AB778</f>
        <v>279.98360000000002</v>
      </c>
      <c r="AD778" s="129">
        <f>AC778-AB778</f>
        <v>92.703600000000023</v>
      </c>
      <c r="AE778" s="122">
        <v>114913.33</v>
      </c>
      <c r="AF778" s="130">
        <f>AB778/U778</f>
        <v>187.28</v>
      </c>
      <c r="AG778" s="130">
        <f>AB778/V778</f>
        <v>0.93640000000000001</v>
      </c>
      <c r="AH778" s="123">
        <f>AB778/S778</f>
        <v>0.59078864353312299</v>
      </c>
      <c r="AI778" s="124" t="s">
        <v>97</v>
      </c>
      <c r="AJ778" s="125" t="s">
        <v>349</v>
      </c>
      <c r="AK778"/>
      <c r="AM778" s="80"/>
    </row>
    <row r="779" spans="1:39" ht="28.5" customHeight="1">
      <c r="A779" s="113" t="s">
        <v>73</v>
      </c>
      <c r="B779" s="114" t="s">
        <v>74</v>
      </c>
      <c r="C779" s="113" t="s">
        <v>35</v>
      </c>
      <c r="D779" s="113" t="s">
        <v>218</v>
      </c>
      <c r="E779" s="115" t="s">
        <v>1335</v>
      </c>
      <c r="F779" s="113" t="s">
        <v>585</v>
      </c>
      <c r="G779" s="116" t="s">
        <v>2856</v>
      </c>
      <c r="H779" s="79">
        <v>46255</v>
      </c>
      <c r="I779" s="114" t="s">
        <v>79</v>
      </c>
      <c r="J779" s="117" t="s">
        <v>2857</v>
      </c>
      <c r="K779" s="118">
        <v>46248</v>
      </c>
      <c r="L779" s="114" t="s">
        <v>81</v>
      </c>
      <c r="M779" s="119">
        <v>46254</v>
      </c>
      <c r="N779" s="128">
        <v>46254</v>
      </c>
      <c r="O779" s="120">
        <f>NETWORKDAYS.INTL(K779,N779,1,$AM$2:$AM$10)-1</f>
        <v>4</v>
      </c>
      <c r="P779" s="114" t="s">
        <v>81</v>
      </c>
      <c r="Q779" s="114" t="s">
        <v>79</v>
      </c>
      <c r="R779" s="115"/>
      <c r="S779" s="145">
        <v>1913.5</v>
      </c>
      <c r="T779" s="148" t="s">
        <v>2032</v>
      </c>
      <c r="U779" s="147">
        <v>1</v>
      </c>
      <c r="V779" s="121">
        <v>750</v>
      </c>
      <c r="W779" s="121">
        <v>450</v>
      </c>
      <c r="X779" s="114" t="s">
        <v>84</v>
      </c>
      <c r="Y779" s="115" t="s">
        <v>85</v>
      </c>
      <c r="Z779" s="115" t="s">
        <v>86</v>
      </c>
      <c r="AA779" s="113" t="s">
        <v>87</v>
      </c>
      <c r="AB779" s="122">
        <v>417.97</v>
      </c>
      <c r="AC779" s="122">
        <f>IF(C779="DENALI", AB779*0.495, IF(C779="SCHNEIDER ELECTRIC", AB779*1.136, IF(C779="WWT", AB779*1.2, AC779)))+AB779</f>
        <v>624.86515000000009</v>
      </c>
      <c r="AD779" s="129">
        <f>AC779-AB779</f>
        <v>206.89515000000006</v>
      </c>
      <c r="AE779" s="122">
        <v>16258.5</v>
      </c>
      <c r="AF779" s="130">
        <f>AB779/U779</f>
        <v>417.97</v>
      </c>
      <c r="AG779" s="130">
        <f>AB779/V779</f>
        <v>0.55729333333333342</v>
      </c>
      <c r="AH779" s="123">
        <f>AB779/S779</f>
        <v>0.21843219231774236</v>
      </c>
      <c r="AI779" s="124" t="s">
        <v>97</v>
      </c>
      <c r="AJ779" s="125" t="s">
        <v>349</v>
      </c>
      <c r="AK779"/>
      <c r="AM779" s="80"/>
    </row>
    <row r="780" spans="1:39" ht="28.5" customHeight="1">
      <c r="A780" s="113" t="s">
        <v>73</v>
      </c>
      <c r="B780" s="114" t="s">
        <v>74</v>
      </c>
      <c r="C780" s="113" t="s">
        <v>35</v>
      </c>
      <c r="D780" s="113" t="s">
        <v>218</v>
      </c>
      <c r="E780" s="115" t="s">
        <v>248</v>
      </c>
      <c r="F780" s="113" t="s">
        <v>189</v>
      </c>
      <c r="G780" s="116" t="s">
        <v>2858</v>
      </c>
      <c r="H780" s="79">
        <v>46255</v>
      </c>
      <c r="I780" s="114" t="s">
        <v>79</v>
      </c>
      <c r="J780" s="117" t="s">
        <v>2859</v>
      </c>
      <c r="K780" s="118">
        <v>46248</v>
      </c>
      <c r="L780" s="114" t="s">
        <v>81</v>
      </c>
      <c r="M780" s="119">
        <v>46255</v>
      </c>
      <c r="N780" s="128">
        <v>46252</v>
      </c>
      <c r="O780" s="120">
        <f>NETWORKDAYS.INTL(K780,N780,1,$AM$2:$AM$10)-1</f>
        <v>2</v>
      </c>
      <c r="P780" s="114" t="s">
        <v>81</v>
      </c>
      <c r="Q780" s="114" t="s">
        <v>79</v>
      </c>
      <c r="R780" s="115"/>
      <c r="S780" s="145">
        <v>1549</v>
      </c>
      <c r="T780" s="148" t="s">
        <v>2860</v>
      </c>
      <c r="U780" s="147">
        <v>6</v>
      </c>
      <c r="V780" s="121">
        <v>940</v>
      </c>
      <c r="W780" s="121">
        <v>4155</v>
      </c>
      <c r="X780" s="114" t="s">
        <v>84</v>
      </c>
      <c r="Y780" s="115" t="s">
        <v>85</v>
      </c>
      <c r="Z780" s="115" t="s">
        <v>86</v>
      </c>
      <c r="AA780" s="113" t="s">
        <v>87</v>
      </c>
      <c r="AB780" s="122">
        <v>2463.67</v>
      </c>
      <c r="AC780" s="122">
        <f>IF(C780="DENALI", AB780*0.495, IF(C780="SCHNEIDER ELECTRIC", AB780*1.136, IF(C780="WWT", AB780*1.2, AC780)))+AB780</f>
        <v>3683.1866500000001</v>
      </c>
      <c r="AD780" s="129">
        <f>AC780-AB780</f>
        <v>1219.51665</v>
      </c>
      <c r="AE780" s="122">
        <v>126250.17</v>
      </c>
      <c r="AF780" s="130">
        <f>AB780/U780</f>
        <v>410.61166666666668</v>
      </c>
      <c r="AG780" s="130">
        <f>AB780/V780</f>
        <v>2.6209255319148936</v>
      </c>
      <c r="AH780" s="123">
        <f>AB780/S780</f>
        <v>1.5904906391220142</v>
      </c>
      <c r="AI780" s="124" t="s">
        <v>147</v>
      </c>
      <c r="AJ780" s="125" t="s">
        <v>349</v>
      </c>
      <c r="AK780"/>
      <c r="AM780" s="80"/>
    </row>
    <row r="781" spans="1:39" ht="28.5" customHeight="1">
      <c r="A781" s="113" t="s">
        <v>73</v>
      </c>
      <c r="B781" s="114" t="s">
        <v>74</v>
      </c>
      <c r="C781" s="113" t="s">
        <v>35</v>
      </c>
      <c r="D781" s="113" t="s">
        <v>218</v>
      </c>
      <c r="E781" s="115" t="s">
        <v>671</v>
      </c>
      <c r="F781" s="113" t="s">
        <v>396</v>
      </c>
      <c r="G781" s="116" t="s">
        <v>2861</v>
      </c>
      <c r="H781" s="79">
        <v>46255</v>
      </c>
      <c r="I781" s="114" t="s">
        <v>79</v>
      </c>
      <c r="J781" s="117" t="s">
        <v>2862</v>
      </c>
      <c r="K781" s="118">
        <v>46248</v>
      </c>
      <c r="L781" s="114" t="s">
        <v>81</v>
      </c>
      <c r="M781" s="119">
        <v>46255</v>
      </c>
      <c r="N781" s="128">
        <v>46252</v>
      </c>
      <c r="O781" s="120">
        <f>NETWORKDAYS.INTL(K781,N781,1,$AM$2:$AM$10)-1</f>
        <v>2</v>
      </c>
      <c r="P781" s="114" t="s">
        <v>81</v>
      </c>
      <c r="Q781" s="114" t="s">
        <v>79</v>
      </c>
      <c r="R781" s="115"/>
      <c r="S781" s="145">
        <v>646</v>
      </c>
      <c r="T781" s="148" t="s">
        <v>2863</v>
      </c>
      <c r="U781" s="147">
        <v>1</v>
      </c>
      <c r="V781" s="121">
        <v>199</v>
      </c>
      <c r="W781" s="121">
        <v>360</v>
      </c>
      <c r="X781" s="114" t="s">
        <v>84</v>
      </c>
      <c r="Y781" s="115" t="s">
        <v>85</v>
      </c>
      <c r="Z781" s="115" t="s">
        <v>2723</v>
      </c>
      <c r="AA781" s="113" t="s">
        <v>87</v>
      </c>
      <c r="AB781" s="122">
        <v>211.63</v>
      </c>
      <c r="AC781" s="122">
        <f>IF(C781="DENALI", AB781*0.495, IF(C781="SCHNEIDER ELECTRIC", AB781*1.136, IF(C781="WWT", AB781*1.2, AC781)))+AB781</f>
        <v>316.38684999999998</v>
      </c>
      <c r="AD781" s="129">
        <f>AC781-AB781</f>
        <v>104.75684999999999</v>
      </c>
      <c r="AE781" s="122">
        <v>20537.87</v>
      </c>
      <c r="AF781" s="130">
        <f>AB781/U781</f>
        <v>211.63</v>
      </c>
      <c r="AG781" s="130">
        <f>AB781/V781</f>
        <v>1.0634673366834171</v>
      </c>
      <c r="AH781" s="123">
        <f>AB781/S781</f>
        <v>0.32760061919504641</v>
      </c>
      <c r="AI781" s="124" t="s">
        <v>675</v>
      </c>
      <c r="AJ781" s="125" t="s">
        <v>349</v>
      </c>
      <c r="AK781"/>
      <c r="AM781" s="80"/>
    </row>
    <row r="782" spans="1:39" ht="28.5" customHeight="1">
      <c r="A782" s="113" t="s">
        <v>73</v>
      </c>
      <c r="B782" s="114" t="s">
        <v>74</v>
      </c>
      <c r="C782" s="113" t="s">
        <v>35</v>
      </c>
      <c r="D782" s="113" t="s">
        <v>99</v>
      </c>
      <c r="E782" s="115" t="s">
        <v>2864</v>
      </c>
      <c r="F782" s="113" t="s">
        <v>370</v>
      </c>
      <c r="G782" s="116">
        <v>23859796</v>
      </c>
      <c r="H782" s="79">
        <v>46255</v>
      </c>
      <c r="I782" s="114" t="s">
        <v>79</v>
      </c>
      <c r="J782" s="117" t="s">
        <v>2865</v>
      </c>
      <c r="K782" s="118">
        <v>46248</v>
      </c>
      <c r="L782" s="114" t="s">
        <v>81</v>
      </c>
      <c r="M782" s="119">
        <v>46252</v>
      </c>
      <c r="N782" s="128">
        <v>46251</v>
      </c>
      <c r="O782" s="120">
        <f>NETWORKDAYS.INTL(K782,N782,1,$AM$2:$AM$10)-1</f>
        <v>1</v>
      </c>
      <c r="P782" s="114" t="s">
        <v>81</v>
      </c>
      <c r="Q782" s="114" t="s">
        <v>79</v>
      </c>
      <c r="R782" s="115"/>
      <c r="S782" s="145">
        <v>2707</v>
      </c>
      <c r="T782" s="148" t="s">
        <v>2866</v>
      </c>
      <c r="U782" s="147">
        <v>28</v>
      </c>
      <c r="V782" s="121">
        <v>28</v>
      </c>
      <c r="W782" s="121">
        <v>18333</v>
      </c>
      <c r="X782" s="114" t="s">
        <v>113</v>
      </c>
      <c r="Y782" s="115" t="s">
        <v>85</v>
      </c>
      <c r="Z782" s="115" t="s">
        <v>2867</v>
      </c>
      <c r="AA782" s="113" t="s">
        <v>87</v>
      </c>
      <c r="AB782" s="122">
        <v>6862.03</v>
      </c>
      <c r="AC782" s="122">
        <f>IF(C782="DENALI", AB782*0.495, IF(C782="SCHNEIDER ELECTRIC", AB782*1.136, IF(C782="WWT", AB782*1.2, AC782)))+AB782</f>
        <v>10258.734849999999</v>
      </c>
      <c r="AD782" s="129">
        <f>AC782-AB782</f>
        <v>3396.7048499999992</v>
      </c>
      <c r="AE782" s="122">
        <v>577381.24</v>
      </c>
      <c r="AF782" s="130">
        <f>AB782/U782</f>
        <v>245.07249999999999</v>
      </c>
      <c r="AG782" s="130">
        <f>AB782/V782</f>
        <v>245.07249999999999</v>
      </c>
      <c r="AH782" s="123">
        <f>AB782/S782</f>
        <v>2.5349205762837088</v>
      </c>
      <c r="AI782" s="124" t="s">
        <v>115</v>
      </c>
      <c r="AJ782" s="125" t="s">
        <v>107</v>
      </c>
      <c r="AK782"/>
      <c r="AM782" s="80"/>
    </row>
    <row r="783" spans="1:39" ht="28.5" customHeight="1">
      <c r="A783" s="113" t="s">
        <v>73</v>
      </c>
      <c r="B783" s="114" t="s">
        <v>74</v>
      </c>
      <c r="C783" s="113" t="s">
        <v>35</v>
      </c>
      <c r="D783" s="113" t="s">
        <v>99</v>
      </c>
      <c r="E783" s="115" t="s">
        <v>2864</v>
      </c>
      <c r="F783" s="113" t="s">
        <v>370</v>
      </c>
      <c r="G783" s="116">
        <v>23859815</v>
      </c>
      <c r="H783" s="79">
        <v>46255</v>
      </c>
      <c r="I783" s="114" t="s">
        <v>79</v>
      </c>
      <c r="J783" s="117" t="s">
        <v>2868</v>
      </c>
      <c r="K783" s="118">
        <v>46248</v>
      </c>
      <c r="L783" s="114" t="s">
        <v>81</v>
      </c>
      <c r="M783" s="119">
        <v>46252</v>
      </c>
      <c r="N783" s="128">
        <v>46251</v>
      </c>
      <c r="O783" s="120">
        <f>NETWORKDAYS.INTL(K783,N783,1,$AM$2:$AM$10)-1</f>
        <v>1</v>
      </c>
      <c r="P783" s="114" t="s">
        <v>81</v>
      </c>
      <c r="Q783" s="114" t="s">
        <v>79</v>
      </c>
      <c r="R783" s="115"/>
      <c r="S783" s="145">
        <v>2707</v>
      </c>
      <c r="T783" s="148" t="s">
        <v>2866</v>
      </c>
      <c r="U783" s="147">
        <v>27</v>
      </c>
      <c r="V783" s="121">
        <v>27</v>
      </c>
      <c r="W783" s="121">
        <v>18298</v>
      </c>
      <c r="X783" s="114" t="s">
        <v>113</v>
      </c>
      <c r="Y783" s="115" t="s">
        <v>85</v>
      </c>
      <c r="Z783" s="115" t="s">
        <v>2869</v>
      </c>
      <c r="AA783" s="113" t="s">
        <v>87</v>
      </c>
      <c r="AB783" s="122">
        <v>6862.03</v>
      </c>
      <c r="AC783" s="122">
        <f>IF(C783="DENALI", AB783*0.495, IF(C783="SCHNEIDER ELECTRIC", AB783*1.136, IF(C783="WWT", AB783*1.2, AC783)))+AB783</f>
        <v>10258.734849999999</v>
      </c>
      <c r="AD783" s="129">
        <f>AC783-AB783</f>
        <v>3396.7048499999992</v>
      </c>
      <c r="AE783" s="122">
        <v>577381.24</v>
      </c>
      <c r="AF783" s="130">
        <f>AB783/U783</f>
        <v>254.14925925925925</v>
      </c>
      <c r="AG783" s="130">
        <f>AB783/V783</f>
        <v>254.14925925925925</v>
      </c>
      <c r="AH783" s="123">
        <f>AB783/S783</f>
        <v>2.5349205762837088</v>
      </c>
      <c r="AI783" s="124" t="s">
        <v>115</v>
      </c>
      <c r="AJ783" s="125" t="s">
        <v>107</v>
      </c>
      <c r="AK783"/>
      <c r="AM783" s="80"/>
    </row>
    <row r="784" spans="1:39" ht="28.5" customHeight="1">
      <c r="A784" s="113" t="s">
        <v>73</v>
      </c>
      <c r="B784" s="114" t="s">
        <v>74</v>
      </c>
      <c r="C784" s="113" t="s">
        <v>35</v>
      </c>
      <c r="D784" s="113" t="s">
        <v>218</v>
      </c>
      <c r="E784" s="115" t="s">
        <v>2870</v>
      </c>
      <c r="F784" s="113" t="s">
        <v>457</v>
      </c>
      <c r="G784" s="116" t="s">
        <v>2871</v>
      </c>
      <c r="H784" s="79">
        <v>46255</v>
      </c>
      <c r="I784" s="114" t="s">
        <v>79</v>
      </c>
      <c r="J784" s="150" t="s">
        <v>2872</v>
      </c>
      <c r="K784" s="118">
        <v>46248</v>
      </c>
      <c r="L784" s="114" t="s">
        <v>81</v>
      </c>
      <c r="M784" s="119">
        <v>46252</v>
      </c>
      <c r="N784" s="128">
        <v>46255</v>
      </c>
      <c r="O784" s="120">
        <f>NETWORKDAYS.INTL(K784,N784,1,$AM$2:$AM$10)-1</f>
        <v>5</v>
      </c>
      <c r="P784" s="114" t="s">
        <v>81</v>
      </c>
      <c r="Q784" s="114" t="s">
        <v>79</v>
      </c>
      <c r="R784" s="115"/>
      <c r="S784" s="145">
        <v>424.1</v>
      </c>
      <c r="T784" s="148" t="s">
        <v>2873</v>
      </c>
      <c r="U784" s="147">
        <v>1</v>
      </c>
      <c r="V784" s="121">
        <v>1</v>
      </c>
      <c r="W784" s="121">
        <v>170</v>
      </c>
      <c r="X784" s="114" t="s">
        <v>84</v>
      </c>
      <c r="Y784" s="115" t="s">
        <v>85</v>
      </c>
      <c r="Z784" s="115" t="s">
        <v>86</v>
      </c>
      <c r="AA784" s="113" t="s">
        <v>87</v>
      </c>
      <c r="AB784" s="122">
        <v>256.68</v>
      </c>
      <c r="AC784" s="122">
        <f>IF(C784="DENALI", AB784*0.495, IF(C784="SCHNEIDER ELECTRIC", AB784*1.136, IF(C784="WWT", AB784*1.2, AC784)))+AB784</f>
        <v>383.73660000000001</v>
      </c>
      <c r="AD784" s="129">
        <f>AC784-AB784</f>
        <v>127.0566</v>
      </c>
      <c r="AE784" s="122">
        <v>4309.21</v>
      </c>
      <c r="AF784" s="130">
        <f>AB784/U784</f>
        <v>256.68</v>
      </c>
      <c r="AG784" s="130">
        <f>AB784/V784</f>
        <v>256.68</v>
      </c>
      <c r="AH784" s="123">
        <f>AB784/S784</f>
        <v>0.60523461447771754</v>
      </c>
      <c r="AI784" s="124" t="s">
        <v>97</v>
      </c>
      <c r="AJ784" s="125" t="s">
        <v>349</v>
      </c>
      <c r="AK784"/>
      <c r="AM784" s="80"/>
    </row>
    <row r="785" spans="1:39" ht="28.5" customHeight="1">
      <c r="A785" s="113" t="s">
        <v>73</v>
      </c>
      <c r="B785" s="114" t="s">
        <v>74</v>
      </c>
      <c r="C785" s="113" t="s">
        <v>36</v>
      </c>
      <c r="D785" s="113" t="s">
        <v>90</v>
      </c>
      <c r="E785" s="115" t="s">
        <v>589</v>
      </c>
      <c r="F785" s="113" t="s">
        <v>292</v>
      </c>
      <c r="G785" s="116" t="s">
        <v>2874</v>
      </c>
      <c r="H785" s="79">
        <v>46255</v>
      </c>
      <c r="I785" s="114" t="s">
        <v>79</v>
      </c>
      <c r="J785" s="151" t="s">
        <v>2875</v>
      </c>
      <c r="K785" s="149">
        <v>46248</v>
      </c>
      <c r="L785" s="114" t="s">
        <v>79</v>
      </c>
      <c r="M785" s="119">
        <v>46255</v>
      </c>
      <c r="N785" s="128">
        <v>46252</v>
      </c>
      <c r="O785" s="120">
        <f>NETWORKDAYS.INTL(K785,N785,1,$AM$2:$AM$10)-1</f>
        <v>2</v>
      </c>
      <c r="P785" s="114" t="s">
        <v>81</v>
      </c>
      <c r="Q785" s="114" t="s">
        <v>79</v>
      </c>
      <c r="R785" s="115"/>
      <c r="S785" s="145">
        <v>1036.7</v>
      </c>
      <c r="T785" s="148" t="s">
        <v>2876</v>
      </c>
      <c r="U785" s="147">
        <v>1</v>
      </c>
      <c r="V785" s="121">
        <v>4</v>
      </c>
      <c r="W785" s="121">
        <v>348</v>
      </c>
      <c r="X785" s="114" t="s">
        <v>84</v>
      </c>
      <c r="Y785" s="169" t="s">
        <v>85</v>
      </c>
      <c r="Z785" s="169" t="s">
        <v>86</v>
      </c>
      <c r="AA785" s="202" t="s">
        <v>87</v>
      </c>
      <c r="AB785" s="179">
        <v>270.64</v>
      </c>
      <c r="AC785" s="179">
        <f>IF(C785="DENALI", AB785*0.495, IF(C785="SCHNEIDER ELECTRIC", AB785*1.136, IF(C785="WWT", AB785*1.2, AC785)))+AB785</f>
        <v>578.08703999999989</v>
      </c>
      <c r="AD785" s="288">
        <f>AC785-AB785</f>
        <v>307.4470399999999</v>
      </c>
      <c r="AE785" s="179">
        <v>1986.4</v>
      </c>
      <c r="AF785" s="235">
        <f>AB785/U785</f>
        <v>270.64</v>
      </c>
      <c r="AG785" s="235">
        <f>AB785/V785</f>
        <v>67.66</v>
      </c>
      <c r="AH785" s="236">
        <f>AB785/S785</f>
        <v>0.26105912993151342</v>
      </c>
      <c r="AI785" s="237" t="s">
        <v>97</v>
      </c>
      <c r="AJ785" s="125" t="s">
        <v>349</v>
      </c>
      <c r="AK785"/>
      <c r="AM785" s="80"/>
    </row>
    <row r="786" spans="1:39" ht="28.5" customHeight="1">
      <c r="A786" s="113" t="s">
        <v>73</v>
      </c>
      <c r="B786" s="114" t="s">
        <v>74</v>
      </c>
      <c r="C786" s="113" t="s">
        <v>35</v>
      </c>
      <c r="D786" s="113" t="s">
        <v>218</v>
      </c>
      <c r="E786" s="115" t="s">
        <v>1284</v>
      </c>
      <c r="F786" s="113" t="s">
        <v>207</v>
      </c>
      <c r="G786" s="116" t="s">
        <v>2877</v>
      </c>
      <c r="H786" s="79">
        <v>46255</v>
      </c>
      <c r="I786" s="114" t="s">
        <v>79</v>
      </c>
      <c r="J786" s="159" t="s">
        <v>2878</v>
      </c>
      <c r="K786" s="118">
        <v>46248</v>
      </c>
      <c r="L786" s="114" t="s">
        <v>81</v>
      </c>
      <c r="M786" s="119">
        <v>46251</v>
      </c>
      <c r="N786" s="128">
        <v>46251</v>
      </c>
      <c r="O786" s="120">
        <f>NETWORKDAYS.INTL(K786,N786,1,$AM$2:$AM$10)-1</f>
        <v>1</v>
      </c>
      <c r="P786" s="114" t="s">
        <v>81</v>
      </c>
      <c r="Q786" s="114" t="s">
        <v>79</v>
      </c>
      <c r="R786" s="115"/>
      <c r="S786" s="145">
        <v>169</v>
      </c>
      <c r="T786" s="148" t="s">
        <v>1408</v>
      </c>
      <c r="U786" s="147">
        <v>1</v>
      </c>
      <c r="V786" s="121">
        <v>127</v>
      </c>
      <c r="W786" s="121">
        <v>510</v>
      </c>
      <c r="X786" s="167" t="s">
        <v>84</v>
      </c>
      <c r="Y786" s="175" t="s">
        <v>85</v>
      </c>
      <c r="Z786" s="175" t="s">
        <v>2312</v>
      </c>
      <c r="AA786" s="148" t="s">
        <v>87</v>
      </c>
      <c r="AB786" s="283">
        <v>180.06</v>
      </c>
      <c r="AC786" s="283">
        <f>IF(C786="DENALI", AB786*0.495, IF(C786="SCHNEIDER ELECTRIC", AB786*1.136, IF(C786="WWT", AB786*1.2, AC786)))+AB786</f>
        <v>269.18970000000002</v>
      </c>
      <c r="AD786" s="284">
        <f>AC786-AB786</f>
        <v>89.129700000000014</v>
      </c>
      <c r="AE786" s="283">
        <v>14819.96</v>
      </c>
      <c r="AF786" s="232">
        <f>AB786/U786</f>
        <v>180.06</v>
      </c>
      <c r="AG786" s="232">
        <f>AB786/V786</f>
        <v>1.4177952755905512</v>
      </c>
      <c r="AH786" s="233">
        <f>AB786/S786</f>
        <v>1.0654437869822486</v>
      </c>
      <c r="AI786" s="76" t="s">
        <v>97</v>
      </c>
      <c r="AJ786" s="349" t="s">
        <v>349</v>
      </c>
      <c r="AK786"/>
      <c r="AM786" s="80"/>
    </row>
    <row r="787" spans="1:39" ht="28.5" customHeight="1">
      <c r="A787" s="113" t="s">
        <v>73</v>
      </c>
      <c r="B787" s="114" t="s">
        <v>140</v>
      </c>
      <c r="C787" s="113" t="s">
        <v>36</v>
      </c>
      <c r="D787" s="113" t="s">
        <v>75</v>
      </c>
      <c r="E787" s="115" t="s">
        <v>141</v>
      </c>
      <c r="F787" s="113" t="s">
        <v>142</v>
      </c>
      <c r="G787" s="116" t="s">
        <v>2879</v>
      </c>
      <c r="H787" s="79">
        <v>46255</v>
      </c>
      <c r="I787" s="114" t="s">
        <v>79</v>
      </c>
      <c r="J787" s="117" t="s">
        <v>2880</v>
      </c>
      <c r="K787" s="118">
        <v>46248</v>
      </c>
      <c r="L787" s="114" t="s">
        <v>79</v>
      </c>
      <c r="M787" s="119">
        <v>46255</v>
      </c>
      <c r="N787" s="128">
        <v>46254</v>
      </c>
      <c r="O787" s="120">
        <f>NETWORKDAYS.INTL(K787,N787,1,$AM$2:$AM$10)-1</f>
        <v>4</v>
      </c>
      <c r="P787" s="114" t="s">
        <v>81</v>
      </c>
      <c r="Q787" s="114" t="s">
        <v>79</v>
      </c>
      <c r="R787" s="115"/>
      <c r="S787" s="145">
        <v>728.1</v>
      </c>
      <c r="T787" s="148" t="s">
        <v>2881</v>
      </c>
      <c r="U787" s="147">
        <v>1</v>
      </c>
      <c r="V787" s="121">
        <v>6</v>
      </c>
      <c r="W787" s="121">
        <v>563</v>
      </c>
      <c r="X787" s="114" t="s">
        <v>84</v>
      </c>
      <c r="Y787" s="176" t="s">
        <v>85</v>
      </c>
      <c r="Z787" s="176" t="s">
        <v>86</v>
      </c>
      <c r="AA787" s="307" t="s">
        <v>87</v>
      </c>
      <c r="AB787" s="351">
        <v>273.49</v>
      </c>
      <c r="AC787" s="351">
        <f>IF(C787="DENALI", AB787*0.495, IF(C787="SCHNEIDER ELECTRIC", AB787*1.136, IF(C787="WWT", AB787*1.2, AC787)))+AB787</f>
        <v>584.17463999999995</v>
      </c>
      <c r="AD787" s="352">
        <f>AC787-AB787</f>
        <v>310.68463999999994</v>
      </c>
      <c r="AE787" s="351">
        <v>12206.05</v>
      </c>
      <c r="AF787" s="353">
        <f>AB787/U787</f>
        <v>273.49</v>
      </c>
      <c r="AG787" s="353">
        <f>AB787/V787</f>
        <v>45.581666666666671</v>
      </c>
      <c r="AH787" s="354">
        <f>AB787/S787</f>
        <v>0.37562148056585631</v>
      </c>
      <c r="AI787" s="154" t="s">
        <v>106</v>
      </c>
      <c r="AJ787" s="125" t="s">
        <v>98</v>
      </c>
      <c r="AK787"/>
      <c r="AM787" s="80"/>
    </row>
    <row r="788" spans="1:39" ht="28.5" customHeight="1">
      <c r="A788" s="113" t="s">
        <v>73</v>
      </c>
      <c r="B788" s="114" t="s">
        <v>140</v>
      </c>
      <c r="C788" s="113" t="s">
        <v>35</v>
      </c>
      <c r="D788" s="113" t="s">
        <v>218</v>
      </c>
      <c r="E788" s="115" t="s">
        <v>992</v>
      </c>
      <c r="F788" s="113" t="s">
        <v>75</v>
      </c>
      <c r="G788" s="116" t="s">
        <v>2882</v>
      </c>
      <c r="H788" s="79">
        <v>46255</v>
      </c>
      <c r="I788" s="114" t="s">
        <v>79</v>
      </c>
      <c r="J788" s="117" t="s">
        <v>2883</v>
      </c>
      <c r="K788" s="118">
        <v>46248</v>
      </c>
      <c r="L788" s="114" t="s">
        <v>81</v>
      </c>
      <c r="M788" s="119">
        <v>46251</v>
      </c>
      <c r="N788" s="128">
        <v>46254</v>
      </c>
      <c r="O788" s="120">
        <f>NETWORKDAYS.INTL(K788,N788,1,$AM$2:$AM$10)-1</f>
        <v>4</v>
      </c>
      <c r="P788" s="114" t="s">
        <v>81</v>
      </c>
      <c r="Q788" s="114" t="s">
        <v>79</v>
      </c>
      <c r="R788" s="169"/>
      <c r="S788" s="145">
        <v>534</v>
      </c>
      <c r="T788" s="148" t="s">
        <v>1801</v>
      </c>
      <c r="U788" s="147">
        <v>3</v>
      </c>
      <c r="V788" s="121">
        <v>750</v>
      </c>
      <c r="W788" s="121">
        <v>1730</v>
      </c>
      <c r="X788" s="114" t="s">
        <v>84</v>
      </c>
      <c r="Y788" s="115" t="s">
        <v>85</v>
      </c>
      <c r="Z788" s="115" t="s">
        <v>2312</v>
      </c>
      <c r="AA788" s="113" t="s">
        <v>87</v>
      </c>
      <c r="AB788" s="122">
        <v>432.99</v>
      </c>
      <c r="AC788" s="122">
        <f>IF(C788="DENALI", AB788*0.495, IF(C788="SCHNEIDER ELECTRIC", AB788*1.136, IF(C788="WWT", AB788*1.2, AC788)))+AB788</f>
        <v>647.32005000000004</v>
      </c>
      <c r="AD788" s="129">
        <f>AC788-AB788</f>
        <v>214.33005000000003</v>
      </c>
      <c r="AE788" s="122">
        <v>150236.78</v>
      </c>
      <c r="AF788" s="130">
        <f>AB788/U788</f>
        <v>144.33000000000001</v>
      </c>
      <c r="AG788" s="130">
        <f>AB788/V788</f>
        <v>0.57732000000000006</v>
      </c>
      <c r="AH788" s="123">
        <f>AB788/S788</f>
        <v>0.81084269662921349</v>
      </c>
      <c r="AI788" s="124" t="s">
        <v>147</v>
      </c>
      <c r="AJ788" s="125" t="s">
        <v>343</v>
      </c>
      <c r="AK788"/>
      <c r="AM788" s="80"/>
    </row>
    <row r="789" spans="1:39" ht="28.5" customHeight="1">
      <c r="A789" s="113" t="s">
        <v>73</v>
      </c>
      <c r="B789" s="114" t="s">
        <v>74</v>
      </c>
      <c r="C789" s="113" t="s">
        <v>36</v>
      </c>
      <c r="D789" s="113" t="s">
        <v>75</v>
      </c>
      <c r="E789" s="115" t="s">
        <v>2884</v>
      </c>
      <c r="F789" s="113" t="s">
        <v>207</v>
      </c>
      <c r="G789" s="116" t="s">
        <v>2885</v>
      </c>
      <c r="H789" s="79">
        <v>46255</v>
      </c>
      <c r="I789" s="114" t="s">
        <v>79</v>
      </c>
      <c r="J789" s="117" t="s">
        <v>2886</v>
      </c>
      <c r="K789" s="118">
        <v>46248</v>
      </c>
      <c r="L789" s="114" t="s">
        <v>81</v>
      </c>
      <c r="M789" s="119">
        <v>46251</v>
      </c>
      <c r="N789" s="128">
        <v>46258</v>
      </c>
      <c r="O789" s="120">
        <f>NETWORKDAYS.INTL(K789,N789,1,$AM$2:$AM$10)-1</f>
        <v>6</v>
      </c>
      <c r="P789" s="114" t="s">
        <v>81</v>
      </c>
      <c r="Q789" s="167" t="s">
        <v>79</v>
      </c>
      <c r="R789" s="175"/>
      <c r="S789" s="168">
        <v>337.3</v>
      </c>
      <c r="T789" s="148" t="s">
        <v>2887</v>
      </c>
      <c r="U789" s="147">
        <v>1</v>
      </c>
      <c r="V789" s="121">
        <v>7</v>
      </c>
      <c r="W789" s="121">
        <v>464</v>
      </c>
      <c r="X789" s="114" t="s">
        <v>84</v>
      </c>
      <c r="Y789" s="115" t="s">
        <v>85</v>
      </c>
      <c r="Z789" s="115" t="s">
        <v>2312</v>
      </c>
      <c r="AA789" s="113" t="s">
        <v>87</v>
      </c>
      <c r="AB789" s="122">
        <v>180.06</v>
      </c>
      <c r="AC789" s="122">
        <f>IF(C789="DENALI", AB789*0.495, IF(C789="SCHNEIDER ELECTRIC", AB789*1.136, IF(C789="WWT", AB789*1.2, AC789)))+AB789</f>
        <v>384.60816</v>
      </c>
      <c r="AD789" s="129">
        <f>AC789-AB789</f>
        <v>204.54816</v>
      </c>
      <c r="AE789" s="122">
        <v>2794.54</v>
      </c>
      <c r="AF789" s="130">
        <f>AB789/U789</f>
        <v>180.06</v>
      </c>
      <c r="AG789" s="130">
        <f>AB789/V789</f>
        <v>25.722857142857144</v>
      </c>
      <c r="AH789" s="123">
        <f>AB789/S789</f>
        <v>0.53382745330566261</v>
      </c>
      <c r="AI789" s="124" t="s">
        <v>97</v>
      </c>
      <c r="AJ789" s="125" t="s">
        <v>98</v>
      </c>
      <c r="AK789"/>
      <c r="AM789" s="80"/>
    </row>
    <row r="790" spans="1:39" ht="28.5" customHeight="1">
      <c r="A790" s="113" t="s">
        <v>73</v>
      </c>
      <c r="B790" s="114" t="s">
        <v>140</v>
      </c>
      <c r="C790" s="113" t="s">
        <v>35</v>
      </c>
      <c r="D790" s="113" t="s">
        <v>218</v>
      </c>
      <c r="E790" s="115" t="s">
        <v>141</v>
      </c>
      <c r="F790" s="113" t="s">
        <v>142</v>
      </c>
      <c r="G790" s="116" t="s">
        <v>2888</v>
      </c>
      <c r="H790" s="79">
        <v>46255</v>
      </c>
      <c r="I790" s="114" t="s">
        <v>79</v>
      </c>
      <c r="J790" s="117" t="s">
        <v>2889</v>
      </c>
      <c r="K790" s="118">
        <v>46248</v>
      </c>
      <c r="L790" s="114" t="s">
        <v>81</v>
      </c>
      <c r="M790" s="119">
        <v>46251</v>
      </c>
      <c r="N790" s="128">
        <v>46253</v>
      </c>
      <c r="O790" s="120">
        <f>NETWORKDAYS.INTL(K790,N790,1,$AM$2:$AM$10)-1</f>
        <v>3</v>
      </c>
      <c r="P790" s="114" t="s">
        <v>81</v>
      </c>
      <c r="Q790" s="114" t="s">
        <v>79</v>
      </c>
      <c r="R790" s="176"/>
      <c r="S790" s="145">
        <v>441</v>
      </c>
      <c r="T790" s="148" t="s">
        <v>2890</v>
      </c>
      <c r="U790" s="147">
        <v>4</v>
      </c>
      <c r="V790" s="121">
        <v>76264</v>
      </c>
      <c r="W790" s="121">
        <v>2815</v>
      </c>
      <c r="X790" s="114" t="s">
        <v>84</v>
      </c>
      <c r="Y790" s="115" t="s">
        <v>85</v>
      </c>
      <c r="Z790" s="115" t="s">
        <v>2723</v>
      </c>
      <c r="AA790" s="113" t="s">
        <v>87</v>
      </c>
      <c r="AB790" s="122">
        <v>533.5</v>
      </c>
      <c r="AC790" s="122">
        <f>IF(C790="DENALI", AB790*0.495, IF(C790="SCHNEIDER ELECTRIC", AB790*1.136, IF(C790="WWT", AB790*1.2, AC790)))+AB790</f>
        <v>797.58249999999998</v>
      </c>
      <c r="AD790" s="129">
        <f>AC790-AB790</f>
        <v>264.08249999999998</v>
      </c>
      <c r="AE790" s="122">
        <v>153959.25</v>
      </c>
      <c r="AF790" s="130">
        <f>AB790/U790</f>
        <v>133.375</v>
      </c>
      <c r="AG790" s="130">
        <f>AB790/V790</f>
        <v>6.9954369033882304E-3</v>
      </c>
      <c r="AH790" s="123">
        <f>AB790/S790</f>
        <v>1.2097505668934241</v>
      </c>
      <c r="AI790" s="124" t="s">
        <v>97</v>
      </c>
      <c r="AJ790" s="125" t="s">
        <v>349</v>
      </c>
      <c r="AK790"/>
      <c r="AM790" s="80"/>
    </row>
    <row r="791" spans="1:39" ht="28.5" customHeight="1">
      <c r="A791" s="113" t="s">
        <v>73</v>
      </c>
      <c r="B791" s="114" t="s">
        <v>2828</v>
      </c>
      <c r="C791" s="113" t="s">
        <v>951</v>
      </c>
      <c r="D791" s="113" t="s">
        <v>109</v>
      </c>
      <c r="E791" s="115" t="s">
        <v>1066</v>
      </c>
      <c r="F791" s="113" t="s">
        <v>370</v>
      </c>
      <c r="G791" s="116">
        <v>23871947</v>
      </c>
      <c r="H791" s="79">
        <v>46255</v>
      </c>
      <c r="I791" s="114" t="s">
        <v>81</v>
      </c>
      <c r="J791" s="117" t="s">
        <v>2891</v>
      </c>
      <c r="K791" s="118">
        <v>46248</v>
      </c>
      <c r="L791" s="114" t="s">
        <v>81</v>
      </c>
      <c r="M791" s="119">
        <v>46249</v>
      </c>
      <c r="N791" s="128">
        <v>46249</v>
      </c>
      <c r="O791" s="120">
        <f>NETWORKDAYS.INTL(K791,N791,1,$AM$2:$AM$10)-1</f>
        <v>0</v>
      </c>
      <c r="P791" s="114" t="s">
        <v>81</v>
      </c>
      <c r="Q791" s="114" t="s">
        <v>79</v>
      </c>
      <c r="R791" s="115"/>
      <c r="S791" s="145">
        <v>414</v>
      </c>
      <c r="T791" s="148" t="s">
        <v>2678</v>
      </c>
      <c r="U791" s="147">
        <v>1</v>
      </c>
      <c r="V791" s="121">
        <v>130</v>
      </c>
      <c r="W791" s="121">
        <v>150</v>
      </c>
      <c r="X791" s="114" t="s">
        <v>113</v>
      </c>
      <c r="Y791" s="115" t="s">
        <v>85</v>
      </c>
      <c r="Z791" s="115" t="s">
        <v>2892</v>
      </c>
      <c r="AA791" s="113" t="s">
        <v>87</v>
      </c>
      <c r="AB791" s="122">
        <v>1225</v>
      </c>
      <c r="AC791" s="122">
        <v>3500</v>
      </c>
      <c r="AD791" s="129">
        <f>AC791-AB791</f>
        <v>2275</v>
      </c>
      <c r="AE791" s="122">
        <v>20000</v>
      </c>
      <c r="AF791" s="130">
        <f>AB791/U791</f>
        <v>1225</v>
      </c>
      <c r="AG791" s="130">
        <f>AB791/V791</f>
        <v>9.4230769230769234</v>
      </c>
      <c r="AH791" s="123">
        <f>AB791/S791</f>
        <v>2.9589371980676327</v>
      </c>
      <c r="AI791" s="124" t="s">
        <v>97</v>
      </c>
      <c r="AJ791" s="154" t="s">
        <v>2678</v>
      </c>
      <c r="AK791"/>
      <c r="AM791" s="80"/>
    </row>
    <row r="792" spans="1:39" ht="28.5" customHeight="1">
      <c r="A792" s="113" t="s">
        <v>73</v>
      </c>
      <c r="B792" s="114" t="s">
        <v>74</v>
      </c>
      <c r="C792" s="113" t="s">
        <v>227</v>
      </c>
      <c r="D792" s="113" t="s">
        <v>228</v>
      </c>
      <c r="E792" s="115" t="s">
        <v>2893</v>
      </c>
      <c r="F792" s="113" t="s">
        <v>218</v>
      </c>
      <c r="G792" s="116" t="s">
        <v>2894</v>
      </c>
      <c r="H792" s="79">
        <v>46255</v>
      </c>
      <c r="I792" s="114" t="s">
        <v>79</v>
      </c>
      <c r="J792" s="117" t="s">
        <v>2895</v>
      </c>
      <c r="K792" s="118">
        <v>46251</v>
      </c>
      <c r="L792" s="114" t="s">
        <v>79</v>
      </c>
      <c r="M792" s="119">
        <v>46252</v>
      </c>
      <c r="N792" s="128">
        <v>46254</v>
      </c>
      <c r="O792" s="120">
        <f>NETWORKDAYS.INTL(K792,N792,1,$AM$2:$AM$10)-1</f>
        <v>3</v>
      </c>
      <c r="P792" s="114" t="s">
        <v>81</v>
      </c>
      <c r="Q792" s="114" t="s">
        <v>79</v>
      </c>
      <c r="R792" s="115"/>
      <c r="S792" s="145">
        <v>166</v>
      </c>
      <c r="T792" s="148" t="s">
        <v>2896</v>
      </c>
      <c r="U792" s="147">
        <v>1</v>
      </c>
      <c r="V792" s="121">
        <v>140</v>
      </c>
      <c r="W792" s="121">
        <v>203</v>
      </c>
      <c r="X792" s="114" t="s">
        <v>84</v>
      </c>
      <c r="Y792" s="115" t="s">
        <v>85</v>
      </c>
      <c r="Z792" s="115" t="s">
        <v>2723</v>
      </c>
      <c r="AA792" s="113" t="s">
        <v>87</v>
      </c>
      <c r="AB792" s="122">
        <v>165.31</v>
      </c>
      <c r="AC792" s="122">
        <f>IF(C792="DENALI", AB792*0.495, IF(C792="SCHNEIDER ELECTRIC", AB792*1.136, IF(C792="WWT", AB792*1.2, AC792)))+AB792</f>
        <v>363.68200000000002</v>
      </c>
      <c r="AD792" s="129">
        <f>AC792-AB792</f>
        <v>198.37200000000001</v>
      </c>
      <c r="AE792" s="122">
        <v>11215</v>
      </c>
      <c r="AF792" s="130">
        <f>AB792/U792</f>
        <v>165.31</v>
      </c>
      <c r="AG792" s="130">
        <f>AB792/V792</f>
        <v>1.1807857142857143</v>
      </c>
      <c r="AH792" s="123">
        <f>AB792/S792</f>
        <v>0.99584337349397589</v>
      </c>
      <c r="AI792" s="124" t="s">
        <v>183</v>
      </c>
      <c r="AJ792" s="125" t="s">
        <v>343</v>
      </c>
      <c r="AK792"/>
      <c r="AM792" s="80"/>
    </row>
    <row r="793" spans="1:39" ht="28.5" customHeight="1">
      <c r="A793" s="113" t="s">
        <v>73</v>
      </c>
      <c r="B793" s="114" t="s">
        <v>140</v>
      </c>
      <c r="C793" s="113" t="s">
        <v>227</v>
      </c>
      <c r="D793" s="113" t="s">
        <v>228</v>
      </c>
      <c r="E793" s="115" t="s">
        <v>141</v>
      </c>
      <c r="F793" s="113" t="s">
        <v>142</v>
      </c>
      <c r="G793" s="116" t="s">
        <v>2897</v>
      </c>
      <c r="H793" s="79">
        <v>46259</v>
      </c>
      <c r="I793" s="114" t="s">
        <v>79</v>
      </c>
      <c r="J793" s="117" t="s">
        <v>2898</v>
      </c>
      <c r="K793" s="118">
        <v>46251</v>
      </c>
      <c r="L793" s="114" t="s">
        <v>79</v>
      </c>
      <c r="M793" s="119">
        <v>46252</v>
      </c>
      <c r="N793" s="128">
        <v>46254</v>
      </c>
      <c r="O793" s="120">
        <f>NETWORKDAYS.INTL(K793,N793,1,$AM$2:$AM$10)-1</f>
        <v>3</v>
      </c>
      <c r="P793" s="114" t="s">
        <v>81</v>
      </c>
      <c r="Q793" s="114" t="s">
        <v>79</v>
      </c>
      <c r="R793" s="115"/>
      <c r="S793" s="145">
        <v>327</v>
      </c>
      <c r="T793" s="148" t="s">
        <v>2899</v>
      </c>
      <c r="U793" s="147">
        <v>2</v>
      </c>
      <c r="V793" s="121">
        <v>1140</v>
      </c>
      <c r="W793" s="121">
        <v>292</v>
      </c>
      <c r="X793" s="114" t="s">
        <v>84</v>
      </c>
      <c r="Y793" s="115" t="s">
        <v>85</v>
      </c>
      <c r="Z793" s="115" t="s">
        <v>2723</v>
      </c>
      <c r="AA793" s="113" t="s">
        <v>87</v>
      </c>
      <c r="AB793" s="122">
        <v>285.27999999999997</v>
      </c>
      <c r="AC793" s="122">
        <f>IF(C793="DENALI", AB793*0.495, IF(C793="SCHNEIDER ELECTRIC", AB793*1.136, IF(C793="WWT", AB793*1.2, AC793)))+AB793</f>
        <v>627.61599999999999</v>
      </c>
      <c r="AD793" s="129">
        <f>AC793-AB793</f>
        <v>342.33600000000001</v>
      </c>
      <c r="AE793" s="122">
        <v>151629.54999999999</v>
      </c>
      <c r="AF793" s="130">
        <f>AB793/U793</f>
        <v>142.63999999999999</v>
      </c>
      <c r="AG793" s="130">
        <f>AB793/V793</f>
        <v>0.25024561403508772</v>
      </c>
      <c r="AH793" s="123">
        <f>AB793/S793</f>
        <v>0.87241590214067266</v>
      </c>
      <c r="AI793" s="124" t="s">
        <v>155</v>
      </c>
      <c r="AJ793" s="125" t="s">
        <v>89</v>
      </c>
      <c r="AK793"/>
      <c r="AM793" s="80"/>
    </row>
    <row r="794" spans="1:39" ht="28.5" customHeight="1">
      <c r="A794" s="113" t="s">
        <v>73</v>
      </c>
      <c r="B794" s="114" t="s">
        <v>74</v>
      </c>
      <c r="C794" s="113" t="s">
        <v>227</v>
      </c>
      <c r="D794" s="113" t="s">
        <v>228</v>
      </c>
      <c r="E794" s="115" t="s">
        <v>872</v>
      </c>
      <c r="F794" s="113" t="s">
        <v>90</v>
      </c>
      <c r="G794" s="116" t="s">
        <v>2900</v>
      </c>
      <c r="H794" s="79">
        <v>46259</v>
      </c>
      <c r="I794" s="114" t="s">
        <v>79</v>
      </c>
      <c r="J794" s="117" t="s">
        <v>2901</v>
      </c>
      <c r="K794" s="118">
        <v>46251</v>
      </c>
      <c r="L794" s="114" t="s">
        <v>81</v>
      </c>
      <c r="M794" s="119">
        <v>46255</v>
      </c>
      <c r="N794" s="128">
        <v>46254</v>
      </c>
      <c r="O794" s="120">
        <f>NETWORKDAYS.INTL(K794,N794,1,$AM$2:$AM$10)-1</f>
        <v>3</v>
      </c>
      <c r="P794" s="114" t="s">
        <v>81</v>
      </c>
      <c r="Q794" s="114" t="s">
        <v>79</v>
      </c>
      <c r="R794" s="115"/>
      <c r="S794" s="145">
        <v>1977</v>
      </c>
      <c r="T794" s="148" t="s">
        <v>2902</v>
      </c>
      <c r="U794" s="147">
        <v>1</v>
      </c>
      <c r="V794" s="121">
        <v>650</v>
      </c>
      <c r="W794" s="121">
        <v>309</v>
      </c>
      <c r="X794" s="114" t="s">
        <v>84</v>
      </c>
      <c r="Y794" s="115" t="s">
        <v>85</v>
      </c>
      <c r="Z794" s="115" t="s">
        <v>86</v>
      </c>
      <c r="AA794" s="113" t="s">
        <v>87</v>
      </c>
      <c r="AB794" s="122">
        <v>313.27</v>
      </c>
      <c r="AC794" s="122">
        <f>IF(C794="DENALI", AB794*0.495, IF(C794="SCHNEIDER ELECTRIC", AB794*1.136, IF(C794="WWT", AB794*1.2, AC794)))+AB794</f>
        <v>689.19399999999996</v>
      </c>
      <c r="AD794" s="129">
        <f>AC794-AB794</f>
        <v>375.92399999999998</v>
      </c>
      <c r="AE794" s="122">
        <v>90402.78</v>
      </c>
      <c r="AF794" s="130">
        <f>AB794/U794</f>
        <v>313.27</v>
      </c>
      <c r="AG794" s="130">
        <f>AB794/V794</f>
        <v>0.48195384615384612</v>
      </c>
      <c r="AH794" s="123">
        <f>AB794/S794</f>
        <v>0.15845725847243297</v>
      </c>
      <c r="AI794" s="124" t="s">
        <v>147</v>
      </c>
      <c r="AJ794" s="125" t="s">
        <v>343</v>
      </c>
      <c r="AK794"/>
      <c r="AM794" s="80"/>
    </row>
    <row r="795" spans="1:39" ht="28.5" customHeight="1">
      <c r="A795" s="113" t="s">
        <v>73</v>
      </c>
      <c r="B795" s="114" t="s">
        <v>74</v>
      </c>
      <c r="C795" s="113" t="s">
        <v>227</v>
      </c>
      <c r="D795" s="113" t="s">
        <v>228</v>
      </c>
      <c r="E795" s="115" t="s">
        <v>1691</v>
      </c>
      <c r="F795" s="113" t="s">
        <v>92</v>
      </c>
      <c r="G795" s="116" t="s">
        <v>2903</v>
      </c>
      <c r="H795" s="79">
        <v>46259</v>
      </c>
      <c r="I795" s="114" t="s">
        <v>79</v>
      </c>
      <c r="J795" s="150" t="s">
        <v>2904</v>
      </c>
      <c r="K795" s="118">
        <v>46251</v>
      </c>
      <c r="L795" s="114" t="s">
        <v>81</v>
      </c>
      <c r="M795" s="119">
        <v>46252</v>
      </c>
      <c r="N795" s="128">
        <v>46253</v>
      </c>
      <c r="O795" s="120">
        <f>NETWORKDAYS.INTL(K795,N795,1,$AM$2:$AM$10)-1</f>
        <v>2</v>
      </c>
      <c r="P795" s="114" t="s">
        <v>81</v>
      </c>
      <c r="Q795" s="114" t="s">
        <v>79</v>
      </c>
      <c r="R795" s="115"/>
      <c r="S795" s="145">
        <v>659</v>
      </c>
      <c r="T795" s="148" t="s">
        <v>2905</v>
      </c>
      <c r="U795" s="147">
        <v>1</v>
      </c>
      <c r="V795" s="121">
        <v>650</v>
      </c>
      <c r="W795" s="121">
        <v>318</v>
      </c>
      <c r="X795" s="114" t="s">
        <v>84</v>
      </c>
      <c r="Y795" s="115" t="s">
        <v>85</v>
      </c>
      <c r="Z795" s="115" t="s">
        <v>86</v>
      </c>
      <c r="AA795" s="113" t="s">
        <v>87</v>
      </c>
      <c r="AB795" s="122">
        <v>259.67</v>
      </c>
      <c r="AC795" s="122">
        <f>IF(C795="DENALI", AB795*0.495, IF(C795="SCHNEIDER ELECTRIC", AB795*1.136, IF(C795="WWT", AB795*1.2, AC795)))+AB795</f>
        <v>571.274</v>
      </c>
      <c r="AD795" s="129">
        <f>AC795-AB795</f>
        <v>311.60399999999998</v>
      </c>
      <c r="AE795" s="122">
        <v>90402.78</v>
      </c>
      <c r="AF795" s="130">
        <f>AB795/U795</f>
        <v>259.67</v>
      </c>
      <c r="AG795" s="130">
        <f>AB795/V795</f>
        <v>0.3994923076923077</v>
      </c>
      <c r="AH795" s="123">
        <f>AB795/S795</f>
        <v>0.39403641881638851</v>
      </c>
      <c r="AI795" s="124" t="s">
        <v>147</v>
      </c>
      <c r="AJ795" s="125" t="s">
        <v>343</v>
      </c>
      <c r="AK795"/>
      <c r="AM795" s="80"/>
    </row>
    <row r="796" spans="1:39" ht="28.5" customHeight="1">
      <c r="A796" s="113" t="s">
        <v>73</v>
      </c>
      <c r="B796" s="114" t="s">
        <v>74</v>
      </c>
      <c r="C796" s="113" t="s">
        <v>227</v>
      </c>
      <c r="D796" s="113" t="s">
        <v>228</v>
      </c>
      <c r="E796" s="115" t="s">
        <v>1616</v>
      </c>
      <c r="F796" s="113" t="s">
        <v>228</v>
      </c>
      <c r="G796" s="116" t="s">
        <v>2906</v>
      </c>
      <c r="H796" s="79">
        <v>46260</v>
      </c>
      <c r="I796" s="114" t="s">
        <v>79</v>
      </c>
      <c r="J796" s="151" t="s">
        <v>2907</v>
      </c>
      <c r="K796" s="149">
        <v>46252</v>
      </c>
      <c r="L796" s="114" t="s">
        <v>81</v>
      </c>
      <c r="M796" s="119">
        <v>46252</v>
      </c>
      <c r="N796" s="128">
        <v>46253</v>
      </c>
      <c r="O796" s="120">
        <f>NETWORKDAYS.INTL(K796,N796,1,$AM$2:$AM$10)-1</f>
        <v>1</v>
      </c>
      <c r="P796" s="114" t="s">
        <v>81</v>
      </c>
      <c r="Q796" s="83" t="s">
        <v>79</v>
      </c>
      <c r="R796" s="169"/>
      <c r="S796" s="171">
        <v>250.2</v>
      </c>
      <c r="T796" s="148" t="s">
        <v>2908</v>
      </c>
      <c r="U796" s="147">
        <v>1</v>
      </c>
      <c r="V796" s="121">
        <v>545</v>
      </c>
      <c r="W796" s="121">
        <v>348</v>
      </c>
      <c r="X796" s="114" t="s">
        <v>84</v>
      </c>
      <c r="Y796" s="115" t="s">
        <v>85</v>
      </c>
      <c r="Z796" s="115" t="s">
        <v>2909</v>
      </c>
      <c r="AA796" s="113" t="s">
        <v>87</v>
      </c>
      <c r="AB796" s="122">
        <v>185.89</v>
      </c>
      <c r="AC796" s="122">
        <f>IF(C796="DENALI", AB796*0.495, IF(C796="SCHNEIDER ELECTRIC", AB796*1.136, IF(C796="WWT", AB796*1.2, AC796)))+AB796</f>
        <v>408.95799999999997</v>
      </c>
      <c r="AD796" s="129">
        <f>AC796-AB796</f>
        <v>223.06799999999998</v>
      </c>
      <c r="AE796" s="122">
        <v>88515.19</v>
      </c>
      <c r="AF796" s="130">
        <f>AB796/U796</f>
        <v>185.89</v>
      </c>
      <c r="AG796" s="130">
        <f>AB796/V796</f>
        <v>0.34108256880733945</v>
      </c>
      <c r="AH796" s="123">
        <f>AB796/S796</f>
        <v>0.74296562749800155</v>
      </c>
      <c r="AI796" s="124" t="s">
        <v>147</v>
      </c>
      <c r="AJ796" s="125" t="s">
        <v>343</v>
      </c>
      <c r="AK796"/>
      <c r="AM796" s="80"/>
    </row>
    <row r="797" spans="1:39" ht="28.5" customHeight="1">
      <c r="A797" s="113" t="s">
        <v>73</v>
      </c>
      <c r="B797" s="114" t="s">
        <v>74</v>
      </c>
      <c r="C797" s="113" t="s">
        <v>36</v>
      </c>
      <c r="D797" s="113" t="s">
        <v>90</v>
      </c>
      <c r="E797" s="115" t="s">
        <v>2358</v>
      </c>
      <c r="F797" s="113" t="s">
        <v>92</v>
      </c>
      <c r="G797" s="116" t="s">
        <v>2910</v>
      </c>
      <c r="H797" s="79">
        <v>46259</v>
      </c>
      <c r="I797" s="114" t="s">
        <v>79</v>
      </c>
      <c r="J797" s="181">
        <v>216864992</v>
      </c>
      <c r="K797" s="149">
        <v>46252</v>
      </c>
      <c r="L797" s="114" t="s">
        <v>79</v>
      </c>
      <c r="M797" s="119">
        <v>46254</v>
      </c>
      <c r="N797" s="128">
        <v>46260</v>
      </c>
      <c r="O797" s="120">
        <f>NETWORKDAYS.INTL(K797,N797,1,$AM$2:$AM$10)-1</f>
        <v>6</v>
      </c>
      <c r="P797" s="167" t="s">
        <v>81</v>
      </c>
      <c r="Q797" s="170" t="s">
        <v>81</v>
      </c>
      <c r="R797" s="180" t="s">
        <v>2911</v>
      </c>
      <c r="S797" s="173">
        <v>1369</v>
      </c>
      <c r="T797" s="186" t="s">
        <v>2912</v>
      </c>
      <c r="U797" s="147">
        <v>1</v>
      </c>
      <c r="V797" s="121">
        <v>6</v>
      </c>
      <c r="W797" s="121">
        <v>502</v>
      </c>
      <c r="X797" s="114" t="s">
        <v>84</v>
      </c>
      <c r="Y797" s="115" t="s">
        <v>85</v>
      </c>
      <c r="Z797" s="115" t="s">
        <v>86</v>
      </c>
      <c r="AA797" s="113" t="s">
        <v>87</v>
      </c>
      <c r="AB797" s="122">
        <v>316.87</v>
      </c>
      <c r="AC797" s="122">
        <f>IF(C797="DENALI", AB797*0.495, IF(C797="SCHNEIDER ELECTRIC", AB797*1.136, IF(C797="WWT", AB797*1.2, AC797)))+AB797</f>
        <v>676.83431999999993</v>
      </c>
      <c r="AD797" s="129">
        <f>AC797-AB797</f>
        <v>359.96431999999993</v>
      </c>
      <c r="AE797" s="122">
        <v>12415</v>
      </c>
      <c r="AF797" s="130">
        <f>AB797/U797</f>
        <v>316.87</v>
      </c>
      <c r="AG797" s="130">
        <f>AB797/V797</f>
        <v>52.811666666666667</v>
      </c>
      <c r="AH797" s="123">
        <f>AB797/S797</f>
        <v>0.23146092037983931</v>
      </c>
      <c r="AI797" s="124" t="s">
        <v>97</v>
      </c>
      <c r="AJ797" s="125" t="s">
        <v>98</v>
      </c>
      <c r="AK797"/>
      <c r="AM797" s="80"/>
    </row>
    <row r="798" spans="1:39" ht="28.5" customHeight="1">
      <c r="A798" s="113" t="s">
        <v>73</v>
      </c>
      <c r="B798" s="114" t="s">
        <v>74</v>
      </c>
      <c r="C798" s="113" t="s">
        <v>35</v>
      </c>
      <c r="D798" s="113" t="s">
        <v>218</v>
      </c>
      <c r="E798" s="115" t="s">
        <v>450</v>
      </c>
      <c r="F798" s="113" t="s">
        <v>265</v>
      </c>
      <c r="G798" s="116">
        <v>23880125</v>
      </c>
      <c r="H798" s="79">
        <v>46260</v>
      </c>
      <c r="I798" s="114" t="s">
        <v>79</v>
      </c>
      <c r="J798" s="159" t="s">
        <v>2913</v>
      </c>
      <c r="K798" s="118">
        <v>46252</v>
      </c>
      <c r="L798" s="114" t="s">
        <v>81</v>
      </c>
      <c r="M798" s="119">
        <v>46254</v>
      </c>
      <c r="N798" s="128">
        <v>46254</v>
      </c>
      <c r="O798" s="120">
        <f>NETWORKDAYS.INTL(K798,N798,1,$AM$2:$AM$10)-1</f>
        <v>2</v>
      </c>
      <c r="P798" s="114" t="s">
        <v>81</v>
      </c>
      <c r="Q798" s="174" t="s">
        <v>79</v>
      </c>
      <c r="R798" s="277" t="s">
        <v>2914</v>
      </c>
      <c r="S798" s="172">
        <v>725</v>
      </c>
      <c r="T798" s="148" t="s">
        <v>2915</v>
      </c>
      <c r="U798" s="147">
        <v>13</v>
      </c>
      <c r="V798" s="121">
        <v>13</v>
      </c>
      <c r="W798" s="121">
        <v>13520</v>
      </c>
      <c r="X798" s="114" t="s">
        <v>113</v>
      </c>
      <c r="Y798" s="115" t="s">
        <v>85</v>
      </c>
      <c r="Z798" s="115" t="s">
        <v>2916</v>
      </c>
      <c r="AA798" s="113" t="s">
        <v>87</v>
      </c>
      <c r="AB798" s="122">
        <v>3875.47</v>
      </c>
      <c r="AC798" s="122">
        <f>IF(C798="DENALI", AB798*0.495, IF(C798="SCHNEIDER ELECTRIC", AB798*1.136, IF(C798="WWT", AB798*1.2, AC798)))+AB798</f>
        <v>5793.8276499999993</v>
      </c>
      <c r="AD798" s="129">
        <f>AC798-AB798</f>
        <v>1918.3576499999995</v>
      </c>
      <c r="AE798" s="122">
        <v>1558661.8</v>
      </c>
      <c r="AF798" s="130">
        <f>AB798/U798</f>
        <v>298.1130769230769</v>
      </c>
      <c r="AG798" s="130">
        <f>AB798/V798</f>
        <v>298.1130769230769</v>
      </c>
      <c r="AH798" s="123">
        <f>AB798/S798</f>
        <v>5.3454758620689651</v>
      </c>
      <c r="AI798" s="124" t="s">
        <v>97</v>
      </c>
      <c r="AJ798" s="125" t="s">
        <v>349</v>
      </c>
      <c r="AK798"/>
      <c r="AM798" s="80"/>
    </row>
    <row r="799" spans="1:39" ht="28.5" customHeight="1">
      <c r="A799" s="113" t="s">
        <v>73</v>
      </c>
      <c r="B799" s="114" t="s">
        <v>74</v>
      </c>
      <c r="C799" s="113" t="s">
        <v>35</v>
      </c>
      <c r="D799" s="113" t="s">
        <v>218</v>
      </c>
      <c r="E799" s="115" t="s">
        <v>1989</v>
      </c>
      <c r="F799" s="113" t="s">
        <v>92</v>
      </c>
      <c r="G799" s="116" t="s">
        <v>2917</v>
      </c>
      <c r="H799" s="79">
        <v>46260</v>
      </c>
      <c r="I799" s="114" t="s">
        <v>79</v>
      </c>
      <c r="J799" s="117" t="s">
        <v>2918</v>
      </c>
      <c r="K799" s="118">
        <v>46252</v>
      </c>
      <c r="L799" s="114" t="s">
        <v>81</v>
      </c>
      <c r="M799" s="119">
        <v>46254</v>
      </c>
      <c r="N799" s="128">
        <v>46254</v>
      </c>
      <c r="O799" s="120">
        <f>NETWORKDAYS.INTL(K799,N799,1,$AM$2:$AM$10)-1</f>
        <v>2</v>
      </c>
      <c r="P799" s="114" t="s">
        <v>81</v>
      </c>
      <c r="Q799" s="114" t="s">
        <v>79</v>
      </c>
      <c r="R799" s="169"/>
      <c r="S799" s="145">
        <v>1177</v>
      </c>
      <c r="T799" s="148" t="s">
        <v>2919</v>
      </c>
      <c r="U799" s="147">
        <v>3</v>
      </c>
      <c r="V799" s="121">
        <v>1147</v>
      </c>
      <c r="W799" s="121">
        <v>2120</v>
      </c>
      <c r="X799" s="114" t="s">
        <v>84</v>
      </c>
      <c r="Y799" s="115" t="s">
        <v>85</v>
      </c>
      <c r="Z799" s="115" t="s">
        <v>86</v>
      </c>
      <c r="AA799" s="113" t="s">
        <v>87</v>
      </c>
      <c r="AB799" s="122">
        <v>883.63</v>
      </c>
      <c r="AC799" s="122">
        <f>IF(C799="DENALI", AB799*0.495, IF(C799="SCHNEIDER ELECTRIC", AB799*1.136, IF(C799="WWT", AB799*1.2, AC799)))+AB799</f>
        <v>1321.02685</v>
      </c>
      <c r="AD799" s="129">
        <f>AC799-AB799</f>
        <v>437.39684999999997</v>
      </c>
      <c r="AE799" s="122">
        <v>89248.88</v>
      </c>
      <c r="AF799" s="130">
        <f>AB799/U799</f>
        <v>294.54333333333335</v>
      </c>
      <c r="AG799" s="130">
        <f>AB799/V799</f>
        <v>0.77038360941586748</v>
      </c>
      <c r="AH799" s="123">
        <f>AB799/S799</f>
        <v>0.75074766355140188</v>
      </c>
      <c r="AI799" s="124" t="s">
        <v>147</v>
      </c>
      <c r="AJ799" s="125" t="s">
        <v>343</v>
      </c>
      <c r="AK799"/>
      <c r="AM799" s="80"/>
    </row>
    <row r="800" spans="1:39" ht="28.5" customHeight="1">
      <c r="A800" s="113" t="s">
        <v>73</v>
      </c>
      <c r="B800" s="114" t="s">
        <v>74</v>
      </c>
      <c r="C800" s="113" t="s">
        <v>35</v>
      </c>
      <c r="D800" s="113" t="s">
        <v>218</v>
      </c>
      <c r="E800" s="115" t="s">
        <v>1259</v>
      </c>
      <c r="F800" s="113" t="s">
        <v>99</v>
      </c>
      <c r="G800" s="116" t="s">
        <v>2920</v>
      </c>
      <c r="H800" s="79">
        <v>46260</v>
      </c>
      <c r="I800" s="114" t="s">
        <v>79</v>
      </c>
      <c r="J800" s="117" t="s">
        <v>2921</v>
      </c>
      <c r="K800" s="118">
        <v>46252</v>
      </c>
      <c r="L800" s="114" t="s">
        <v>81</v>
      </c>
      <c r="M800" s="119">
        <v>46259</v>
      </c>
      <c r="N800" s="128">
        <v>46258</v>
      </c>
      <c r="O800" s="120">
        <f>NETWORKDAYS.INTL(K800,N800,1,$AM$2:$AM$10)-1</f>
        <v>4</v>
      </c>
      <c r="P800" s="114" t="s">
        <v>81</v>
      </c>
      <c r="Q800" s="167" t="s">
        <v>79</v>
      </c>
      <c r="R800" s="175"/>
      <c r="S800" s="168">
        <v>2302</v>
      </c>
      <c r="T800" s="148" t="s">
        <v>1347</v>
      </c>
      <c r="U800" s="147">
        <v>2</v>
      </c>
      <c r="V800" s="121">
        <v>815</v>
      </c>
      <c r="W800" s="121">
        <v>820</v>
      </c>
      <c r="X800" s="114" t="s">
        <v>84</v>
      </c>
      <c r="Y800" s="115" t="s">
        <v>85</v>
      </c>
      <c r="Z800" s="115" t="s">
        <v>86</v>
      </c>
      <c r="AA800" s="113" t="s">
        <v>87</v>
      </c>
      <c r="AB800" s="122">
        <v>591.59</v>
      </c>
      <c r="AC800" s="122">
        <f>IF(C800="DENALI", AB800*0.495, IF(C800="SCHNEIDER ELECTRIC", AB800*1.136, IF(C800="WWT", AB800*1.2, AC800)))+AB800</f>
        <v>884.42705000000001</v>
      </c>
      <c r="AD800" s="129">
        <f>AC800-AB800</f>
        <v>292.83704999999998</v>
      </c>
      <c r="AE800" s="122">
        <v>235781.62</v>
      </c>
      <c r="AF800" s="130">
        <f>AB800/U800</f>
        <v>295.79500000000002</v>
      </c>
      <c r="AG800" s="130">
        <f>AB800/V800</f>
        <v>0.72587730061349698</v>
      </c>
      <c r="AH800" s="123">
        <f>AB800/S800</f>
        <v>0.25698957428323199</v>
      </c>
      <c r="AI800" s="124" t="s">
        <v>97</v>
      </c>
      <c r="AJ800" s="125" t="s">
        <v>349</v>
      </c>
      <c r="AK800"/>
      <c r="AM800" s="80"/>
    </row>
    <row r="801" spans="1:39" ht="28.5" customHeight="1">
      <c r="A801" s="113" t="s">
        <v>73</v>
      </c>
      <c r="B801" s="114" t="s">
        <v>74</v>
      </c>
      <c r="C801" s="113" t="s">
        <v>35</v>
      </c>
      <c r="D801" s="113" t="s">
        <v>218</v>
      </c>
      <c r="E801" s="115" t="s">
        <v>2922</v>
      </c>
      <c r="F801" s="113" t="s">
        <v>457</v>
      </c>
      <c r="G801" s="116" t="s">
        <v>2923</v>
      </c>
      <c r="H801" s="79">
        <v>46260</v>
      </c>
      <c r="I801" s="114" t="s">
        <v>79</v>
      </c>
      <c r="J801" s="117" t="s">
        <v>2924</v>
      </c>
      <c r="K801" s="118">
        <v>46252</v>
      </c>
      <c r="L801" s="114" t="s">
        <v>81</v>
      </c>
      <c r="M801" s="119">
        <v>46253</v>
      </c>
      <c r="N801" s="128">
        <v>46258</v>
      </c>
      <c r="O801" s="120">
        <f>NETWORKDAYS.INTL(K801,N801,1,$AM$2:$AM$10)-1</f>
        <v>4</v>
      </c>
      <c r="P801" s="114" t="s">
        <v>81</v>
      </c>
      <c r="Q801" s="167" t="s">
        <v>79</v>
      </c>
      <c r="R801" s="175"/>
      <c r="S801" s="168">
        <v>280.89999999999998</v>
      </c>
      <c r="T801" s="148" t="s">
        <v>2925</v>
      </c>
      <c r="U801" s="147">
        <v>2</v>
      </c>
      <c r="V801" s="121">
        <v>419</v>
      </c>
      <c r="W801" s="121">
        <v>1200</v>
      </c>
      <c r="X801" s="114" t="s">
        <v>84</v>
      </c>
      <c r="Y801" s="115" t="s">
        <v>85</v>
      </c>
      <c r="Z801" s="115" t="s">
        <v>86</v>
      </c>
      <c r="AA801" s="113" t="s">
        <v>87</v>
      </c>
      <c r="AB801" s="122">
        <v>557.45000000000005</v>
      </c>
      <c r="AC801" s="122">
        <f>IF(C801="DENALI", AB801*0.495, IF(C801="SCHNEIDER ELECTRIC", AB801*1.136, IF(C801="WWT", AB801*1.2, AC801)))+AB801</f>
        <v>833.3877500000001</v>
      </c>
      <c r="AD801" s="129">
        <f>AC801-AB801</f>
        <v>275.93775000000005</v>
      </c>
      <c r="AE801" s="122">
        <v>42026.09</v>
      </c>
      <c r="AF801" s="130">
        <f>AB801/U801</f>
        <v>278.72500000000002</v>
      </c>
      <c r="AG801" s="130">
        <f>AB801/V801</f>
        <v>1.3304295942720765</v>
      </c>
      <c r="AH801" s="123">
        <f>AB801/S801</f>
        <v>1.9845140619437525</v>
      </c>
      <c r="AI801" s="124" t="s">
        <v>97</v>
      </c>
      <c r="AJ801" s="125" t="s">
        <v>349</v>
      </c>
      <c r="AK801"/>
      <c r="AM801" s="80"/>
    </row>
    <row r="802" spans="1:39" ht="28.5" customHeight="1">
      <c r="A802" s="113" t="s">
        <v>73</v>
      </c>
      <c r="B802" s="114" t="s">
        <v>140</v>
      </c>
      <c r="C802" s="113" t="s">
        <v>35</v>
      </c>
      <c r="D802" s="113" t="s">
        <v>218</v>
      </c>
      <c r="E802" s="115" t="s">
        <v>416</v>
      </c>
      <c r="F802" s="113" t="s">
        <v>90</v>
      </c>
      <c r="G802" s="116" t="s">
        <v>2926</v>
      </c>
      <c r="H802" s="79">
        <v>46260</v>
      </c>
      <c r="I802" s="114" t="s">
        <v>79</v>
      </c>
      <c r="J802" s="117" t="s">
        <v>2927</v>
      </c>
      <c r="K802" s="118">
        <v>46252</v>
      </c>
      <c r="L802" s="114" t="s">
        <v>81</v>
      </c>
      <c r="M802" s="119">
        <v>46258</v>
      </c>
      <c r="N802" s="128">
        <v>46259</v>
      </c>
      <c r="O802" s="120">
        <f>NETWORKDAYS.INTL(K802,N802,1,$AM$2:$AM$10)-1</f>
        <v>5</v>
      </c>
      <c r="P802" s="114" t="s">
        <v>81</v>
      </c>
      <c r="Q802" s="167" t="s">
        <v>79</v>
      </c>
      <c r="R802" s="175"/>
      <c r="S802" s="168">
        <v>2264</v>
      </c>
      <c r="T802" s="148" t="s">
        <v>1780</v>
      </c>
      <c r="U802" s="147">
        <v>1</v>
      </c>
      <c r="V802" s="121">
        <v>199</v>
      </c>
      <c r="W802" s="121">
        <v>425</v>
      </c>
      <c r="X802" s="114" t="s">
        <v>84</v>
      </c>
      <c r="Y802" s="115" t="s">
        <v>85</v>
      </c>
      <c r="Z802" s="115" t="s">
        <v>86</v>
      </c>
      <c r="AA802" s="113" t="s">
        <v>87</v>
      </c>
      <c r="AB802" s="122">
        <v>357.65</v>
      </c>
      <c r="AC802" s="122">
        <f>IF(C802="DENALI", AB802*0.495, IF(C802="SCHNEIDER ELECTRIC", AB802*1.136, IF(C802="WWT", AB802*1.2, AC802)))+AB802</f>
        <v>534.68674999999996</v>
      </c>
      <c r="AD802" s="129">
        <f>AC802-AB802</f>
        <v>177.03674999999998</v>
      </c>
      <c r="AE802" s="122">
        <v>39544.43</v>
      </c>
      <c r="AF802" s="130">
        <f>AB802/U802</f>
        <v>357.65</v>
      </c>
      <c r="AG802" s="130">
        <f>AB802/V802</f>
        <v>1.7972361809045225</v>
      </c>
      <c r="AH802" s="123">
        <f>AB802/S802</f>
        <v>0.1579726148409894</v>
      </c>
      <c r="AI802" s="124" t="s">
        <v>147</v>
      </c>
      <c r="AJ802" s="125" t="s">
        <v>343</v>
      </c>
      <c r="AK802"/>
      <c r="AM802" s="80"/>
    </row>
    <row r="803" spans="1:39" ht="28.5" customHeight="1">
      <c r="A803" s="113" t="s">
        <v>73</v>
      </c>
      <c r="B803" s="114" t="s">
        <v>74</v>
      </c>
      <c r="C803" s="113" t="s">
        <v>35</v>
      </c>
      <c r="D803" s="113" t="s">
        <v>218</v>
      </c>
      <c r="E803" s="115" t="s">
        <v>1368</v>
      </c>
      <c r="F803" s="113" t="s">
        <v>90</v>
      </c>
      <c r="G803" s="116" t="s">
        <v>2928</v>
      </c>
      <c r="H803" s="79">
        <v>46260</v>
      </c>
      <c r="I803" s="114" t="s">
        <v>79</v>
      </c>
      <c r="J803" s="117" t="s">
        <v>2929</v>
      </c>
      <c r="K803" s="118">
        <v>46252</v>
      </c>
      <c r="L803" s="114" t="s">
        <v>81</v>
      </c>
      <c r="M803" s="119">
        <v>46258</v>
      </c>
      <c r="N803" s="128">
        <v>46255</v>
      </c>
      <c r="O803" s="120">
        <f>NETWORKDAYS.INTL(K803,N803,1,$AM$2:$AM$10)-1</f>
        <v>3</v>
      </c>
      <c r="P803" s="114" t="s">
        <v>81</v>
      </c>
      <c r="Q803" s="167" t="s">
        <v>79</v>
      </c>
      <c r="R803" s="175"/>
      <c r="S803" s="168">
        <v>2245</v>
      </c>
      <c r="T803" s="148" t="s">
        <v>2930</v>
      </c>
      <c r="U803" s="147">
        <v>1</v>
      </c>
      <c r="V803" s="121">
        <v>112</v>
      </c>
      <c r="W803" s="121">
        <v>590</v>
      </c>
      <c r="X803" s="114" t="s">
        <v>84</v>
      </c>
      <c r="Y803" s="115" t="s">
        <v>85</v>
      </c>
      <c r="Z803" s="115" t="s">
        <v>86</v>
      </c>
      <c r="AA803" s="113" t="s">
        <v>87</v>
      </c>
      <c r="AB803" s="122">
        <v>336.14</v>
      </c>
      <c r="AC803" s="122">
        <f>IF(C803="DENALI", AB803*0.495, IF(C803="SCHNEIDER ELECTRIC", AB803*1.136, IF(C803="WWT", AB803*1.2, AC803)))+AB803</f>
        <v>502.52929999999998</v>
      </c>
      <c r="AD803" s="129">
        <f>AC803-AB803</f>
        <v>166.38929999999999</v>
      </c>
      <c r="AE803" s="122">
        <v>26933.279999999999</v>
      </c>
      <c r="AF803" s="130">
        <f>AB803/U803</f>
        <v>336.14</v>
      </c>
      <c r="AG803" s="130">
        <f>AB803/V803</f>
        <v>3.0012499999999998</v>
      </c>
      <c r="AH803" s="123">
        <f>AB803/S803</f>
        <v>0.149728285077951</v>
      </c>
      <c r="AI803" s="124" t="s">
        <v>1044</v>
      </c>
      <c r="AJ803" s="125" t="s">
        <v>349</v>
      </c>
      <c r="AK803"/>
      <c r="AM803" s="80"/>
    </row>
    <row r="804" spans="1:39" ht="76.5">
      <c r="A804" s="113" t="s">
        <v>73</v>
      </c>
      <c r="B804" s="114" t="s">
        <v>140</v>
      </c>
      <c r="C804" s="113" t="s">
        <v>35</v>
      </c>
      <c r="D804" s="113" t="s">
        <v>218</v>
      </c>
      <c r="E804" s="115" t="s">
        <v>141</v>
      </c>
      <c r="F804" s="113" t="s">
        <v>142</v>
      </c>
      <c r="G804" s="116" t="s">
        <v>2931</v>
      </c>
      <c r="H804" s="79">
        <v>46260</v>
      </c>
      <c r="I804" s="114" t="s">
        <v>79</v>
      </c>
      <c r="J804" s="117" t="s">
        <v>2932</v>
      </c>
      <c r="K804" s="118">
        <v>46252</v>
      </c>
      <c r="L804" s="114" t="s">
        <v>81</v>
      </c>
      <c r="M804" s="119">
        <v>46253</v>
      </c>
      <c r="N804" s="128">
        <v>46254</v>
      </c>
      <c r="O804" s="120">
        <f>NETWORKDAYS.INTL(K804,N804,1,$AM$2:$AM$10)-1</f>
        <v>2</v>
      </c>
      <c r="P804" s="114" t="s">
        <v>81</v>
      </c>
      <c r="Q804" s="114" t="s">
        <v>79</v>
      </c>
      <c r="R804" s="176"/>
      <c r="S804" s="145">
        <v>441</v>
      </c>
      <c r="T804" s="148" t="s">
        <v>2933</v>
      </c>
      <c r="U804" s="147">
        <v>5</v>
      </c>
      <c r="V804" s="121">
        <v>1837</v>
      </c>
      <c r="W804" s="121">
        <v>2570</v>
      </c>
      <c r="X804" s="114" t="s">
        <v>84</v>
      </c>
      <c r="Y804" s="115" t="s">
        <v>85</v>
      </c>
      <c r="Z804" s="115" t="s">
        <v>2723</v>
      </c>
      <c r="AA804" s="113" t="s">
        <v>87</v>
      </c>
      <c r="AB804" s="122">
        <v>734.81</v>
      </c>
      <c r="AC804" s="122">
        <f>IF(C804="DENALI", AB804*0.495, IF(C804="SCHNEIDER ELECTRIC", AB804*1.136, IF(C804="WWT", AB804*1.2, AC804)))+AB804</f>
        <v>1098.5409499999998</v>
      </c>
      <c r="AD804" s="129">
        <f>AC804-AB804</f>
        <v>363.73094999999989</v>
      </c>
      <c r="AE804" s="122">
        <v>25870.22</v>
      </c>
      <c r="AF804" s="130">
        <f>AB804/U804</f>
        <v>146.96199999999999</v>
      </c>
      <c r="AG804" s="130">
        <f>AB804/V804</f>
        <v>0.40000544365813823</v>
      </c>
      <c r="AH804" s="123">
        <f>AB804/S804</f>
        <v>1.6662358276643989</v>
      </c>
      <c r="AI804" s="124" t="s">
        <v>155</v>
      </c>
      <c r="AJ804" s="125" t="s">
        <v>89</v>
      </c>
      <c r="AK804"/>
      <c r="AM804" s="80"/>
    </row>
    <row r="805" spans="1:39" ht="28.5" customHeight="1">
      <c r="A805" s="113" t="s">
        <v>73</v>
      </c>
      <c r="B805" s="114" t="s">
        <v>74</v>
      </c>
      <c r="C805" s="113" t="s">
        <v>35</v>
      </c>
      <c r="D805" s="113" t="s">
        <v>99</v>
      </c>
      <c r="E805" s="153" t="s">
        <v>901</v>
      </c>
      <c r="F805" s="113" t="s">
        <v>142</v>
      </c>
      <c r="G805" s="116">
        <v>23891643</v>
      </c>
      <c r="H805" s="79">
        <v>46260</v>
      </c>
      <c r="I805" s="114" t="s">
        <v>79</v>
      </c>
      <c r="J805" s="117" t="s">
        <v>2934</v>
      </c>
      <c r="K805" s="118">
        <v>46252</v>
      </c>
      <c r="L805" s="114" t="s">
        <v>81</v>
      </c>
      <c r="M805" s="119">
        <v>46255</v>
      </c>
      <c r="N805" s="128">
        <v>46255</v>
      </c>
      <c r="O805" s="120">
        <f>NETWORKDAYS.INTL(K805,N805,1,$AM$2:$AM$10)-1</f>
        <v>3</v>
      </c>
      <c r="P805" s="114" t="s">
        <v>81</v>
      </c>
      <c r="Q805" s="114" t="s">
        <v>79</v>
      </c>
      <c r="R805" s="169"/>
      <c r="S805" s="145">
        <v>2449.3000000000002</v>
      </c>
      <c r="T805" s="148" t="s">
        <v>2935</v>
      </c>
      <c r="U805" s="147">
        <v>2</v>
      </c>
      <c r="V805" s="121">
        <v>2</v>
      </c>
      <c r="W805" s="121">
        <v>625</v>
      </c>
      <c r="X805" s="114" t="s">
        <v>113</v>
      </c>
      <c r="Y805" s="115" t="s">
        <v>85</v>
      </c>
      <c r="Z805" s="115" t="s">
        <v>2016</v>
      </c>
      <c r="AA805" s="113" t="s">
        <v>87</v>
      </c>
      <c r="AB805" s="122">
        <v>4698</v>
      </c>
      <c r="AC805" s="122">
        <f>IF(C805="DENALI", AB805*0.495, IF(C805="SCHNEIDER ELECTRIC", AB805*1.136, IF(C805="WWT", AB805*1.2, AC805)))+AB805</f>
        <v>7023.51</v>
      </c>
      <c r="AD805" s="129">
        <f>AC805-AB805</f>
        <v>2325.5100000000002</v>
      </c>
      <c r="AE805" s="122">
        <v>12157.42</v>
      </c>
      <c r="AF805" s="130">
        <f>AB805/U805</f>
        <v>2349</v>
      </c>
      <c r="AG805" s="130">
        <f>AB805/V805</f>
        <v>2349</v>
      </c>
      <c r="AH805" s="123">
        <f>AB805/S805</f>
        <v>1.918099048707794</v>
      </c>
      <c r="AI805" s="124" t="s">
        <v>97</v>
      </c>
      <c r="AJ805" s="125" t="s">
        <v>349</v>
      </c>
      <c r="AK805"/>
      <c r="AM805" s="80"/>
    </row>
    <row r="806" spans="1:39" ht="28.5" customHeight="1">
      <c r="A806" s="113" t="s">
        <v>73</v>
      </c>
      <c r="B806" s="114" t="s">
        <v>74</v>
      </c>
      <c r="C806" s="113" t="s">
        <v>227</v>
      </c>
      <c r="D806" s="113" t="s">
        <v>228</v>
      </c>
      <c r="E806" s="115" t="s">
        <v>1732</v>
      </c>
      <c r="F806" s="113" t="s">
        <v>396</v>
      </c>
      <c r="G806" s="116" t="s">
        <v>2936</v>
      </c>
      <c r="H806" s="79">
        <v>46260</v>
      </c>
      <c r="I806" s="114" t="s">
        <v>79</v>
      </c>
      <c r="J806" s="117" t="s">
        <v>2937</v>
      </c>
      <c r="K806" s="118">
        <v>46253</v>
      </c>
      <c r="L806" s="114" t="s">
        <v>79</v>
      </c>
      <c r="M806" s="119">
        <v>46254</v>
      </c>
      <c r="N806" s="128">
        <v>46260</v>
      </c>
      <c r="O806" s="120">
        <f>NETWORKDAYS.INTL(K806,N806,1,$AM$2:$AM$10)-1</f>
        <v>5</v>
      </c>
      <c r="P806" s="114" t="s">
        <v>81</v>
      </c>
      <c r="Q806" s="167" t="s">
        <v>79</v>
      </c>
      <c r="R806" s="175"/>
      <c r="S806" s="168">
        <v>42.1</v>
      </c>
      <c r="T806" s="148" t="s">
        <v>2938</v>
      </c>
      <c r="U806" s="147">
        <v>1</v>
      </c>
      <c r="V806" s="121">
        <v>453</v>
      </c>
      <c r="W806" s="121">
        <v>250</v>
      </c>
      <c r="X806" s="114" t="s">
        <v>84</v>
      </c>
      <c r="Y806" s="115" t="s">
        <v>85</v>
      </c>
      <c r="Z806" s="115" t="s">
        <v>2723</v>
      </c>
      <c r="AA806" s="113" t="s">
        <v>87</v>
      </c>
      <c r="AB806" s="122">
        <v>188.81</v>
      </c>
      <c r="AC806" s="122">
        <f>IF(C806="DENALI", AB806*0.495, IF(C806="SCHNEIDER ELECTRIC", AB806*1.136, IF(C806="WWT", AB806*1.2, AC806)))+AB806</f>
        <v>415.38200000000001</v>
      </c>
      <c r="AD806" s="129">
        <f>AC806-AB806</f>
        <v>226.572</v>
      </c>
      <c r="AE806" s="122">
        <v>48891.26</v>
      </c>
      <c r="AF806" s="130">
        <f>AB806/U806</f>
        <v>188.81</v>
      </c>
      <c r="AG806" s="130">
        <f>AB806/V806</f>
        <v>0.41679911699779248</v>
      </c>
      <c r="AH806" s="123">
        <f>AB806/S806</f>
        <v>4.4847980997624699</v>
      </c>
      <c r="AI806" s="124" t="s">
        <v>147</v>
      </c>
      <c r="AJ806" s="125" t="s">
        <v>343</v>
      </c>
      <c r="AK806"/>
      <c r="AM806" s="80"/>
    </row>
    <row r="807" spans="1:39" ht="28.5" customHeight="1">
      <c r="A807" s="113" t="s">
        <v>73</v>
      </c>
      <c r="B807" s="114" t="s">
        <v>74</v>
      </c>
      <c r="C807" s="113" t="s">
        <v>35</v>
      </c>
      <c r="D807" s="113" t="s">
        <v>218</v>
      </c>
      <c r="E807" s="115" t="s">
        <v>736</v>
      </c>
      <c r="F807" s="113" t="s">
        <v>109</v>
      </c>
      <c r="G807" s="116" t="s">
        <v>2939</v>
      </c>
      <c r="H807" s="79">
        <v>46258</v>
      </c>
      <c r="I807" s="114" t="s">
        <v>79</v>
      </c>
      <c r="J807" s="117" t="s">
        <v>2940</v>
      </c>
      <c r="K807" s="118">
        <v>46253</v>
      </c>
      <c r="L807" s="114" t="s">
        <v>81</v>
      </c>
      <c r="M807" s="119">
        <v>46258</v>
      </c>
      <c r="N807" s="128">
        <v>46258</v>
      </c>
      <c r="O807" s="120">
        <f>NETWORKDAYS.INTL(K807,N807,1,$AM$2:$AM$10)-1</f>
        <v>3</v>
      </c>
      <c r="P807" s="114" t="s">
        <v>81</v>
      </c>
      <c r="Q807" s="167" t="s">
        <v>79</v>
      </c>
      <c r="R807" s="175"/>
      <c r="S807" s="168">
        <v>1250</v>
      </c>
      <c r="T807" s="148" t="s">
        <v>2941</v>
      </c>
      <c r="U807" s="147">
        <v>1</v>
      </c>
      <c r="V807" s="121">
        <v>120</v>
      </c>
      <c r="W807" s="121">
        <v>375</v>
      </c>
      <c r="X807" s="114" t="s">
        <v>84</v>
      </c>
      <c r="Y807" s="115" t="s">
        <v>85</v>
      </c>
      <c r="Z807" s="115" t="s">
        <v>86</v>
      </c>
      <c r="AA807" s="113" t="s">
        <v>87</v>
      </c>
      <c r="AB807" s="122">
        <v>480.32</v>
      </c>
      <c r="AC807" s="122">
        <f>IF(C807="DENALI", AB807*0.495, IF(C807="SCHNEIDER ELECTRIC", AB807*1.136, IF(C807="WWT", AB807*1.2, AC807)))+AB807</f>
        <v>718.07839999999999</v>
      </c>
      <c r="AD807" s="129">
        <f>AC807-AB807</f>
        <v>237.75839999999999</v>
      </c>
      <c r="AE807" s="122">
        <v>14042.67</v>
      </c>
      <c r="AF807" s="130">
        <f>AB807/U807</f>
        <v>480.32</v>
      </c>
      <c r="AG807" s="130">
        <f>AB807/V807</f>
        <v>4.0026666666666664</v>
      </c>
      <c r="AH807" s="123">
        <f>AB807/S807</f>
        <v>0.38425599999999999</v>
      </c>
      <c r="AI807" s="124" t="s">
        <v>97</v>
      </c>
      <c r="AJ807" s="125" t="s">
        <v>349</v>
      </c>
      <c r="AK807"/>
      <c r="AM807" s="80"/>
    </row>
    <row r="808" spans="1:39" ht="28.5" customHeight="1">
      <c r="A808" s="113" t="s">
        <v>73</v>
      </c>
      <c r="B808" s="114" t="s">
        <v>74</v>
      </c>
      <c r="C808" s="113" t="s">
        <v>35</v>
      </c>
      <c r="D808" s="113" t="s">
        <v>218</v>
      </c>
      <c r="E808" s="115" t="s">
        <v>872</v>
      </c>
      <c r="F808" s="113" t="s">
        <v>90</v>
      </c>
      <c r="G808" s="116" t="s">
        <v>2942</v>
      </c>
      <c r="H808" s="79">
        <v>46260</v>
      </c>
      <c r="I808" s="114" t="s">
        <v>79</v>
      </c>
      <c r="J808" s="150" t="s">
        <v>2943</v>
      </c>
      <c r="K808" s="118">
        <v>46253</v>
      </c>
      <c r="L808" s="114" t="s">
        <v>81</v>
      </c>
      <c r="M808" s="119">
        <v>46258</v>
      </c>
      <c r="N808" s="128">
        <v>46260</v>
      </c>
      <c r="O808" s="120">
        <f>NETWORKDAYS.INTL(K808,N808,1,$AM$2:$AM$10)-1</f>
        <v>5</v>
      </c>
      <c r="P808" s="114" t="s">
        <v>81</v>
      </c>
      <c r="Q808" s="114" t="s">
        <v>79</v>
      </c>
      <c r="R808" s="176"/>
      <c r="S808" s="145">
        <v>2189</v>
      </c>
      <c r="T808" s="148" t="s">
        <v>2944</v>
      </c>
      <c r="U808" s="147">
        <v>3</v>
      </c>
      <c r="V808" s="121">
        <v>983</v>
      </c>
      <c r="W808" s="121">
        <v>1995</v>
      </c>
      <c r="X808" s="114" t="s">
        <v>84</v>
      </c>
      <c r="Y808" s="115" t="s">
        <v>85</v>
      </c>
      <c r="Z808" s="115" t="s">
        <v>86</v>
      </c>
      <c r="AA808" s="113" t="s">
        <v>87</v>
      </c>
      <c r="AB808" s="122">
        <v>1044.27</v>
      </c>
      <c r="AC808" s="122">
        <f>IF(C808="DENALI", AB808*0.495, IF(C808="SCHNEIDER ELECTRIC", AB808*1.136, IF(C808="WWT", AB808*1.2, AC808)))+AB808</f>
        <v>1561.1836499999999</v>
      </c>
      <c r="AD808" s="129">
        <f>AC808-AB808</f>
        <v>516.91364999999996</v>
      </c>
      <c r="AE808" s="122">
        <v>72474.86</v>
      </c>
      <c r="AF808" s="130">
        <f>AB808/U808</f>
        <v>348.09</v>
      </c>
      <c r="AG808" s="130">
        <f>AB808/V808</f>
        <v>1.0623296032553409</v>
      </c>
      <c r="AH808" s="123">
        <f>AB808/S808</f>
        <v>0.47705344906349928</v>
      </c>
      <c r="AI808" s="124" t="s">
        <v>147</v>
      </c>
      <c r="AJ808" s="125" t="s">
        <v>343</v>
      </c>
      <c r="AK808"/>
      <c r="AM808" s="80"/>
    </row>
    <row r="809" spans="1:39" ht="76.5">
      <c r="A809" s="113" t="s">
        <v>73</v>
      </c>
      <c r="B809" s="114" t="s">
        <v>140</v>
      </c>
      <c r="C809" s="113" t="s">
        <v>35</v>
      </c>
      <c r="D809" s="113" t="s">
        <v>218</v>
      </c>
      <c r="E809" s="115" t="s">
        <v>141</v>
      </c>
      <c r="F809" s="113" t="s">
        <v>142</v>
      </c>
      <c r="G809" s="116">
        <v>23896185</v>
      </c>
      <c r="H809" s="79">
        <v>46260</v>
      </c>
      <c r="I809" s="114" t="s">
        <v>79</v>
      </c>
      <c r="J809" s="152" t="s">
        <v>2945</v>
      </c>
      <c r="K809" s="149">
        <v>46253</v>
      </c>
      <c r="L809" s="114" t="s">
        <v>81</v>
      </c>
      <c r="M809" s="119">
        <v>46254</v>
      </c>
      <c r="N809" s="128">
        <v>46254</v>
      </c>
      <c r="O809" s="120">
        <f>NETWORKDAYS.INTL(K809,N809,1,$AM$2:$AM$10)-1</f>
        <v>1</v>
      </c>
      <c r="P809" s="114" t="s">
        <v>81</v>
      </c>
      <c r="Q809" s="114" t="s">
        <v>79</v>
      </c>
      <c r="R809" s="115"/>
      <c r="S809" s="145">
        <v>443</v>
      </c>
      <c r="T809" s="148" t="s">
        <v>2946</v>
      </c>
      <c r="U809" s="147">
        <v>11</v>
      </c>
      <c r="V809" s="121">
        <v>11</v>
      </c>
      <c r="W809" s="121">
        <v>6485</v>
      </c>
      <c r="X809" s="114" t="s">
        <v>113</v>
      </c>
      <c r="Y809" s="115" t="s">
        <v>85</v>
      </c>
      <c r="Z809" s="115" t="s">
        <v>2947</v>
      </c>
      <c r="AA809" s="113" t="s">
        <v>87</v>
      </c>
      <c r="AB809" s="122">
        <v>1692.92</v>
      </c>
      <c r="AC809" s="122">
        <f>IF(C809="DENALI", AB809*0.495, IF(C809="SCHNEIDER ELECTRIC", AB809*1.136, IF(C809="WWT", AB809*1.2, AC809)))+AB809</f>
        <v>2530.9153999999999</v>
      </c>
      <c r="AD809" s="129">
        <f>AC809-AB809</f>
        <v>837.99539999999979</v>
      </c>
      <c r="AE809" s="122">
        <v>368417.71</v>
      </c>
      <c r="AF809" s="130">
        <f>AB809/U809</f>
        <v>153.90181818181819</v>
      </c>
      <c r="AG809" s="130">
        <f>AB809/V809</f>
        <v>153.90181818181819</v>
      </c>
      <c r="AH809" s="123">
        <f>AB809/S809</f>
        <v>3.8214898419864562</v>
      </c>
      <c r="AI809" s="124" t="s">
        <v>155</v>
      </c>
      <c r="AJ809" s="125" t="s">
        <v>2948</v>
      </c>
      <c r="AK809"/>
      <c r="AM809" s="80"/>
    </row>
    <row r="810" spans="1:39" ht="28.5" customHeight="1">
      <c r="A810" s="113" t="s">
        <v>73</v>
      </c>
      <c r="B810" s="114" t="s">
        <v>74</v>
      </c>
      <c r="C810" s="113" t="s">
        <v>227</v>
      </c>
      <c r="D810" s="113" t="s">
        <v>228</v>
      </c>
      <c r="E810" s="115" t="s">
        <v>1255</v>
      </c>
      <c r="F810" s="113" t="s">
        <v>207</v>
      </c>
      <c r="G810" s="116" t="s">
        <v>2949</v>
      </c>
      <c r="H810" s="79">
        <v>46261</v>
      </c>
      <c r="I810" s="114" t="s">
        <v>79</v>
      </c>
      <c r="J810" s="152" t="s">
        <v>2950</v>
      </c>
      <c r="K810" s="149">
        <v>46254</v>
      </c>
      <c r="L810" s="114" t="s">
        <v>81</v>
      </c>
      <c r="M810" s="119">
        <v>46255</v>
      </c>
      <c r="N810" s="128">
        <v>46254</v>
      </c>
      <c r="O810" s="120">
        <f>NETWORKDAYS.INTL(K810,N810,1,$AM$2:$AM$10)-1</f>
        <v>0</v>
      </c>
      <c r="P810" s="114" t="s">
        <v>81</v>
      </c>
      <c r="Q810" s="114" t="s">
        <v>79</v>
      </c>
      <c r="R810" s="115"/>
      <c r="S810" s="145">
        <v>359</v>
      </c>
      <c r="T810" s="148" t="s">
        <v>2951</v>
      </c>
      <c r="U810" s="147">
        <v>1</v>
      </c>
      <c r="V810" s="121">
        <v>647</v>
      </c>
      <c r="W810" s="121">
        <v>328</v>
      </c>
      <c r="X810" s="114" t="s">
        <v>84</v>
      </c>
      <c r="Y810" s="115" t="s">
        <v>85</v>
      </c>
      <c r="Z810" s="115" t="s">
        <v>2723</v>
      </c>
      <c r="AA810" s="113" t="s">
        <v>87</v>
      </c>
      <c r="AB810" s="122">
        <v>191.3</v>
      </c>
      <c r="AC810" s="122">
        <f>IF(C810="DENALI", AB810*0.495, IF(C810="SCHNEIDER ELECTRIC", AB810*1.136, IF(C810="WWT", AB810*1.2, AC810)))+AB810</f>
        <v>420.86</v>
      </c>
      <c r="AD810" s="129">
        <f>AC810-AB810</f>
        <v>229.56</v>
      </c>
      <c r="AE810" s="122">
        <v>113340.85</v>
      </c>
      <c r="AF810" s="130">
        <f>AB810/U810</f>
        <v>191.3</v>
      </c>
      <c r="AG810" s="130">
        <f>AB810/V810</f>
        <v>0.2956723338485317</v>
      </c>
      <c r="AH810" s="123">
        <f>AB810/S810</f>
        <v>0.53286908077994433</v>
      </c>
      <c r="AI810" s="124" t="s">
        <v>147</v>
      </c>
      <c r="AJ810" s="125" t="s">
        <v>343</v>
      </c>
      <c r="AK810"/>
      <c r="AM810" s="80"/>
    </row>
    <row r="811" spans="1:39" ht="28.5" customHeight="1">
      <c r="A811" s="113" t="s">
        <v>73</v>
      </c>
      <c r="B811" s="114" t="s">
        <v>74</v>
      </c>
      <c r="C811" s="113" t="s">
        <v>35</v>
      </c>
      <c r="D811" s="113" t="s">
        <v>99</v>
      </c>
      <c r="E811" s="115" t="s">
        <v>2952</v>
      </c>
      <c r="F811" s="113" t="s">
        <v>207</v>
      </c>
      <c r="G811" s="116" t="s">
        <v>2953</v>
      </c>
      <c r="H811" s="79">
        <v>46261</v>
      </c>
      <c r="I811" s="114" t="s">
        <v>79</v>
      </c>
      <c r="J811" s="152" t="s">
        <v>2954</v>
      </c>
      <c r="K811" s="149">
        <v>46253</v>
      </c>
      <c r="L811" s="114" t="s">
        <v>81</v>
      </c>
      <c r="M811" s="119">
        <v>46259</v>
      </c>
      <c r="N811" s="128">
        <v>46261</v>
      </c>
      <c r="O811" s="120">
        <f>NETWORKDAYS.INTL(K811,N811,1,$AM$2:$AM$10)-1</f>
        <v>6</v>
      </c>
      <c r="P811" s="114" t="s">
        <v>81</v>
      </c>
      <c r="Q811" s="114" t="s">
        <v>79</v>
      </c>
      <c r="R811" s="115"/>
      <c r="S811" s="145">
        <v>2398</v>
      </c>
      <c r="T811" s="148" t="s">
        <v>2955</v>
      </c>
      <c r="U811" s="147">
        <v>1</v>
      </c>
      <c r="V811" s="121">
        <v>47</v>
      </c>
      <c r="W811" s="121">
        <v>910</v>
      </c>
      <c r="X811" s="114" t="s">
        <v>84</v>
      </c>
      <c r="Y811" s="115" t="s">
        <v>85</v>
      </c>
      <c r="Z811" s="115" t="s">
        <v>86</v>
      </c>
      <c r="AA811" s="113" t="s">
        <v>87</v>
      </c>
      <c r="AB811" s="122">
        <v>700.36</v>
      </c>
      <c r="AC811" s="122">
        <f>IF(C811="DENALI", AB811*0.495, IF(C811="SCHNEIDER ELECTRIC", AB811*1.136, IF(C811="WWT", AB811*1.2, AC811)))+AB811</f>
        <v>1047.0382</v>
      </c>
      <c r="AD811" s="129">
        <f>AC811-AB811</f>
        <v>346.67819999999995</v>
      </c>
      <c r="AE811" s="122">
        <v>90678.98</v>
      </c>
      <c r="AF811" s="130">
        <f>AB811/U811</f>
        <v>700.36</v>
      </c>
      <c r="AG811" s="130">
        <f>AB811/V811</f>
        <v>14.901276595744681</v>
      </c>
      <c r="AH811" s="123">
        <f>AB811/S811</f>
        <v>0.29206005004170144</v>
      </c>
      <c r="AI811" s="124" t="s">
        <v>97</v>
      </c>
      <c r="AJ811" s="125" t="s">
        <v>349</v>
      </c>
      <c r="AK811"/>
      <c r="AM811" s="80"/>
    </row>
    <row r="812" spans="1:39" ht="28.5" customHeight="1">
      <c r="A812" s="113" t="s">
        <v>73</v>
      </c>
      <c r="B812" s="114" t="s">
        <v>74</v>
      </c>
      <c r="C812" s="113" t="s">
        <v>35</v>
      </c>
      <c r="D812" s="113" t="s">
        <v>99</v>
      </c>
      <c r="E812" s="115" t="s">
        <v>566</v>
      </c>
      <c r="F812" s="113" t="s">
        <v>131</v>
      </c>
      <c r="G812" s="116" t="s">
        <v>2956</v>
      </c>
      <c r="H812" s="79">
        <v>46261</v>
      </c>
      <c r="I812" s="114" t="s">
        <v>79</v>
      </c>
      <c r="J812" s="152" t="s">
        <v>2957</v>
      </c>
      <c r="K812" s="149">
        <v>46253</v>
      </c>
      <c r="L812" s="114" t="s">
        <v>81</v>
      </c>
      <c r="M812" s="119">
        <v>46260</v>
      </c>
      <c r="N812" s="128">
        <v>46262</v>
      </c>
      <c r="O812" s="120">
        <f>NETWORKDAYS.INTL(K812,N812,1,$AM$2:$AM$10)-1</f>
        <v>7</v>
      </c>
      <c r="P812" s="114" t="s">
        <v>79</v>
      </c>
      <c r="Q812" s="114" t="s">
        <v>79</v>
      </c>
      <c r="R812" s="115" t="s">
        <v>2411</v>
      </c>
      <c r="S812" s="145">
        <v>3026</v>
      </c>
      <c r="T812" s="148" t="s">
        <v>2958</v>
      </c>
      <c r="U812" s="147">
        <v>1</v>
      </c>
      <c r="V812" s="121">
        <v>32</v>
      </c>
      <c r="W812" s="121">
        <v>520</v>
      </c>
      <c r="X812" s="114" t="s">
        <v>84</v>
      </c>
      <c r="Y812" s="115" t="s">
        <v>85</v>
      </c>
      <c r="Z812" s="115" t="s">
        <v>86</v>
      </c>
      <c r="AA812" s="113" t="s">
        <v>87</v>
      </c>
      <c r="AB812" s="122">
        <v>595.55999999999995</v>
      </c>
      <c r="AC812" s="122">
        <f>IF(C812="DENALI", AB812*0.495, IF(C812="SCHNEIDER ELECTRIC", AB812*1.136, IF(C812="WWT", AB812*1.2, AC812)))+AB812</f>
        <v>890.36219999999992</v>
      </c>
      <c r="AD812" s="129">
        <f>AC812-AB812</f>
        <v>294.80219999999997</v>
      </c>
      <c r="AE812" s="122">
        <v>45263.519999999997</v>
      </c>
      <c r="AF812" s="130">
        <f>AB812/U812</f>
        <v>595.55999999999995</v>
      </c>
      <c r="AG812" s="130">
        <f>AB812/V812</f>
        <v>18.611249999999998</v>
      </c>
      <c r="AH812" s="123">
        <f>AB812/S812</f>
        <v>0.19681427627230666</v>
      </c>
      <c r="AI812" s="124" t="s">
        <v>570</v>
      </c>
      <c r="AJ812" s="125" t="s">
        <v>107</v>
      </c>
      <c r="AK812"/>
      <c r="AM812" s="80"/>
    </row>
    <row r="813" spans="1:39" ht="28.5" customHeight="1">
      <c r="A813" s="113" t="s">
        <v>73</v>
      </c>
      <c r="B813" s="114" t="s">
        <v>74</v>
      </c>
      <c r="C813" s="113" t="s">
        <v>35</v>
      </c>
      <c r="D813" s="113" t="s">
        <v>99</v>
      </c>
      <c r="E813" s="115" t="s">
        <v>1368</v>
      </c>
      <c r="F813" s="113" t="s">
        <v>90</v>
      </c>
      <c r="G813" s="116" t="s">
        <v>2959</v>
      </c>
      <c r="H813" s="79">
        <v>46261</v>
      </c>
      <c r="I813" s="114" t="s">
        <v>79</v>
      </c>
      <c r="J813" s="152" t="s">
        <v>2960</v>
      </c>
      <c r="K813" s="149">
        <v>46253</v>
      </c>
      <c r="L813" s="114" t="s">
        <v>81</v>
      </c>
      <c r="M813" s="119">
        <v>46255</v>
      </c>
      <c r="N813" s="128">
        <v>46258</v>
      </c>
      <c r="O813" s="120">
        <f>NETWORKDAYS.INTL(K813,N813,1,$AM$2:$AM$10)-1</f>
        <v>3</v>
      </c>
      <c r="P813" s="114" t="s">
        <v>81</v>
      </c>
      <c r="Q813" s="114" t="s">
        <v>79</v>
      </c>
      <c r="R813" s="115"/>
      <c r="S813" s="145">
        <v>1290</v>
      </c>
      <c r="T813" s="148" t="s">
        <v>2930</v>
      </c>
      <c r="U813" s="147">
        <v>4</v>
      </c>
      <c r="V813" s="121">
        <v>146</v>
      </c>
      <c r="W813" s="121">
        <v>2330</v>
      </c>
      <c r="X813" s="114" t="s">
        <v>84</v>
      </c>
      <c r="Y813" s="115" t="s">
        <v>85</v>
      </c>
      <c r="Z813" s="115" t="s">
        <v>2782</v>
      </c>
      <c r="AA813" s="113" t="s">
        <v>87</v>
      </c>
      <c r="AB813" s="122">
        <v>750.68</v>
      </c>
      <c r="AC813" s="122">
        <f>IF(C813="DENALI", AB813*0.495, IF(C813="SCHNEIDER ELECTRIC", AB813*1.136, IF(C813="WWT", AB813*1.2, AC813)))+AB813</f>
        <v>1122.2665999999999</v>
      </c>
      <c r="AD813" s="129">
        <f>AC813-AB813</f>
        <v>371.58659999999998</v>
      </c>
      <c r="AE813" s="122">
        <v>206733.81</v>
      </c>
      <c r="AF813" s="130">
        <f>AB813/U813</f>
        <v>187.67</v>
      </c>
      <c r="AG813" s="130">
        <f>AB813/V813</f>
        <v>5.1416438356164385</v>
      </c>
      <c r="AH813" s="123">
        <f>AB813/S813</f>
        <v>0.58192248062015495</v>
      </c>
      <c r="AI813" s="124" t="s">
        <v>1044</v>
      </c>
      <c r="AJ813" s="125" t="s">
        <v>349</v>
      </c>
      <c r="AK813"/>
      <c r="AM813" s="80"/>
    </row>
    <row r="814" spans="1:39" ht="28.5" customHeight="1">
      <c r="A814" s="113" t="s">
        <v>73</v>
      </c>
      <c r="B814" s="114" t="s">
        <v>74</v>
      </c>
      <c r="C814" s="113" t="s">
        <v>227</v>
      </c>
      <c r="D814" s="113" t="s">
        <v>228</v>
      </c>
      <c r="E814" s="115" t="s">
        <v>405</v>
      </c>
      <c r="F814" s="113" t="s">
        <v>109</v>
      </c>
      <c r="G814" s="116" t="s">
        <v>2961</v>
      </c>
      <c r="H814" s="79">
        <v>46262</v>
      </c>
      <c r="I814" s="114" t="s">
        <v>79</v>
      </c>
      <c r="J814" s="152" t="s">
        <v>2962</v>
      </c>
      <c r="K814" s="149">
        <v>46254</v>
      </c>
      <c r="L814" s="114" t="s">
        <v>79</v>
      </c>
      <c r="M814" s="119">
        <v>46258</v>
      </c>
      <c r="N814" s="128">
        <v>46262</v>
      </c>
      <c r="O814" s="120">
        <f>NETWORKDAYS.INTL(K814,N814,1,$AM$2:$AM$10)-1</f>
        <v>6</v>
      </c>
      <c r="P814" s="114" t="s">
        <v>81</v>
      </c>
      <c r="Q814" s="114" t="s">
        <v>79</v>
      </c>
      <c r="R814" s="115"/>
      <c r="S814" s="145">
        <v>935.5</v>
      </c>
      <c r="T814" s="148" t="s">
        <v>2963</v>
      </c>
      <c r="U814" s="147">
        <v>1</v>
      </c>
      <c r="V814" s="121">
        <v>647</v>
      </c>
      <c r="W814" s="121">
        <v>328</v>
      </c>
      <c r="X814" s="114" t="s">
        <v>84</v>
      </c>
      <c r="Y814" s="115" t="s">
        <v>85</v>
      </c>
      <c r="Z814" s="115" t="s">
        <v>2964</v>
      </c>
      <c r="AA814" s="113" t="s">
        <v>87</v>
      </c>
      <c r="AB814" s="122">
        <v>319.55</v>
      </c>
      <c r="AC814" s="122">
        <f>IF(C814="DENALI", AB814*0.495, IF(C814="SCHNEIDER ELECTRIC", AB814*1.136, IF(C814="WWT", AB814*1.2, AC814)))+AB814</f>
        <v>703.01</v>
      </c>
      <c r="AD814" s="129">
        <f>AC814-AB814</f>
        <v>383.46</v>
      </c>
      <c r="AE814" s="122">
        <v>69861.509999999995</v>
      </c>
      <c r="AF814" s="130">
        <f>AB814/U814</f>
        <v>319.55</v>
      </c>
      <c r="AG814" s="130">
        <f>AB814/V814</f>
        <v>0.49389489953632149</v>
      </c>
      <c r="AH814" s="123">
        <f>AB814/S814</f>
        <v>0.34158204168893641</v>
      </c>
      <c r="AI814" s="124" t="s">
        <v>147</v>
      </c>
      <c r="AJ814" s="125" t="s">
        <v>343</v>
      </c>
      <c r="AK814"/>
      <c r="AM814" s="80"/>
    </row>
    <row r="815" spans="1:39" ht="28.5" customHeight="1">
      <c r="A815" s="113" t="s">
        <v>73</v>
      </c>
      <c r="B815" s="114" t="s">
        <v>74</v>
      </c>
      <c r="C815" s="113" t="s">
        <v>35</v>
      </c>
      <c r="D815" s="113" t="s">
        <v>218</v>
      </c>
      <c r="E815" s="115" t="s">
        <v>1162</v>
      </c>
      <c r="F815" s="113" t="s">
        <v>218</v>
      </c>
      <c r="G815" s="116" t="s">
        <v>2965</v>
      </c>
      <c r="H815" s="79">
        <v>46261</v>
      </c>
      <c r="I815" s="114" t="s">
        <v>79</v>
      </c>
      <c r="J815" s="152" t="s">
        <v>2966</v>
      </c>
      <c r="K815" s="149">
        <v>46254</v>
      </c>
      <c r="L815" s="114" t="s">
        <v>81</v>
      </c>
      <c r="M815" s="119">
        <v>46255</v>
      </c>
      <c r="N815" s="128">
        <v>46255</v>
      </c>
      <c r="O815" s="120">
        <f>NETWORKDAYS.INTL(K815,N815,1,$AM$2:$AM$10)-1</f>
        <v>1</v>
      </c>
      <c r="P815" s="114" t="s">
        <v>81</v>
      </c>
      <c r="Q815" s="114" t="s">
        <v>79</v>
      </c>
      <c r="R815" s="115"/>
      <c r="S815" s="145">
        <v>140</v>
      </c>
      <c r="T815" s="148" t="s">
        <v>1165</v>
      </c>
      <c r="U815" s="147">
        <v>1</v>
      </c>
      <c r="V815" s="121">
        <v>4</v>
      </c>
      <c r="W815" s="121">
        <v>480</v>
      </c>
      <c r="X815" s="114" t="s">
        <v>84</v>
      </c>
      <c r="Y815" s="115" t="s">
        <v>85</v>
      </c>
      <c r="Z815" s="115" t="s">
        <v>2723</v>
      </c>
      <c r="AA815" s="113" t="s">
        <v>87</v>
      </c>
      <c r="AB815" s="122">
        <v>156.11000000000001</v>
      </c>
      <c r="AC815" s="122">
        <f>IF(C815="DENALI", AB815*0.495, IF(C815="SCHNEIDER ELECTRIC", AB815*1.136, IF(C815="WWT", AB815*1.2, AC815)))+AB815</f>
        <v>233.38445000000002</v>
      </c>
      <c r="AD815" s="129">
        <f>AC815-AB815</f>
        <v>77.274450000000002</v>
      </c>
      <c r="AE815" s="122">
        <v>112.7</v>
      </c>
      <c r="AF815" s="130">
        <f>AB815/U815</f>
        <v>156.11000000000001</v>
      </c>
      <c r="AG815" s="130">
        <f>AB815/V815</f>
        <v>39.027500000000003</v>
      </c>
      <c r="AH815" s="123">
        <f>AB815/S815</f>
        <v>1.1150714285714287</v>
      </c>
      <c r="AI815" s="124" t="s">
        <v>97</v>
      </c>
      <c r="AJ815" s="125" t="s">
        <v>349</v>
      </c>
      <c r="AK815"/>
      <c r="AM815" s="80"/>
    </row>
    <row r="816" spans="1:39" ht="28.5" customHeight="1">
      <c r="A816" s="113" t="s">
        <v>73</v>
      </c>
      <c r="B816" s="114" t="s">
        <v>74</v>
      </c>
      <c r="C816" s="113" t="s">
        <v>35</v>
      </c>
      <c r="D816" s="113" t="s">
        <v>218</v>
      </c>
      <c r="E816" s="115" t="s">
        <v>883</v>
      </c>
      <c r="F816" s="113" t="s">
        <v>254</v>
      </c>
      <c r="G816" s="116" t="s">
        <v>2967</v>
      </c>
      <c r="H816" s="79">
        <v>46261</v>
      </c>
      <c r="I816" s="114" t="s">
        <v>79</v>
      </c>
      <c r="J816" s="162" t="s">
        <v>2968</v>
      </c>
      <c r="K816" s="149">
        <v>46254</v>
      </c>
      <c r="L816" s="114" t="s">
        <v>81</v>
      </c>
      <c r="M816" s="119">
        <v>46258</v>
      </c>
      <c r="N816" s="128">
        <v>46258</v>
      </c>
      <c r="O816" s="120">
        <f>NETWORKDAYS.INTL(K816,N816,1,$AM$2:$AM$10)-1</f>
        <v>2</v>
      </c>
      <c r="P816" s="114" t="s">
        <v>81</v>
      </c>
      <c r="Q816" s="114" t="s">
        <v>79</v>
      </c>
      <c r="R816" s="115"/>
      <c r="S816" s="145">
        <v>629</v>
      </c>
      <c r="T816" s="148" t="s">
        <v>1536</v>
      </c>
      <c r="U816" s="147">
        <v>1</v>
      </c>
      <c r="V816" s="121">
        <v>85</v>
      </c>
      <c r="W816" s="121">
        <v>520</v>
      </c>
      <c r="X816" s="114" t="s">
        <v>84</v>
      </c>
      <c r="Y816" s="115" t="s">
        <v>85</v>
      </c>
      <c r="Z816" s="115" t="s">
        <v>86</v>
      </c>
      <c r="AA816" s="113" t="s">
        <v>87</v>
      </c>
      <c r="AB816" s="122">
        <v>273.68</v>
      </c>
      <c r="AC816" s="122">
        <f>IF(C816="DENALI", AB816*0.495, IF(C816="SCHNEIDER ELECTRIC", AB816*1.136, IF(C816="WWT", AB816*1.2, AC816)))+AB816</f>
        <v>409.15160000000003</v>
      </c>
      <c r="AD816" s="129">
        <f>AC816-AB816</f>
        <v>135.47160000000002</v>
      </c>
      <c r="AE816" s="122">
        <v>5109.76</v>
      </c>
      <c r="AF816" s="130">
        <f>AB816/U816</f>
        <v>273.68</v>
      </c>
      <c r="AG816" s="130">
        <f>AB816/V816</f>
        <v>3.2197647058823531</v>
      </c>
      <c r="AH816" s="123">
        <f>AB816/S816</f>
        <v>0.43510333863275041</v>
      </c>
      <c r="AI816" s="124" t="s">
        <v>97</v>
      </c>
      <c r="AJ816" s="125" t="s">
        <v>349</v>
      </c>
      <c r="AK816"/>
      <c r="AM816" s="80"/>
    </row>
    <row r="817" spans="1:39" ht="28.5" customHeight="1">
      <c r="A817" s="113" t="s">
        <v>73</v>
      </c>
      <c r="B817" s="114" t="s">
        <v>74</v>
      </c>
      <c r="C817" s="113" t="s">
        <v>35</v>
      </c>
      <c r="D817" s="113" t="s">
        <v>218</v>
      </c>
      <c r="E817" s="115" t="s">
        <v>561</v>
      </c>
      <c r="F817" s="113" t="s">
        <v>562</v>
      </c>
      <c r="G817" s="116" t="s">
        <v>2969</v>
      </c>
      <c r="H817" s="79">
        <v>46261</v>
      </c>
      <c r="I817" s="114" t="s">
        <v>79</v>
      </c>
      <c r="J817" s="152" t="s">
        <v>2970</v>
      </c>
      <c r="K817" s="149">
        <v>46254</v>
      </c>
      <c r="L817" s="114" t="s">
        <v>81</v>
      </c>
      <c r="M817" s="119">
        <v>46258</v>
      </c>
      <c r="N817" s="128">
        <v>46262</v>
      </c>
      <c r="O817" s="120">
        <f>NETWORKDAYS.INTL(K817,N817,1,$AM$2:$AM$10)-1</f>
        <v>6</v>
      </c>
      <c r="P817" s="114" t="s">
        <v>81</v>
      </c>
      <c r="Q817" s="114" t="s">
        <v>81</v>
      </c>
      <c r="R817" s="115" t="s">
        <v>2971</v>
      </c>
      <c r="S817" s="145">
        <v>560</v>
      </c>
      <c r="T817" s="148" t="s">
        <v>2181</v>
      </c>
      <c r="U817" s="147">
        <v>4</v>
      </c>
      <c r="V817" s="121">
        <v>162</v>
      </c>
      <c r="W817" s="121">
        <v>2845</v>
      </c>
      <c r="X817" s="114" t="s">
        <v>84</v>
      </c>
      <c r="Y817" s="115" t="s">
        <v>85</v>
      </c>
      <c r="Z817" s="115" t="s">
        <v>2909</v>
      </c>
      <c r="AA817" s="113" t="s">
        <v>87</v>
      </c>
      <c r="AB817" s="122">
        <v>547.91999999999996</v>
      </c>
      <c r="AC817" s="122">
        <f>IF(C817="DENALI", AB817*0.495, IF(C817="SCHNEIDER ELECTRIC", AB817*1.136, IF(C817="WWT", AB817*1.2, AC817)))+AB817</f>
        <v>819.1404</v>
      </c>
      <c r="AD817" s="129">
        <f>AC817-AB817</f>
        <v>271.22040000000004</v>
      </c>
      <c r="AE817" s="122">
        <v>25411.919999999998</v>
      </c>
      <c r="AF817" s="130">
        <f>AB817/U817</f>
        <v>136.97999999999999</v>
      </c>
      <c r="AG817" s="130">
        <f>AB817/V817</f>
        <v>3.382222222222222</v>
      </c>
      <c r="AH817" s="123">
        <f>AB817/S817</f>
        <v>0.97842857142857131</v>
      </c>
      <c r="AI817" s="124" t="s">
        <v>155</v>
      </c>
      <c r="AJ817" s="125" t="s">
        <v>89</v>
      </c>
      <c r="AK817"/>
      <c r="AM817" s="80"/>
    </row>
    <row r="818" spans="1:39" ht="28.5" customHeight="1">
      <c r="A818" s="113" t="s">
        <v>73</v>
      </c>
      <c r="B818" s="114" t="s">
        <v>140</v>
      </c>
      <c r="C818" s="113" t="s">
        <v>35</v>
      </c>
      <c r="D818" s="113" t="s">
        <v>218</v>
      </c>
      <c r="E818" s="115" t="s">
        <v>141</v>
      </c>
      <c r="F818" s="113" t="s">
        <v>142</v>
      </c>
      <c r="G818" s="116" t="s">
        <v>2972</v>
      </c>
      <c r="H818" s="79">
        <v>46261</v>
      </c>
      <c r="I818" s="114" t="s">
        <v>79</v>
      </c>
      <c r="J818" s="152" t="s">
        <v>2973</v>
      </c>
      <c r="K818" s="149">
        <v>46254</v>
      </c>
      <c r="L818" s="114" t="s">
        <v>81</v>
      </c>
      <c r="M818" s="119">
        <v>46255</v>
      </c>
      <c r="N818" s="128">
        <v>46258</v>
      </c>
      <c r="O818" s="120">
        <f>NETWORKDAYS.INTL(K818,N818,1,$AM$2:$AM$10)-1</f>
        <v>2</v>
      </c>
      <c r="P818" s="114" t="s">
        <v>81</v>
      </c>
      <c r="Q818" s="114" t="s">
        <v>79</v>
      </c>
      <c r="R818" s="115"/>
      <c r="S818" s="145">
        <v>441</v>
      </c>
      <c r="T818" s="148" t="s">
        <v>2974</v>
      </c>
      <c r="U818" s="147">
        <v>1</v>
      </c>
      <c r="V818" s="121">
        <v>56</v>
      </c>
      <c r="W818" s="121">
        <v>170</v>
      </c>
      <c r="X818" s="114" t="s">
        <v>84</v>
      </c>
      <c r="Y818" s="115" t="s">
        <v>85</v>
      </c>
      <c r="Z818" s="115" t="s">
        <v>2723</v>
      </c>
      <c r="AA818" s="113" t="s">
        <v>87</v>
      </c>
      <c r="AB818" s="122">
        <v>198.8</v>
      </c>
      <c r="AC818" s="122">
        <f>IF(C818="DENALI", AB818*0.495, IF(C818="SCHNEIDER ELECTRIC", AB818*1.136, IF(C818="WWT", AB818*1.2, AC818)))+AB818</f>
        <v>297.20600000000002</v>
      </c>
      <c r="AD818" s="129">
        <f>AC818-AB818</f>
        <v>98.406000000000006</v>
      </c>
      <c r="AE818" s="122">
        <v>6820.47</v>
      </c>
      <c r="AF818" s="130">
        <f>AB818/U818</f>
        <v>198.8</v>
      </c>
      <c r="AG818" s="130">
        <f>AB818/V818</f>
        <v>3.5500000000000003</v>
      </c>
      <c r="AH818" s="123">
        <f>AB818/S818</f>
        <v>0.4507936507936508</v>
      </c>
      <c r="AI818" s="124" t="s">
        <v>183</v>
      </c>
      <c r="AJ818" s="125" t="s">
        <v>379</v>
      </c>
      <c r="AK818"/>
      <c r="AM818" s="80"/>
    </row>
    <row r="819" spans="1:39" ht="28.5" customHeight="1">
      <c r="A819" s="113" t="s">
        <v>73</v>
      </c>
      <c r="B819" s="114" t="s">
        <v>74</v>
      </c>
      <c r="C819" s="113" t="s">
        <v>35</v>
      </c>
      <c r="D819" s="113" t="s">
        <v>218</v>
      </c>
      <c r="E819" s="115" t="s">
        <v>1748</v>
      </c>
      <c r="F819" s="113" t="s">
        <v>75</v>
      </c>
      <c r="G819" s="116" t="s">
        <v>2975</v>
      </c>
      <c r="H819" s="79">
        <v>46261</v>
      </c>
      <c r="I819" s="114" t="s">
        <v>79</v>
      </c>
      <c r="J819" s="152" t="s">
        <v>2976</v>
      </c>
      <c r="K819" s="149">
        <v>46254</v>
      </c>
      <c r="L819" s="114" t="s">
        <v>81</v>
      </c>
      <c r="M819" s="119">
        <v>46255</v>
      </c>
      <c r="N819" s="128">
        <v>46255</v>
      </c>
      <c r="O819" s="120">
        <f>NETWORKDAYS.INTL(K819,N819,1,$AM$2:$AM$10)-1</f>
        <v>1</v>
      </c>
      <c r="P819" s="114" t="s">
        <v>81</v>
      </c>
      <c r="Q819" s="114" t="s">
        <v>79</v>
      </c>
      <c r="R819" s="115"/>
      <c r="S819" s="145">
        <v>599</v>
      </c>
      <c r="T819" s="148" t="s">
        <v>2977</v>
      </c>
      <c r="U819" s="147">
        <v>3</v>
      </c>
      <c r="V819" s="121">
        <v>1132</v>
      </c>
      <c r="W819" s="121">
        <v>2025</v>
      </c>
      <c r="X819" s="114" t="s">
        <v>84</v>
      </c>
      <c r="Y819" s="115" t="s">
        <v>85</v>
      </c>
      <c r="Z819" s="115" t="s">
        <v>2312</v>
      </c>
      <c r="AA819" s="113" t="s">
        <v>87</v>
      </c>
      <c r="AB819" s="122">
        <v>423.18</v>
      </c>
      <c r="AC819" s="122">
        <f>IF(C819="DENALI", AB819*0.495, IF(C819="SCHNEIDER ELECTRIC", AB819*1.136, IF(C819="WWT", AB819*1.2, AC819)))+AB819</f>
        <v>632.65409999999997</v>
      </c>
      <c r="AD819" s="129">
        <f>AC819-AB819</f>
        <v>209.47409999999996</v>
      </c>
      <c r="AE819" s="122">
        <v>86735.74</v>
      </c>
      <c r="AF819" s="130">
        <f>AB819/U819</f>
        <v>141.06</v>
      </c>
      <c r="AG819" s="130">
        <f>AB819/V819</f>
        <v>0.3738339222614841</v>
      </c>
      <c r="AH819" s="123">
        <f>AB819/S819</f>
        <v>0.70647746243739562</v>
      </c>
      <c r="AI819" s="124" t="s">
        <v>147</v>
      </c>
      <c r="AJ819" s="125" t="s">
        <v>343</v>
      </c>
      <c r="AK819"/>
      <c r="AM819" s="80"/>
    </row>
    <row r="820" spans="1:39" ht="28.5" customHeight="1">
      <c r="A820" s="113" t="s">
        <v>73</v>
      </c>
      <c r="B820" s="114" t="s">
        <v>74</v>
      </c>
      <c r="C820" s="113" t="s">
        <v>35</v>
      </c>
      <c r="D820" s="113" t="s">
        <v>218</v>
      </c>
      <c r="E820" s="115" t="s">
        <v>566</v>
      </c>
      <c r="F820" s="113" t="s">
        <v>131</v>
      </c>
      <c r="G820" s="116" t="s">
        <v>2978</v>
      </c>
      <c r="H820" s="79">
        <v>46261</v>
      </c>
      <c r="I820" s="114" t="s">
        <v>79</v>
      </c>
      <c r="J820" s="152" t="s">
        <v>2979</v>
      </c>
      <c r="K820" s="149">
        <v>46254</v>
      </c>
      <c r="L820" s="114" t="s">
        <v>81</v>
      </c>
      <c r="M820" s="119">
        <v>46258</v>
      </c>
      <c r="N820" s="128">
        <v>46258</v>
      </c>
      <c r="O820" s="120">
        <f>NETWORKDAYS.INTL(K820,N820,1,$AM$2:$AM$10)-1</f>
        <v>2</v>
      </c>
      <c r="P820" s="114" t="s">
        <v>81</v>
      </c>
      <c r="Q820" s="114" t="s">
        <v>79</v>
      </c>
      <c r="R820" s="115"/>
      <c r="S820" s="145">
        <v>827</v>
      </c>
      <c r="T820" s="148" t="s">
        <v>2980</v>
      </c>
      <c r="U820" s="147">
        <v>1</v>
      </c>
      <c r="V820" s="121">
        <v>30</v>
      </c>
      <c r="W820" s="121">
        <v>455</v>
      </c>
      <c r="X820" s="114" t="s">
        <v>84</v>
      </c>
      <c r="Y820" s="115" t="s">
        <v>85</v>
      </c>
      <c r="Z820" s="115" t="s">
        <v>86</v>
      </c>
      <c r="AA820" s="113" t="s">
        <v>87</v>
      </c>
      <c r="AB820" s="122">
        <v>265.36</v>
      </c>
      <c r="AC820" s="122">
        <f>IF(C820="DENALI", AB820*0.495, IF(C820="SCHNEIDER ELECTRIC", AB820*1.136, IF(C820="WWT", AB820*1.2, AC820)))+AB820</f>
        <v>396.71320000000003</v>
      </c>
      <c r="AD820" s="129">
        <f>AC820-AB820</f>
        <v>131.35320000000002</v>
      </c>
      <c r="AE820" s="122">
        <v>42434.55</v>
      </c>
      <c r="AF820" s="130">
        <f>AB820/U820</f>
        <v>265.36</v>
      </c>
      <c r="AG820" s="130">
        <f>AB820/V820</f>
        <v>8.8453333333333344</v>
      </c>
      <c r="AH820" s="123">
        <f>AB820/S820</f>
        <v>0.32087061668681982</v>
      </c>
      <c r="AI820" s="124" t="s">
        <v>484</v>
      </c>
      <c r="AJ820" s="125" t="s">
        <v>107</v>
      </c>
      <c r="AK820"/>
      <c r="AM820" s="80"/>
    </row>
    <row r="821" spans="1:39" ht="28.5" customHeight="1">
      <c r="A821" s="113" t="s">
        <v>73</v>
      </c>
      <c r="B821" s="114" t="s">
        <v>74</v>
      </c>
      <c r="C821" s="113" t="s">
        <v>227</v>
      </c>
      <c r="D821" s="113" t="s">
        <v>228</v>
      </c>
      <c r="E821" s="115" t="s">
        <v>248</v>
      </c>
      <c r="F821" s="113" t="s">
        <v>207</v>
      </c>
      <c r="G821" s="116" t="s">
        <v>2981</v>
      </c>
      <c r="H821" s="79">
        <v>46262</v>
      </c>
      <c r="I821" s="114" t="s">
        <v>79</v>
      </c>
      <c r="J821" s="151">
        <v>216871771</v>
      </c>
      <c r="K821" s="149">
        <v>46254</v>
      </c>
      <c r="L821" s="114" t="s">
        <v>81</v>
      </c>
      <c r="M821" s="119">
        <v>46259</v>
      </c>
      <c r="N821" s="128">
        <v>46259</v>
      </c>
      <c r="O821" s="120">
        <f>NETWORKDAYS.INTL(K821,N821,1,$AM$2:$AM$10)-1</f>
        <v>3</v>
      </c>
      <c r="P821" s="114" t="s">
        <v>81</v>
      </c>
      <c r="Q821" s="114" t="s">
        <v>79</v>
      </c>
      <c r="R821" s="115"/>
      <c r="S821" s="145">
        <v>1337</v>
      </c>
      <c r="T821" s="148" t="s">
        <v>2982</v>
      </c>
      <c r="U821" s="147">
        <v>1</v>
      </c>
      <c r="V821" s="121">
        <v>554</v>
      </c>
      <c r="W821" s="121">
        <v>280</v>
      </c>
      <c r="X821" s="114" t="s">
        <v>84</v>
      </c>
      <c r="Y821" s="115" t="s">
        <v>85</v>
      </c>
      <c r="Z821" s="115" t="s">
        <v>86</v>
      </c>
      <c r="AA821" s="113" t="s">
        <v>87</v>
      </c>
      <c r="AB821" s="122">
        <v>370.01</v>
      </c>
      <c r="AC821" s="122">
        <f>IF(C821="DENALI", AB821*0.495, IF(C821="SCHNEIDER ELECTRIC", AB821*1.136, IF(C821="WWT", AB821*1.2, AC821)))+AB821</f>
        <v>814.02199999999993</v>
      </c>
      <c r="AD821" s="129">
        <f>AC821-AB821</f>
        <v>444.01199999999994</v>
      </c>
      <c r="AE821" s="122">
        <v>72018.14</v>
      </c>
      <c r="AF821" s="130">
        <f>AB821/U821</f>
        <v>370.01</v>
      </c>
      <c r="AG821" s="130">
        <f>AB821/V821</f>
        <v>0.66788808664259924</v>
      </c>
      <c r="AH821" s="123">
        <f>AB821/S821</f>
        <v>0.27674644727000747</v>
      </c>
      <c r="AI821" s="124">
        <v>1060</v>
      </c>
      <c r="AJ821" s="156" t="s">
        <v>343</v>
      </c>
      <c r="AK821"/>
      <c r="AM821" s="80"/>
    </row>
    <row r="822" spans="1:39" ht="28.5" customHeight="1">
      <c r="A822" s="113" t="s">
        <v>73</v>
      </c>
      <c r="B822" s="114" t="s">
        <v>2828</v>
      </c>
      <c r="C822" s="155" t="s">
        <v>1162</v>
      </c>
      <c r="D822" s="113" t="s">
        <v>218</v>
      </c>
      <c r="E822" s="153" t="s">
        <v>2038</v>
      </c>
      <c r="F822" s="113" t="s">
        <v>75</v>
      </c>
      <c r="G822" s="77">
        <v>23916197</v>
      </c>
      <c r="H822" s="157">
        <v>46262</v>
      </c>
      <c r="I822" s="114" t="s">
        <v>81</v>
      </c>
      <c r="J822" s="162" t="s">
        <v>2983</v>
      </c>
      <c r="K822" s="163">
        <v>46254</v>
      </c>
      <c r="L822" s="93" t="s">
        <v>81</v>
      </c>
      <c r="M822" s="94">
        <v>46255</v>
      </c>
      <c r="N822" s="132">
        <v>46255</v>
      </c>
      <c r="O822" s="120">
        <f>NETWORKDAYS.INTL(K822,N822,1,$AM$2:$AM$10)-1</f>
        <v>1</v>
      </c>
      <c r="P822" s="82" t="s">
        <v>81</v>
      </c>
      <c r="Q822" s="82" t="s">
        <v>79</v>
      </c>
      <c r="R822" s="97"/>
      <c r="S822" s="99">
        <v>698</v>
      </c>
      <c r="T822" s="82"/>
      <c r="U822" s="100">
        <v>1</v>
      </c>
      <c r="V822" s="95">
        <v>220</v>
      </c>
      <c r="W822" s="95">
        <v>660</v>
      </c>
      <c r="X822" s="114" t="s">
        <v>113</v>
      </c>
      <c r="Y822" s="115" t="s">
        <v>85</v>
      </c>
      <c r="Z822" s="93" t="s">
        <v>2984</v>
      </c>
      <c r="AA822" s="113" t="s">
        <v>87</v>
      </c>
      <c r="AB822" s="88">
        <v>3400</v>
      </c>
      <c r="AC822" s="122">
        <v>6000</v>
      </c>
      <c r="AD822" s="129">
        <f>AC822-AB822</f>
        <v>2600</v>
      </c>
      <c r="AE822" s="88">
        <v>144122</v>
      </c>
      <c r="AF822" s="130">
        <f>AB822/U822</f>
        <v>3400</v>
      </c>
      <c r="AG822" s="130">
        <f>AB822/V822</f>
        <v>15.454545454545455</v>
      </c>
      <c r="AH822" s="123">
        <f>AB822/S822</f>
        <v>4.8710601719197708</v>
      </c>
      <c r="AI822" s="98">
        <v>1290</v>
      </c>
      <c r="AJ822" s="158" t="s">
        <v>2985</v>
      </c>
      <c r="AK822"/>
      <c r="AM822" s="80"/>
    </row>
    <row r="823" spans="1:39" ht="28.5" customHeight="1">
      <c r="A823" s="113" t="s">
        <v>73</v>
      </c>
      <c r="B823" s="114" t="s">
        <v>778</v>
      </c>
      <c r="C823" s="155" t="s">
        <v>141</v>
      </c>
      <c r="D823" s="113" t="s">
        <v>142</v>
      </c>
      <c r="E823" s="155" t="s">
        <v>1154</v>
      </c>
      <c r="F823" s="160" t="s">
        <v>90</v>
      </c>
      <c r="G823" s="76">
        <v>23919457</v>
      </c>
      <c r="H823" s="90">
        <v>46266</v>
      </c>
      <c r="I823" s="114" t="s">
        <v>81</v>
      </c>
      <c r="J823" s="151">
        <v>23919457</v>
      </c>
      <c r="K823" s="90">
        <v>46265</v>
      </c>
      <c r="L823" s="82" t="s">
        <v>81</v>
      </c>
      <c r="M823" s="90">
        <v>46265</v>
      </c>
      <c r="N823" s="161">
        <v>46268</v>
      </c>
      <c r="O823" s="120">
        <f>NETWORKDAYS.INTL(K823,N823,1,$AM$2:$AM$10)-1</f>
        <v>3</v>
      </c>
      <c r="P823" s="82" t="s">
        <v>81</v>
      </c>
      <c r="Q823" s="82" t="s">
        <v>81</v>
      </c>
      <c r="R823" s="97" t="s">
        <v>2986</v>
      </c>
      <c r="S823" s="99">
        <v>2139.6</v>
      </c>
      <c r="T823" s="82" t="s">
        <v>2987</v>
      </c>
      <c r="U823" s="100">
        <v>3</v>
      </c>
      <c r="V823" s="95">
        <v>3</v>
      </c>
      <c r="W823" s="95">
        <v>2400</v>
      </c>
      <c r="X823" s="114" t="s">
        <v>113</v>
      </c>
      <c r="Y823" s="115" t="s">
        <v>85</v>
      </c>
      <c r="Z823" s="93" t="s">
        <v>2988</v>
      </c>
      <c r="AA823" s="113" t="s">
        <v>87</v>
      </c>
      <c r="AB823" s="88">
        <f>6600</f>
        <v>6600</v>
      </c>
      <c r="AC823" s="122">
        <v>24304.86</v>
      </c>
      <c r="AD823" s="129">
        <f>AC823-AB823</f>
        <v>17704.86</v>
      </c>
      <c r="AE823" s="88">
        <v>308234.55</v>
      </c>
      <c r="AF823" s="130">
        <f>AB823/U823</f>
        <v>2200</v>
      </c>
      <c r="AG823" s="130">
        <f>AB823/V823</f>
        <v>2200</v>
      </c>
      <c r="AH823" s="123">
        <f>AB823/S823</f>
        <v>3.0846887268648349</v>
      </c>
      <c r="AI823" s="98">
        <v>1060</v>
      </c>
      <c r="AJ823" s="92" t="s">
        <v>2989</v>
      </c>
      <c r="AK823"/>
      <c r="AM823" s="80"/>
    </row>
    <row r="824" spans="1:39" ht="28.5" customHeight="1">
      <c r="A824" s="113" t="s">
        <v>73</v>
      </c>
      <c r="B824" s="114" t="s">
        <v>140</v>
      </c>
      <c r="C824" s="82" t="s">
        <v>36</v>
      </c>
      <c r="D824" s="76" t="s">
        <v>75</v>
      </c>
      <c r="E824" s="78" t="s">
        <v>141</v>
      </c>
      <c r="F824" s="96" t="s">
        <v>142</v>
      </c>
      <c r="G824" s="77" t="s">
        <v>2990</v>
      </c>
      <c r="H824" s="94">
        <v>46266</v>
      </c>
      <c r="I824" s="114" t="s">
        <v>79</v>
      </c>
      <c r="J824" s="162">
        <v>216873576</v>
      </c>
      <c r="K824" s="90">
        <v>46255</v>
      </c>
      <c r="L824" s="82" t="s">
        <v>79</v>
      </c>
      <c r="M824" s="90">
        <v>46259</v>
      </c>
      <c r="N824" s="161">
        <v>46262</v>
      </c>
      <c r="O824" s="120">
        <f>NETWORKDAYS.INTL(K824,N824,1,$AM$2:$AM$10)-1</f>
        <v>5</v>
      </c>
      <c r="P824" s="82" t="s">
        <v>81</v>
      </c>
      <c r="Q824" s="82" t="s">
        <v>79</v>
      </c>
      <c r="R824" s="97"/>
      <c r="S824" s="99">
        <v>721</v>
      </c>
      <c r="T824" s="82" t="s">
        <v>2991</v>
      </c>
      <c r="U824" s="100">
        <v>1</v>
      </c>
      <c r="V824" s="95">
        <v>5</v>
      </c>
      <c r="W824" s="95">
        <v>509</v>
      </c>
      <c r="X824" s="93" t="s">
        <v>84</v>
      </c>
      <c r="Y824" s="77" t="s">
        <v>85</v>
      </c>
      <c r="Z824" s="115" t="s">
        <v>86</v>
      </c>
      <c r="AA824" s="101" t="s">
        <v>87</v>
      </c>
      <c r="AB824" s="88">
        <v>273.08</v>
      </c>
      <c r="AC824" s="122">
        <f>IF(C824="DENALI", AB824*0.495, IF(C824="SCHNEIDER ELECTRIC", AB824*1.136, IF(C824="WWT", AB824*1.2, AC824)))+AB824</f>
        <v>583.29887999999994</v>
      </c>
      <c r="AD824" s="129">
        <f>AC824-AB824</f>
        <v>310.21887999999996</v>
      </c>
      <c r="AE824" s="88">
        <v>12376.85</v>
      </c>
      <c r="AF824" s="130">
        <f>AB824/U824</f>
        <v>273.08</v>
      </c>
      <c r="AG824" s="130">
        <f>AB824/V824</f>
        <v>54.616</v>
      </c>
      <c r="AH824" s="123">
        <f>AB824/S824</f>
        <v>0.37875173370318999</v>
      </c>
      <c r="AI824" s="98">
        <v>1292</v>
      </c>
      <c r="AJ824" s="76" t="s">
        <v>2249</v>
      </c>
      <c r="AK824"/>
      <c r="AM824" s="80"/>
    </row>
    <row r="825" spans="1:39" ht="28.5" customHeight="1">
      <c r="A825" s="113" t="s">
        <v>73</v>
      </c>
      <c r="B825" s="114" t="s">
        <v>140</v>
      </c>
      <c r="C825" s="82" t="s">
        <v>36</v>
      </c>
      <c r="D825" s="76" t="s">
        <v>75</v>
      </c>
      <c r="E825" s="78" t="s">
        <v>141</v>
      </c>
      <c r="F825" s="96" t="s">
        <v>142</v>
      </c>
      <c r="G825" s="76" t="s">
        <v>2992</v>
      </c>
      <c r="H825" s="94">
        <v>46265</v>
      </c>
      <c r="I825" s="114" t="s">
        <v>79</v>
      </c>
      <c r="J825" s="162">
        <v>216873753</v>
      </c>
      <c r="K825" s="166">
        <v>46255</v>
      </c>
      <c r="L825" s="93" t="s">
        <v>79</v>
      </c>
      <c r="M825" s="94">
        <v>46259</v>
      </c>
      <c r="N825" s="161">
        <v>46262</v>
      </c>
      <c r="O825" s="120">
        <f>NETWORKDAYS.INTL(K825,N825,1,$AM$2:$AM$10)-1</f>
        <v>5</v>
      </c>
      <c r="P825" s="82" t="s">
        <v>81</v>
      </c>
      <c r="Q825" s="82" t="s">
        <v>79</v>
      </c>
      <c r="R825" s="97"/>
      <c r="S825" s="99">
        <v>721</v>
      </c>
      <c r="T825" s="82" t="s">
        <v>2993</v>
      </c>
      <c r="U825" s="100">
        <v>2</v>
      </c>
      <c r="V825" s="95">
        <v>9</v>
      </c>
      <c r="W825" s="95">
        <v>947</v>
      </c>
      <c r="X825" s="93" t="s">
        <v>84</v>
      </c>
      <c r="Y825" s="77" t="s">
        <v>85</v>
      </c>
      <c r="Z825" s="169" t="s">
        <v>86</v>
      </c>
      <c r="AA825" s="101" t="s">
        <v>87</v>
      </c>
      <c r="AB825" s="88">
        <v>273.08</v>
      </c>
      <c r="AC825" s="122">
        <f>IF(C825="DENALI", AB825*0.495, IF(C825="SCHNEIDER ELECTRIC", AB825*1.136, IF(C825="WWT", AB825*1.2, AC825)))+AB825</f>
        <v>583.29887999999994</v>
      </c>
      <c r="AD825" s="129">
        <f>AC825-AB825</f>
        <v>310.21887999999996</v>
      </c>
      <c r="AE825" s="88">
        <v>23521.52</v>
      </c>
      <c r="AF825" s="130">
        <f>AB825/U825</f>
        <v>136.54</v>
      </c>
      <c r="AG825" s="130">
        <f>AB825/V825</f>
        <v>30.342222222222219</v>
      </c>
      <c r="AH825" s="123">
        <f>AB825/S825</f>
        <v>0.37875173370318999</v>
      </c>
      <c r="AI825" s="98">
        <v>1084</v>
      </c>
      <c r="AJ825" s="76" t="s">
        <v>2249</v>
      </c>
      <c r="AK825"/>
      <c r="AM825" s="80"/>
    </row>
    <row r="826" spans="1:39" ht="28.5" customHeight="1">
      <c r="A826" s="113" t="s">
        <v>73</v>
      </c>
      <c r="B826" s="114" t="s">
        <v>140</v>
      </c>
      <c r="C826" s="113" t="s">
        <v>35</v>
      </c>
      <c r="D826" s="76" t="s">
        <v>99</v>
      </c>
      <c r="E826" s="78" t="s">
        <v>141</v>
      </c>
      <c r="F826" s="96" t="s">
        <v>142</v>
      </c>
      <c r="G826" s="96" t="s">
        <v>2994</v>
      </c>
      <c r="H826" s="90">
        <v>46266</v>
      </c>
      <c r="I826" s="114" t="s">
        <v>79</v>
      </c>
      <c r="J826" s="151" t="s">
        <v>2995</v>
      </c>
      <c r="K826" s="90">
        <v>46258</v>
      </c>
      <c r="L826" s="82" t="s">
        <v>81</v>
      </c>
      <c r="M826" s="90">
        <v>46265</v>
      </c>
      <c r="N826" s="161">
        <v>46266</v>
      </c>
      <c r="O826" s="120">
        <f>NETWORKDAYS.INTL(K826,N826,1,$AM$2:$AM$10)-1</f>
        <v>6</v>
      </c>
      <c r="P826" s="82" t="s">
        <v>81</v>
      </c>
      <c r="Q826" s="82" t="s">
        <v>79</v>
      </c>
      <c r="R826" s="97"/>
      <c r="S826" s="99">
        <v>2435</v>
      </c>
      <c r="T826" s="82" t="s">
        <v>2996</v>
      </c>
      <c r="U826" s="100">
        <v>2</v>
      </c>
      <c r="V826" s="95">
        <v>39</v>
      </c>
      <c r="W826" s="95">
        <v>480</v>
      </c>
      <c r="X826" s="93" t="s">
        <v>84</v>
      </c>
      <c r="Y826" s="98" t="s">
        <v>85</v>
      </c>
      <c r="Z826" s="175" t="s">
        <v>86</v>
      </c>
      <c r="AA826" s="101" t="s">
        <v>87</v>
      </c>
      <c r="AB826" s="88">
        <v>510.15</v>
      </c>
      <c r="AC826" s="122">
        <f>IF(C826="DENALI", AB826*0.495, IF(C826="SCHNEIDER ELECTRIC", AB826*1.136, IF(C826="WWT", AB826*1.2, AC826)))+AB826</f>
        <v>762.67425000000003</v>
      </c>
      <c r="AD826" s="129">
        <f>AC826-AB826</f>
        <v>252.52425000000005</v>
      </c>
      <c r="AE826" s="88">
        <v>42486.73</v>
      </c>
      <c r="AF826" s="130">
        <f>AB826/U826</f>
        <v>255.07499999999999</v>
      </c>
      <c r="AG826" s="130">
        <f>AB826/V826</f>
        <v>13.08076923076923</v>
      </c>
      <c r="AH826" s="123">
        <f>AB826/S826</f>
        <v>0.20950718685831621</v>
      </c>
      <c r="AI826" s="98">
        <v>1085</v>
      </c>
      <c r="AJ826" s="76" t="s">
        <v>349</v>
      </c>
      <c r="AK826"/>
      <c r="AM826" s="80"/>
    </row>
    <row r="827" spans="1:39" ht="28.5" customHeight="1">
      <c r="A827" s="113" t="s">
        <v>73</v>
      </c>
      <c r="B827" s="114" t="s">
        <v>140</v>
      </c>
      <c r="C827" s="113" t="s">
        <v>35</v>
      </c>
      <c r="D827" s="76" t="s">
        <v>99</v>
      </c>
      <c r="E827" s="78" t="s">
        <v>141</v>
      </c>
      <c r="F827" s="96" t="s">
        <v>142</v>
      </c>
      <c r="G827" s="96" t="s">
        <v>2997</v>
      </c>
      <c r="H827" s="90">
        <v>46266</v>
      </c>
      <c r="I827" s="114" t="s">
        <v>79</v>
      </c>
      <c r="J827" s="162" t="s">
        <v>2998</v>
      </c>
      <c r="K827" s="90">
        <v>46258</v>
      </c>
      <c r="L827" s="82" t="s">
        <v>81</v>
      </c>
      <c r="M827" s="90">
        <v>46265</v>
      </c>
      <c r="N827" s="161">
        <v>46266</v>
      </c>
      <c r="O827" s="120">
        <f>NETWORKDAYS.INTL(K827,N827,1,$AM$2:$AM$10)-1</f>
        <v>6</v>
      </c>
      <c r="P827" s="82" t="s">
        <v>81</v>
      </c>
      <c r="Q827" s="82" t="s">
        <v>79</v>
      </c>
      <c r="R827" s="97"/>
      <c r="S827" s="99">
        <v>2435</v>
      </c>
      <c r="T827" s="82" t="s">
        <v>2999</v>
      </c>
      <c r="U827" s="100">
        <v>1</v>
      </c>
      <c r="V827" s="95">
        <v>5</v>
      </c>
      <c r="W827" s="95">
        <v>210</v>
      </c>
      <c r="X827" s="93" t="s">
        <v>84</v>
      </c>
      <c r="Y827" s="98" t="s">
        <v>85</v>
      </c>
      <c r="Z827" s="175" t="s">
        <v>86</v>
      </c>
      <c r="AA827" s="101" t="s">
        <v>87</v>
      </c>
      <c r="AB827" s="88">
        <v>345.25</v>
      </c>
      <c r="AC827" s="122">
        <f>IF(C827="DENALI", AB827*0.495, IF(C827="SCHNEIDER ELECTRIC", AB827*1.136, IF(C827="WWT", AB827*1.2, AC827)))+AB827</f>
        <v>516.14875000000006</v>
      </c>
      <c r="AD827" s="129">
        <f>AC827-AB827</f>
        <v>170.89875000000006</v>
      </c>
      <c r="AE827" s="88">
        <v>10321.69</v>
      </c>
      <c r="AF827" s="130">
        <f>AB827/U827</f>
        <v>345.25</v>
      </c>
      <c r="AG827" s="130">
        <f>AB827/V827</f>
        <v>69.05</v>
      </c>
      <c r="AH827" s="123">
        <f>AB827/S827</f>
        <v>0.14178644763860371</v>
      </c>
      <c r="AI827" s="98">
        <v>1173</v>
      </c>
      <c r="AJ827" s="76" t="s">
        <v>107</v>
      </c>
      <c r="AK827"/>
      <c r="AM827" s="80"/>
    </row>
    <row r="828" spans="1:39" ht="28.5" customHeight="1">
      <c r="A828" s="113" t="s">
        <v>73</v>
      </c>
      <c r="B828" s="114" t="s">
        <v>140</v>
      </c>
      <c r="C828" s="113" t="s">
        <v>35</v>
      </c>
      <c r="D828" s="76" t="s">
        <v>99</v>
      </c>
      <c r="E828" s="78" t="s">
        <v>141</v>
      </c>
      <c r="F828" s="96" t="s">
        <v>142</v>
      </c>
      <c r="G828" s="96" t="s">
        <v>3000</v>
      </c>
      <c r="H828" s="164">
        <v>46266</v>
      </c>
      <c r="I828" s="114" t="s">
        <v>79</v>
      </c>
      <c r="J828" s="151">
        <v>216876962</v>
      </c>
      <c r="K828" s="165">
        <v>46258</v>
      </c>
      <c r="L828" s="82" t="s">
        <v>81</v>
      </c>
      <c r="M828" s="90">
        <v>46265</v>
      </c>
      <c r="N828" s="161">
        <v>46266</v>
      </c>
      <c r="O828" s="120">
        <f>NETWORKDAYS.INTL(K828,N828,1,$AM$2:$AM$10)-1</f>
        <v>6</v>
      </c>
      <c r="P828" s="82" t="s">
        <v>81</v>
      </c>
      <c r="Q828" s="82" t="s">
        <v>79</v>
      </c>
      <c r="R828" s="97"/>
      <c r="S828" s="99">
        <v>2435</v>
      </c>
      <c r="T828" s="82" t="s">
        <v>3001</v>
      </c>
      <c r="U828" s="100">
        <v>2</v>
      </c>
      <c r="V828" s="95">
        <v>85</v>
      </c>
      <c r="W828" s="95">
        <v>1250</v>
      </c>
      <c r="X828" s="93" t="s">
        <v>84</v>
      </c>
      <c r="Y828" s="98" t="s">
        <v>85</v>
      </c>
      <c r="Z828" s="175" t="s">
        <v>86</v>
      </c>
      <c r="AA828" s="177" t="s">
        <v>87</v>
      </c>
      <c r="AB828" s="178">
        <v>683.42</v>
      </c>
      <c r="AC828" s="122">
        <f>IF(C828="DENALI", AB828*0.495, IF(C828="SCHNEIDER ELECTRIC", AB828*1.136, IF(C828="WWT", AB828*1.2, AC828)))+AB828</f>
        <v>1021.7129</v>
      </c>
      <c r="AD828" s="129">
        <f>AC828-AB828</f>
        <v>338.29290000000003</v>
      </c>
      <c r="AE828" s="88">
        <v>304907.74</v>
      </c>
      <c r="AF828" s="130">
        <f>AB828/U828</f>
        <v>341.71</v>
      </c>
      <c r="AG828" s="130">
        <f>AB828/V828</f>
        <v>8.0402352941176467</v>
      </c>
      <c r="AH828" s="123">
        <f>AB828/S828</f>
        <v>0.28066529774127308</v>
      </c>
      <c r="AI828" s="98">
        <v>1174</v>
      </c>
      <c r="AJ828" s="76" t="s">
        <v>349</v>
      </c>
      <c r="AK828"/>
      <c r="AM828" s="80"/>
    </row>
    <row r="829" spans="1:39" ht="28.5" customHeight="1">
      <c r="A829" s="113" t="s">
        <v>73</v>
      </c>
      <c r="B829" s="114" t="s">
        <v>74</v>
      </c>
      <c r="C829" s="113" t="s">
        <v>35</v>
      </c>
      <c r="D829" s="76" t="s">
        <v>218</v>
      </c>
      <c r="E829" s="78" t="s">
        <v>3002</v>
      </c>
      <c r="F829" s="96" t="s">
        <v>243</v>
      </c>
      <c r="G829" s="96">
        <v>23951027</v>
      </c>
      <c r="H829" s="164">
        <v>46267</v>
      </c>
      <c r="I829" s="114" t="s">
        <v>79</v>
      </c>
      <c r="J829" s="151" t="s">
        <v>3003</v>
      </c>
      <c r="K829" s="165">
        <v>46259</v>
      </c>
      <c r="L829" s="82" t="s">
        <v>81</v>
      </c>
      <c r="M829" s="90">
        <v>46260</v>
      </c>
      <c r="N829" s="161">
        <v>46260</v>
      </c>
      <c r="O829" s="120">
        <f>NETWORKDAYS.INTL(K829,N829,1,$AM$2:$AM$10)-1</f>
        <v>1</v>
      </c>
      <c r="P829" s="82" t="s">
        <v>81</v>
      </c>
      <c r="Q829" s="82" t="s">
        <v>79</v>
      </c>
      <c r="R829" s="97"/>
      <c r="S829" s="99">
        <v>648</v>
      </c>
      <c r="T829" s="82" t="s">
        <v>3004</v>
      </c>
      <c r="U829" s="100">
        <v>1</v>
      </c>
      <c r="V829" s="95">
        <v>1</v>
      </c>
      <c r="W829" s="95">
        <v>770</v>
      </c>
      <c r="X829" s="93" t="s">
        <v>113</v>
      </c>
      <c r="Y829" s="98" t="s">
        <v>85</v>
      </c>
      <c r="Z829" s="175" t="s">
        <v>3005</v>
      </c>
      <c r="AA829" s="177" t="s">
        <v>87</v>
      </c>
      <c r="AB829" s="178">
        <v>2891.55</v>
      </c>
      <c r="AC829" s="122">
        <f>IF(C829="DENALI", AB829*0.495, IF(C829="SCHNEIDER ELECTRIC", AB829*1.136, IF(C829="WWT", AB829*1.2, AC829)))+AB829</f>
        <v>4322.8672500000002</v>
      </c>
      <c r="AD829" s="129">
        <f>AC829-AB829</f>
        <v>1431.3172500000001</v>
      </c>
      <c r="AE829" s="88">
        <v>2214.6</v>
      </c>
      <c r="AF829" s="130">
        <f>AB829/U829</f>
        <v>2891.55</v>
      </c>
      <c r="AG829" s="130">
        <f>AB829/V829</f>
        <v>2891.55</v>
      </c>
      <c r="AH829" s="123">
        <f>AB829/S829</f>
        <v>4.4622685185185187</v>
      </c>
      <c r="AI829" s="98">
        <v>1174</v>
      </c>
      <c r="AJ829" s="76" t="s">
        <v>349</v>
      </c>
      <c r="AK829"/>
      <c r="AM829" s="80"/>
    </row>
    <row r="830" spans="1:39" ht="28.5" customHeight="1">
      <c r="A830" s="113" t="s">
        <v>73</v>
      </c>
      <c r="B830" s="114" t="s">
        <v>140</v>
      </c>
      <c r="C830" s="113" t="s">
        <v>35</v>
      </c>
      <c r="D830" s="76" t="s">
        <v>218</v>
      </c>
      <c r="E830" s="78" t="s">
        <v>141</v>
      </c>
      <c r="F830" s="96" t="s">
        <v>142</v>
      </c>
      <c r="G830" s="96">
        <v>23954192</v>
      </c>
      <c r="H830" s="164">
        <v>46267</v>
      </c>
      <c r="I830" s="114" t="s">
        <v>79</v>
      </c>
      <c r="J830" s="151" t="s">
        <v>3006</v>
      </c>
      <c r="K830" s="165">
        <v>46261</v>
      </c>
      <c r="L830" s="82" t="s">
        <v>81</v>
      </c>
      <c r="M830" s="90">
        <v>46262</v>
      </c>
      <c r="N830" s="161">
        <v>46262</v>
      </c>
      <c r="O830" s="120">
        <f>NETWORKDAYS.INTL(K830,N830,1,$AM$2:$AM$10)-1</f>
        <v>1</v>
      </c>
      <c r="P830" s="82" t="s">
        <v>81</v>
      </c>
      <c r="Q830" s="82" t="s">
        <v>79</v>
      </c>
      <c r="R830" s="97"/>
      <c r="S830" s="99">
        <v>113</v>
      </c>
      <c r="T830" s="82" t="s">
        <v>3007</v>
      </c>
      <c r="U830" s="100">
        <v>7</v>
      </c>
      <c r="V830" s="95">
        <v>7</v>
      </c>
      <c r="W830" s="95">
        <v>5105</v>
      </c>
      <c r="X830" s="93" t="s">
        <v>113</v>
      </c>
      <c r="Y830" s="98" t="s">
        <v>85</v>
      </c>
      <c r="Z830" s="175" t="s">
        <v>3008</v>
      </c>
      <c r="AA830" s="177" t="s">
        <v>87</v>
      </c>
      <c r="AB830" s="178">
        <v>1681.82</v>
      </c>
      <c r="AC830" s="122">
        <f>IF(C830="DENALI", AB830*0.495, IF(C830="SCHNEIDER ELECTRIC", AB830*1.136, IF(C830="WWT", AB830*1.2, AC830)))+AB830</f>
        <v>2514.3208999999997</v>
      </c>
      <c r="AD830" s="129">
        <f>AC830-AB830</f>
        <v>832.50089999999977</v>
      </c>
      <c r="AE830" s="88">
        <v>412741.11</v>
      </c>
      <c r="AF830" s="130">
        <f>AB830/U830</f>
        <v>240.26</v>
      </c>
      <c r="AG830" s="130">
        <f>AB830/V830</f>
        <v>240.26</v>
      </c>
      <c r="AH830" s="123">
        <f>AB830/S830</f>
        <v>14.883362831858406</v>
      </c>
      <c r="AI830" s="98">
        <v>1174</v>
      </c>
      <c r="AJ830" s="76" t="s">
        <v>349</v>
      </c>
      <c r="AK830"/>
      <c r="AM830" s="80"/>
    </row>
    <row r="831" spans="1:39" ht="28.5" customHeight="1">
      <c r="A831" s="113" t="s">
        <v>73</v>
      </c>
      <c r="B831" s="114" t="s">
        <v>74</v>
      </c>
      <c r="C831" s="113" t="s">
        <v>35</v>
      </c>
      <c r="D831" s="76" t="s">
        <v>99</v>
      </c>
      <c r="E831" s="78" t="s">
        <v>498</v>
      </c>
      <c r="F831" s="96" t="s">
        <v>228</v>
      </c>
      <c r="G831" s="96">
        <v>23955756</v>
      </c>
      <c r="H831" s="164">
        <v>46267</v>
      </c>
      <c r="I831" s="114" t="s">
        <v>79</v>
      </c>
      <c r="J831" s="151">
        <v>23955756</v>
      </c>
      <c r="K831" s="165">
        <v>46260</v>
      </c>
      <c r="L831" s="82" t="s">
        <v>81</v>
      </c>
      <c r="M831" s="90">
        <v>46265</v>
      </c>
      <c r="N831" s="161">
        <v>46265</v>
      </c>
      <c r="O831" s="120">
        <f>NETWORKDAYS.INTL(K831,N831,1,$AM$2:$AM$10)-1</f>
        <v>3</v>
      </c>
      <c r="P831" s="82" t="s">
        <v>81</v>
      </c>
      <c r="Q831" s="82" t="s">
        <v>79</v>
      </c>
      <c r="R831" s="97"/>
      <c r="S831" s="99">
        <v>2091</v>
      </c>
      <c r="T831" s="82" t="s">
        <v>3009</v>
      </c>
      <c r="U831" s="100">
        <v>9</v>
      </c>
      <c r="V831" s="95">
        <v>9</v>
      </c>
      <c r="W831" s="95">
        <v>7650</v>
      </c>
      <c r="X831" s="93" t="s">
        <v>113</v>
      </c>
      <c r="Y831" s="98" t="s">
        <v>85</v>
      </c>
      <c r="Z831" s="175" t="s">
        <v>1884</v>
      </c>
      <c r="AA831" s="177" t="s">
        <v>87</v>
      </c>
      <c r="AB831" s="178">
        <v>3689.03</v>
      </c>
      <c r="AC831" s="122">
        <f>IF(C831="DENALI", AB831*0.495, IF(C831="SCHNEIDER ELECTRIC", AB831*1.136, IF(C831="WWT", AB831*1.2, AC831)))+AB831</f>
        <v>5515.0998500000005</v>
      </c>
      <c r="AD831" s="129">
        <f>AC831-AB831</f>
        <v>1826.0698500000003</v>
      </c>
      <c r="AE831" s="88">
        <v>100188.24</v>
      </c>
      <c r="AF831" s="130">
        <f>AB831/U831</f>
        <v>409.89222222222224</v>
      </c>
      <c r="AG831" s="130">
        <f>AB831/V831</f>
        <v>409.89222222222224</v>
      </c>
      <c r="AH831" s="123">
        <f>AB831/S831</f>
        <v>1.7642419894787185</v>
      </c>
      <c r="AI831" s="98">
        <v>1175</v>
      </c>
      <c r="AJ831" s="76" t="s">
        <v>349</v>
      </c>
      <c r="AK831"/>
      <c r="AM831" s="80"/>
    </row>
    <row r="832" spans="1:39" ht="28.5" customHeight="1">
      <c r="A832" s="113" t="s">
        <v>73</v>
      </c>
      <c r="B832" s="114" t="s">
        <v>140</v>
      </c>
      <c r="C832" s="113" t="s">
        <v>35</v>
      </c>
      <c r="D832" s="76" t="s">
        <v>99</v>
      </c>
      <c r="E832" s="78" t="s">
        <v>141</v>
      </c>
      <c r="F832" s="96" t="s">
        <v>142</v>
      </c>
      <c r="G832" s="96" t="s">
        <v>3010</v>
      </c>
      <c r="H832" s="164">
        <v>46267</v>
      </c>
      <c r="I832" s="114" t="s">
        <v>79</v>
      </c>
      <c r="J832" s="151" t="s">
        <v>3011</v>
      </c>
      <c r="K832" s="165">
        <v>46259</v>
      </c>
      <c r="L832" s="82" t="s">
        <v>81</v>
      </c>
      <c r="M832" s="90">
        <v>46266</v>
      </c>
      <c r="N832" s="161">
        <v>46266</v>
      </c>
      <c r="O832" s="120">
        <f>NETWORKDAYS.INTL(K832,N832,1,$AM$2:$AM$10)-1</f>
        <v>5</v>
      </c>
      <c r="P832" s="82" t="s">
        <v>81</v>
      </c>
      <c r="Q832" s="82" t="s">
        <v>79</v>
      </c>
      <c r="R832" s="97"/>
      <c r="S832" s="99">
        <v>2435</v>
      </c>
      <c r="T832" s="82" t="s">
        <v>3012</v>
      </c>
      <c r="U832" s="100">
        <v>1</v>
      </c>
      <c r="V832" s="95">
        <v>1</v>
      </c>
      <c r="W832" s="95">
        <v>130</v>
      </c>
      <c r="X832" s="93" t="s">
        <v>84</v>
      </c>
      <c r="Y832" s="98" t="s">
        <v>85</v>
      </c>
      <c r="Z832" s="175" t="s">
        <v>86</v>
      </c>
      <c r="AA832" s="177" t="s">
        <v>87</v>
      </c>
      <c r="AB832" s="178">
        <v>345.25</v>
      </c>
      <c r="AC832" s="122">
        <f>IF(C832="DENALI", AB832*0.495, IF(C832="SCHNEIDER ELECTRIC", AB832*1.136, IF(C832="WWT", AB832*1.2, AC832)))+AB832</f>
        <v>516.14875000000006</v>
      </c>
      <c r="AD832" s="129">
        <f>AC832-AB832</f>
        <v>170.89875000000006</v>
      </c>
      <c r="AE832" s="88">
        <v>100188.24</v>
      </c>
      <c r="AF832" s="130">
        <f>AB832/U832</f>
        <v>345.25</v>
      </c>
      <c r="AG832" s="130">
        <f>AB832/V832</f>
        <v>345.25</v>
      </c>
      <c r="AH832" s="123">
        <f>AB832/S832</f>
        <v>0.14178644763860371</v>
      </c>
      <c r="AI832" s="98">
        <v>1175</v>
      </c>
      <c r="AJ832" s="76" t="s">
        <v>349</v>
      </c>
      <c r="AK832"/>
      <c r="AM832" s="80"/>
    </row>
    <row r="833" spans="1:39" ht="28.5" customHeight="1">
      <c r="A833" s="113" t="s">
        <v>73</v>
      </c>
      <c r="B833" s="114" t="s">
        <v>2828</v>
      </c>
      <c r="C833" s="113" t="s">
        <v>901</v>
      </c>
      <c r="D833" s="76" t="s">
        <v>142</v>
      </c>
      <c r="E833" s="78" t="s">
        <v>1066</v>
      </c>
      <c r="F833" s="96" t="s">
        <v>370</v>
      </c>
      <c r="G833" s="96">
        <v>23958628</v>
      </c>
      <c r="H833" s="164">
        <v>46268</v>
      </c>
      <c r="I833" s="114" t="s">
        <v>81</v>
      </c>
      <c r="J833" s="151" t="s">
        <v>3013</v>
      </c>
      <c r="K833" s="165">
        <v>46260</v>
      </c>
      <c r="L833" s="82" t="s">
        <v>81</v>
      </c>
      <c r="M833" s="90">
        <v>46260</v>
      </c>
      <c r="N833" s="161">
        <v>46260</v>
      </c>
      <c r="O833" s="120">
        <f>NETWORKDAYS.INTL(K833,N833,1,$AM$2:$AM$10)-1</f>
        <v>0</v>
      </c>
      <c r="P833" s="82" t="s">
        <v>81</v>
      </c>
      <c r="Q833" s="82" t="s">
        <v>79</v>
      </c>
      <c r="R833" s="97"/>
      <c r="S833" s="99">
        <v>299</v>
      </c>
      <c r="T833" s="82"/>
      <c r="U833" s="100">
        <v>1</v>
      </c>
      <c r="V833" s="95">
        <v>26</v>
      </c>
      <c r="W833" s="95">
        <v>520</v>
      </c>
      <c r="X833" s="93" t="s">
        <v>113</v>
      </c>
      <c r="Y833" s="98" t="s">
        <v>85</v>
      </c>
      <c r="Z833" s="175" t="s">
        <v>3014</v>
      </c>
      <c r="AA833" s="177" t="s">
        <v>87</v>
      </c>
      <c r="AB833" s="178">
        <v>1600</v>
      </c>
      <c r="AC833" s="179">
        <v>2800</v>
      </c>
      <c r="AD833" s="129">
        <f>AC833-AB833</f>
        <v>1200</v>
      </c>
      <c r="AE833" s="88">
        <v>0</v>
      </c>
      <c r="AF833" s="130">
        <f>AB833/U833</f>
        <v>1600</v>
      </c>
      <c r="AG833" s="130">
        <f>AB833/V833</f>
        <v>61.53846153846154</v>
      </c>
      <c r="AH833" s="123">
        <f>AB833/S833</f>
        <v>5.3511705685618729</v>
      </c>
      <c r="AI833" s="98">
        <v>1175</v>
      </c>
      <c r="AJ833" s="76" t="s">
        <v>2678</v>
      </c>
      <c r="AK833"/>
      <c r="AM833" s="80"/>
    </row>
    <row r="834" spans="1:39" ht="28.5" customHeight="1">
      <c r="A834" s="113" t="s">
        <v>73</v>
      </c>
      <c r="B834" s="114" t="s">
        <v>74</v>
      </c>
      <c r="C834" s="113" t="s">
        <v>35</v>
      </c>
      <c r="D834" s="76" t="s">
        <v>218</v>
      </c>
      <c r="E834" s="78" t="s">
        <v>429</v>
      </c>
      <c r="F834" s="96" t="s">
        <v>92</v>
      </c>
      <c r="G834" s="96" t="s">
        <v>3015</v>
      </c>
      <c r="H834" s="164">
        <v>46269</v>
      </c>
      <c r="I834" s="114" t="s">
        <v>79</v>
      </c>
      <c r="J834" s="151">
        <v>557690921</v>
      </c>
      <c r="K834" s="165">
        <v>46260</v>
      </c>
      <c r="L834" s="82" t="s">
        <v>81</v>
      </c>
      <c r="M834" s="90">
        <v>46265</v>
      </c>
      <c r="N834" s="161">
        <v>46265</v>
      </c>
      <c r="O834" s="120">
        <f>NETWORKDAYS.INTL(K834,N834,1,$AM$2:$AM$10)-1</f>
        <v>3</v>
      </c>
      <c r="P834" s="82" t="s">
        <v>81</v>
      </c>
      <c r="Q834" s="82" t="s">
        <v>79</v>
      </c>
      <c r="R834" s="97"/>
      <c r="S834" s="99">
        <v>1376.6</v>
      </c>
      <c r="T834" s="82" t="s">
        <v>3016</v>
      </c>
      <c r="U834" s="100">
        <v>1</v>
      </c>
      <c r="V834" s="95">
        <v>3</v>
      </c>
      <c r="W834" s="95">
        <v>190</v>
      </c>
      <c r="X834" s="93" t="s">
        <v>84</v>
      </c>
      <c r="Y834" s="98" t="s">
        <v>85</v>
      </c>
      <c r="Z834" s="175" t="s">
        <v>86</v>
      </c>
      <c r="AA834" s="177" t="s">
        <v>87</v>
      </c>
      <c r="AB834" s="178">
        <v>242.19</v>
      </c>
      <c r="AC834" s="122">
        <f>IF(C834="DENALI", AB834*0.495, IF(C834="SCHNEIDER ELECTRIC", AB834*1.136, IF(C834="WWT", AB834*1.2, AC834)))+AB834</f>
        <v>362.07405</v>
      </c>
      <c r="AD834" s="129">
        <f>AC834-AB834</f>
        <v>119.88405</v>
      </c>
      <c r="AE834" s="88">
        <v>442.55</v>
      </c>
      <c r="AF834" s="130">
        <f>AB834/U834</f>
        <v>242.19</v>
      </c>
      <c r="AG834" s="130">
        <f>AB834/V834</f>
        <v>80.73</v>
      </c>
      <c r="AH834" s="123">
        <f>AB834/S834</f>
        <v>0.17593345924742118</v>
      </c>
      <c r="AI834" s="98">
        <v>1175</v>
      </c>
      <c r="AJ834" s="76" t="s">
        <v>379</v>
      </c>
      <c r="AK834"/>
      <c r="AM834" s="80"/>
    </row>
    <row r="835" spans="1:39" ht="28.5" customHeight="1">
      <c r="A835" s="113" t="s">
        <v>73</v>
      </c>
      <c r="B835" s="114" t="s">
        <v>74</v>
      </c>
      <c r="C835" s="113" t="s">
        <v>35</v>
      </c>
      <c r="D835" s="76" t="s">
        <v>218</v>
      </c>
      <c r="E835" s="78" t="s">
        <v>3017</v>
      </c>
      <c r="F835" s="96" t="s">
        <v>457</v>
      </c>
      <c r="G835" s="96" t="s">
        <v>3018</v>
      </c>
      <c r="H835" s="164">
        <v>46269</v>
      </c>
      <c r="I835" s="114" t="s">
        <v>79</v>
      </c>
      <c r="J835" s="151" t="s">
        <v>3019</v>
      </c>
      <c r="K835" s="165">
        <v>46260</v>
      </c>
      <c r="L835" s="82" t="s">
        <v>81</v>
      </c>
      <c r="M835" s="90">
        <v>46261</v>
      </c>
      <c r="N835" s="161">
        <v>46262</v>
      </c>
      <c r="O835" s="120">
        <f>NETWORKDAYS.INTL(K835,N835,1,$AM$2:$AM$10)-1</f>
        <v>2</v>
      </c>
      <c r="P835" s="82" t="s">
        <v>81</v>
      </c>
      <c r="Q835" s="82" t="s">
        <v>79</v>
      </c>
      <c r="R835" s="97"/>
      <c r="S835" s="99">
        <v>298</v>
      </c>
      <c r="T835" s="82" t="s">
        <v>3020</v>
      </c>
      <c r="U835" s="100">
        <v>1</v>
      </c>
      <c r="V835" s="95">
        <v>5</v>
      </c>
      <c r="W835" s="95">
        <v>610</v>
      </c>
      <c r="X835" s="93" t="s">
        <v>84</v>
      </c>
      <c r="Y835" s="98" t="s">
        <v>85</v>
      </c>
      <c r="Z835" s="175" t="s">
        <v>86</v>
      </c>
      <c r="AA835" s="177" t="s">
        <v>87</v>
      </c>
      <c r="AB835" s="178">
        <v>334.64</v>
      </c>
      <c r="AC835" s="122">
        <f>IF(C835="DENALI", AB835*0.495, IF(C835="SCHNEIDER ELECTRIC", AB835*1.136, IF(C835="WWT", AB835*1.2, AC835)))+AB835</f>
        <v>500.28679999999997</v>
      </c>
      <c r="AD835" s="129">
        <f>AC835-AB835</f>
        <v>165.64679999999998</v>
      </c>
      <c r="AE835" s="88">
        <v>12323.06</v>
      </c>
      <c r="AF835" s="130">
        <f>AB835/U835</f>
        <v>334.64</v>
      </c>
      <c r="AG835" s="130">
        <f>AB835/V835</f>
        <v>66.927999999999997</v>
      </c>
      <c r="AH835" s="123">
        <f>AB835/S835</f>
        <v>1.1229530201342282</v>
      </c>
      <c r="AI835" s="98">
        <v>1175</v>
      </c>
      <c r="AJ835" s="76" t="s">
        <v>89</v>
      </c>
      <c r="AK835"/>
      <c r="AM835" s="80"/>
    </row>
    <row r="836" spans="1:39" ht="28.5" customHeight="1">
      <c r="A836" s="113" t="s">
        <v>73</v>
      </c>
      <c r="B836" s="114" t="s">
        <v>74</v>
      </c>
      <c r="C836" s="113" t="s">
        <v>35</v>
      </c>
      <c r="D836" s="76" t="s">
        <v>218</v>
      </c>
      <c r="E836" s="78" t="s">
        <v>3021</v>
      </c>
      <c r="F836" s="96" t="s">
        <v>109</v>
      </c>
      <c r="G836" s="96" t="s">
        <v>3022</v>
      </c>
      <c r="H836" s="164">
        <v>46269</v>
      </c>
      <c r="I836" s="114" t="s">
        <v>79</v>
      </c>
      <c r="J836" s="151" t="s">
        <v>3023</v>
      </c>
      <c r="K836" s="165">
        <v>46260</v>
      </c>
      <c r="L836" s="82" t="s">
        <v>81</v>
      </c>
      <c r="M836" s="90">
        <v>46265</v>
      </c>
      <c r="N836" s="161">
        <v>46262</v>
      </c>
      <c r="O836" s="120">
        <f>NETWORKDAYS.INTL(K836,N836,1,$AM$2:$AM$10)-1</f>
        <v>2</v>
      </c>
      <c r="P836" s="82" t="s">
        <v>81</v>
      </c>
      <c r="Q836" s="82" t="s">
        <v>79</v>
      </c>
      <c r="R836" s="97"/>
      <c r="S836" s="99">
        <v>908.6</v>
      </c>
      <c r="T836" s="82" t="s">
        <v>3024</v>
      </c>
      <c r="U836" s="100">
        <v>1</v>
      </c>
      <c r="V836" s="95">
        <v>3</v>
      </c>
      <c r="W836" s="95">
        <v>135</v>
      </c>
      <c r="X836" s="93" t="s">
        <v>84</v>
      </c>
      <c r="Y836" s="98" t="s">
        <v>85</v>
      </c>
      <c r="Z836" s="175" t="s">
        <v>86</v>
      </c>
      <c r="AA836" s="177" t="s">
        <v>87</v>
      </c>
      <c r="AB836" s="178">
        <v>280.55</v>
      </c>
      <c r="AC836" s="122">
        <f>IF(C836="DENALI", AB836*0.495, IF(C836="SCHNEIDER ELECTRIC", AB836*1.136, IF(C836="WWT", AB836*1.2, AC836)))+AB836</f>
        <v>419.42225000000002</v>
      </c>
      <c r="AD836" s="129">
        <f>AC836-AB836</f>
        <v>138.87225000000001</v>
      </c>
      <c r="AE836" s="88">
        <v>442.55</v>
      </c>
      <c r="AF836" s="130">
        <f>AB836/U836</f>
        <v>280.55</v>
      </c>
      <c r="AG836" s="130">
        <f>AB836/V836</f>
        <v>93.516666666666666</v>
      </c>
      <c r="AH836" s="123">
        <f>AB836/S836</f>
        <v>0.30877173673783842</v>
      </c>
      <c r="AI836" s="98">
        <v>1084</v>
      </c>
      <c r="AJ836" s="76" t="s">
        <v>379</v>
      </c>
      <c r="AK836"/>
      <c r="AM836" s="80"/>
    </row>
    <row r="837" spans="1:39" ht="28.5" customHeight="1">
      <c r="A837" s="113" t="s">
        <v>73</v>
      </c>
      <c r="B837" s="114" t="s">
        <v>74</v>
      </c>
      <c r="C837" s="113" t="s">
        <v>35</v>
      </c>
      <c r="D837" s="76" t="s">
        <v>218</v>
      </c>
      <c r="E837" s="78" t="s">
        <v>1691</v>
      </c>
      <c r="F837" s="96" t="s">
        <v>92</v>
      </c>
      <c r="G837" s="96" t="s">
        <v>3025</v>
      </c>
      <c r="H837" s="164">
        <v>46269</v>
      </c>
      <c r="I837" s="114" t="s">
        <v>79</v>
      </c>
      <c r="J837" s="151" t="s">
        <v>3026</v>
      </c>
      <c r="K837" s="165">
        <v>46260</v>
      </c>
      <c r="L837" s="82" t="s">
        <v>81</v>
      </c>
      <c r="M837" s="90">
        <v>46262</v>
      </c>
      <c r="N837" s="161">
        <v>46262</v>
      </c>
      <c r="O837" s="120">
        <f>NETWORKDAYS.INTL(K837,N837,1,$AM$2:$AM$10)-1</f>
        <v>2</v>
      </c>
      <c r="P837" s="82" t="s">
        <v>81</v>
      </c>
      <c r="Q837" s="82" t="s">
        <v>79</v>
      </c>
      <c r="R837" s="97"/>
      <c r="S837" s="99">
        <v>1030</v>
      </c>
      <c r="T837" s="82" t="s">
        <v>3027</v>
      </c>
      <c r="U837" s="100">
        <v>5</v>
      </c>
      <c r="V837" s="95">
        <v>312</v>
      </c>
      <c r="W837" s="95">
        <v>3405</v>
      </c>
      <c r="X837" s="93" t="s">
        <v>84</v>
      </c>
      <c r="Y837" s="98" t="s">
        <v>85</v>
      </c>
      <c r="Z837" s="175" t="s">
        <v>86</v>
      </c>
      <c r="AA837" s="177" t="s">
        <v>87</v>
      </c>
      <c r="AB837" s="178">
        <v>1050.73</v>
      </c>
      <c r="AC837" s="122">
        <f>IF(C837="DENALI", AB837*0.495, IF(C837="SCHNEIDER ELECTRIC", AB837*1.136, IF(C837="WWT", AB837*1.2, AC837)))+AB837</f>
        <v>1570.8413500000001</v>
      </c>
      <c r="AD837" s="129">
        <f>AC837-AB837</f>
        <v>520.11135000000013</v>
      </c>
      <c r="AE837" s="88">
        <v>103469.33</v>
      </c>
      <c r="AF837" s="130">
        <f>AB837/U837</f>
        <v>210.14600000000002</v>
      </c>
      <c r="AG837" s="130">
        <f>AB837/V837</f>
        <v>3.3677243589743591</v>
      </c>
      <c r="AH837" s="123">
        <f>AB837/S837</f>
        <v>1.0201262135922331</v>
      </c>
      <c r="AI837" s="98">
        <v>1084</v>
      </c>
      <c r="AJ837" s="76" t="s">
        <v>343</v>
      </c>
      <c r="AK837"/>
      <c r="AM837" s="80"/>
    </row>
    <row r="838" spans="1:39" ht="28.5" customHeight="1">
      <c r="A838" s="113" t="s">
        <v>73</v>
      </c>
      <c r="B838" s="114" t="s">
        <v>74</v>
      </c>
      <c r="C838" s="113" t="s">
        <v>35</v>
      </c>
      <c r="D838" s="76" t="s">
        <v>218</v>
      </c>
      <c r="E838" s="78" t="s">
        <v>1255</v>
      </c>
      <c r="F838" s="96" t="s">
        <v>207</v>
      </c>
      <c r="G838" s="96" t="s">
        <v>3028</v>
      </c>
      <c r="H838" s="164">
        <v>46269</v>
      </c>
      <c r="I838" s="114" t="s">
        <v>79</v>
      </c>
      <c r="J838" s="162" t="s">
        <v>3029</v>
      </c>
      <c r="K838" s="166">
        <v>46260</v>
      </c>
      <c r="L838" s="93" t="s">
        <v>81</v>
      </c>
      <c r="M838" s="94">
        <v>46261</v>
      </c>
      <c r="N838" s="161">
        <v>46261</v>
      </c>
      <c r="O838" s="218">
        <f>NETWORKDAYS.INTL(K838,N838,1,$AM$2:$AM$10)-1</f>
        <v>1</v>
      </c>
      <c r="P838" s="93" t="s">
        <v>81</v>
      </c>
      <c r="Q838" s="93" t="s">
        <v>79</v>
      </c>
      <c r="R838" s="97"/>
      <c r="S838" s="99">
        <v>198</v>
      </c>
      <c r="T838" s="82" t="s">
        <v>3030</v>
      </c>
      <c r="U838" s="100">
        <v>3</v>
      </c>
      <c r="V838" s="95">
        <v>1133</v>
      </c>
      <c r="W838" s="95">
        <v>2010</v>
      </c>
      <c r="X838" s="93" t="s">
        <v>84</v>
      </c>
      <c r="Y838" s="98" t="s">
        <v>85</v>
      </c>
      <c r="Z838" s="175" t="s">
        <v>3031</v>
      </c>
      <c r="AA838" s="177" t="s">
        <v>87</v>
      </c>
      <c r="AB838" s="178">
        <v>271.91000000000003</v>
      </c>
      <c r="AC838" s="122">
        <f>IF(C838="DENALI", AB838*0.495, IF(C838="SCHNEIDER ELECTRIC", AB838*1.136, IF(C838="WWT", AB838*1.2, AC838)))+AB838</f>
        <v>406.50545</v>
      </c>
      <c r="AD838" s="129">
        <f>AC838-AB838</f>
        <v>134.59544999999997</v>
      </c>
      <c r="AE838" s="88">
        <v>109247</v>
      </c>
      <c r="AF838" s="130">
        <f>AB838/U838</f>
        <v>90.63666666666667</v>
      </c>
      <c r="AG838" s="130">
        <f>AB838/V838</f>
        <v>0.23999117387466903</v>
      </c>
      <c r="AH838" s="123">
        <f>AB838/S838</f>
        <v>1.3732828282828284</v>
      </c>
      <c r="AI838" s="98">
        <v>1084</v>
      </c>
      <c r="AJ838" s="76" t="s">
        <v>343</v>
      </c>
      <c r="AK838"/>
      <c r="AM838" s="80"/>
    </row>
    <row r="839" spans="1:39" ht="167.25">
      <c r="A839" s="113" t="s">
        <v>73</v>
      </c>
      <c r="B839" s="114" t="s">
        <v>140</v>
      </c>
      <c r="C839" s="113" t="s">
        <v>35</v>
      </c>
      <c r="D839" s="76" t="s">
        <v>99</v>
      </c>
      <c r="E839" s="78" t="s">
        <v>141</v>
      </c>
      <c r="F839" s="96" t="s">
        <v>142</v>
      </c>
      <c r="G839" s="96">
        <v>2396577</v>
      </c>
      <c r="H839" s="164">
        <v>46269</v>
      </c>
      <c r="I839" s="167" t="s">
        <v>79</v>
      </c>
      <c r="J839" s="151">
        <v>23965777</v>
      </c>
      <c r="K839" s="90">
        <v>46265</v>
      </c>
      <c r="L839" s="82" t="s">
        <v>81</v>
      </c>
      <c r="M839" s="90">
        <v>46267</v>
      </c>
      <c r="N839" s="131">
        <v>46266</v>
      </c>
      <c r="O839" s="216">
        <f>NETWORKDAYS.INTL(K839,N839,1,$AM$2:$AM$10)-1</f>
        <v>1</v>
      </c>
      <c r="P839" s="82" t="s">
        <v>81</v>
      </c>
      <c r="Q839" s="82" t="s">
        <v>79</v>
      </c>
      <c r="R839" s="82"/>
      <c r="S839" s="217">
        <v>441</v>
      </c>
      <c r="T839" s="82" t="s">
        <v>3032</v>
      </c>
      <c r="U839" s="100">
        <v>17</v>
      </c>
      <c r="V839" s="95">
        <v>17</v>
      </c>
      <c r="W839" s="95">
        <v>14620</v>
      </c>
      <c r="X839" s="93" t="s">
        <v>113</v>
      </c>
      <c r="Y839" s="98" t="s">
        <v>85</v>
      </c>
      <c r="Z839" s="175" t="s">
        <v>3033</v>
      </c>
      <c r="AA839" s="177" t="s">
        <v>87</v>
      </c>
      <c r="AB839" s="178">
        <v>1672.66</v>
      </c>
      <c r="AC839" s="122">
        <f>IF(C839="DENALI", AB839*0.495, IF(C839="SCHNEIDER ELECTRIC", AB839*1.136, IF(C839="WWT", AB839*1.2, AC839)))+AB839</f>
        <v>2500.6267000000003</v>
      </c>
      <c r="AD839" s="129">
        <f>AC839-AB839</f>
        <v>827.96670000000017</v>
      </c>
      <c r="AE839" s="88">
        <v>519943.67</v>
      </c>
      <c r="AF839" s="130">
        <f>AB839/U839</f>
        <v>98.391764705882352</v>
      </c>
      <c r="AG839" s="130">
        <f>AB839/V839</f>
        <v>98.391764705882352</v>
      </c>
      <c r="AH839" s="123">
        <f>AB839/S839</f>
        <v>3.7928798185941046</v>
      </c>
      <c r="AI839" s="98">
        <v>1172</v>
      </c>
      <c r="AJ839" s="76" t="s">
        <v>89</v>
      </c>
      <c r="AK839"/>
      <c r="AM839" s="80"/>
    </row>
    <row r="840" spans="1:39" ht="28.5" customHeight="1">
      <c r="A840" s="113" t="s">
        <v>73</v>
      </c>
      <c r="B840" s="114" t="s">
        <v>74</v>
      </c>
      <c r="C840" s="113" t="s">
        <v>35</v>
      </c>
      <c r="D840" s="76" t="s">
        <v>218</v>
      </c>
      <c r="E840" s="78" t="s">
        <v>3034</v>
      </c>
      <c r="F840" s="96" t="s">
        <v>457</v>
      </c>
      <c r="G840" s="96" t="s">
        <v>3035</v>
      </c>
      <c r="H840" s="164">
        <v>46269</v>
      </c>
      <c r="I840" s="167" t="s">
        <v>79</v>
      </c>
      <c r="J840" s="151" t="s">
        <v>3036</v>
      </c>
      <c r="K840" s="90">
        <v>46260</v>
      </c>
      <c r="L840" s="82" t="s">
        <v>81</v>
      </c>
      <c r="M840" s="90">
        <v>46261</v>
      </c>
      <c r="N840" s="131">
        <v>46266</v>
      </c>
      <c r="O840" s="216">
        <f>NETWORKDAYS.INTL(K840,N840,1,$AM$2:$AM$10)-1</f>
        <v>4</v>
      </c>
      <c r="P840" s="82" t="s">
        <v>81</v>
      </c>
      <c r="Q840" s="82" t="s">
        <v>79</v>
      </c>
      <c r="R840" s="82"/>
      <c r="S840" s="217">
        <v>419.5</v>
      </c>
      <c r="T840" s="82" t="s">
        <v>3037</v>
      </c>
      <c r="U840" s="100">
        <v>1</v>
      </c>
      <c r="V840" s="95">
        <v>12</v>
      </c>
      <c r="W840" s="95">
        <v>1025</v>
      </c>
      <c r="X840" s="93" t="s">
        <v>84</v>
      </c>
      <c r="Y840" s="98" t="s">
        <v>85</v>
      </c>
      <c r="Z840" s="175" t="s">
        <v>86</v>
      </c>
      <c r="AA840" s="177" t="s">
        <v>87</v>
      </c>
      <c r="AB840" s="178">
        <v>501.07</v>
      </c>
      <c r="AC840" s="122">
        <f>IF(C840="DENALI", AB840*0.495, IF(C840="SCHNEIDER ELECTRIC", AB840*1.136, IF(C840="WWT", AB840*1.2, AC840)))+AB840</f>
        <v>749.09965</v>
      </c>
      <c r="AD840" s="129">
        <f>AC840-AB840</f>
        <v>248.02965</v>
      </c>
      <c r="AE840" s="88">
        <v>19856.650000000001</v>
      </c>
      <c r="AF840" s="130">
        <f>AB840/U840</f>
        <v>501.07</v>
      </c>
      <c r="AG840" s="130">
        <f>AB840/V840</f>
        <v>41.755833333333335</v>
      </c>
      <c r="AH840" s="123">
        <f>AB840/S840</f>
        <v>1.194445768772348</v>
      </c>
      <c r="AI840" s="98">
        <v>1084</v>
      </c>
      <c r="AJ840" s="76" t="s">
        <v>89</v>
      </c>
      <c r="AK840"/>
      <c r="AM840" s="80"/>
    </row>
    <row r="841" spans="1:39" ht="28.5" customHeight="1">
      <c r="A841" s="113" t="s">
        <v>73</v>
      </c>
      <c r="B841" s="114" t="s">
        <v>74</v>
      </c>
      <c r="C841" s="113" t="s">
        <v>35</v>
      </c>
      <c r="D841" s="76" t="s">
        <v>218</v>
      </c>
      <c r="E841" s="78" t="s">
        <v>3038</v>
      </c>
      <c r="F841" s="96" t="s">
        <v>370</v>
      </c>
      <c r="G841" s="96" t="s">
        <v>3039</v>
      </c>
      <c r="H841" s="164">
        <v>46269</v>
      </c>
      <c r="I841" s="114" t="s">
        <v>79</v>
      </c>
      <c r="J841" s="181" t="s">
        <v>3040</v>
      </c>
      <c r="K841" s="219">
        <v>46260</v>
      </c>
      <c r="L841" s="220" t="s">
        <v>81</v>
      </c>
      <c r="M841" s="221">
        <v>46262</v>
      </c>
      <c r="N841" s="214">
        <v>46265</v>
      </c>
      <c r="O841" s="222">
        <f>NETWORKDAYS.INTL(K841,N841,1,$AM$2:$AM$10)-1</f>
        <v>3</v>
      </c>
      <c r="P841" s="220" t="s">
        <v>81</v>
      </c>
      <c r="Q841" s="220" t="s">
        <v>79</v>
      </c>
      <c r="R841" s="223"/>
      <c r="S841" s="99">
        <v>688.4</v>
      </c>
      <c r="T841" s="82" t="s">
        <v>2052</v>
      </c>
      <c r="U841" s="100">
        <v>3</v>
      </c>
      <c r="V841" s="95">
        <v>100</v>
      </c>
      <c r="W841" s="95">
        <v>1040</v>
      </c>
      <c r="X841" s="93" t="s">
        <v>84</v>
      </c>
      <c r="Y841" s="98" t="s">
        <v>85</v>
      </c>
      <c r="Z841" s="175" t="s">
        <v>86</v>
      </c>
      <c r="AA841" s="177" t="s">
        <v>87</v>
      </c>
      <c r="AB841" s="178">
        <v>393.55</v>
      </c>
      <c r="AC841" s="122">
        <f>IF(C841="DENALI", AB841*0.495, IF(C841="SCHNEIDER ELECTRIC", AB841*1.136, IF(C841="WWT", AB841*1.2, AC841)))+AB841</f>
        <v>588.35725000000002</v>
      </c>
      <c r="AD841" s="129">
        <f>AC841-AB841</f>
        <v>194.80725000000001</v>
      </c>
      <c r="AE841" s="88">
        <v>122554</v>
      </c>
      <c r="AF841" s="130">
        <f>AB841/U841</f>
        <v>131.18333333333334</v>
      </c>
      <c r="AG841" s="130">
        <f>AB841/V841</f>
        <v>3.9355000000000002</v>
      </c>
      <c r="AH841" s="123">
        <f>AB841/S841</f>
        <v>0.57168797210923883</v>
      </c>
      <c r="AI841" s="98">
        <v>1289</v>
      </c>
      <c r="AJ841" s="76" t="s">
        <v>349</v>
      </c>
      <c r="AK841"/>
      <c r="AM841" s="80"/>
    </row>
    <row r="842" spans="1:39" ht="28.5" customHeight="1">
      <c r="A842" s="113" t="s">
        <v>73</v>
      </c>
      <c r="B842" s="114" t="s">
        <v>74</v>
      </c>
      <c r="C842" s="113" t="s">
        <v>35</v>
      </c>
      <c r="D842" s="76" t="s">
        <v>218</v>
      </c>
      <c r="E842" s="78" t="s">
        <v>450</v>
      </c>
      <c r="F842" s="96" t="s">
        <v>265</v>
      </c>
      <c r="G842" s="96" t="s">
        <v>3041</v>
      </c>
      <c r="H842" s="164">
        <v>46269</v>
      </c>
      <c r="I842" s="114" t="s">
        <v>79</v>
      </c>
      <c r="J842" s="151">
        <v>557691256</v>
      </c>
      <c r="K842" s="165">
        <v>46260</v>
      </c>
      <c r="L842" s="82" t="s">
        <v>81</v>
      </c>
      <c r="M842" s="90">
        <v>46262</v>
      </c>
      <c r="N842" s="161">
        <v>46262</v>
      </c>
      <c r="O842" s="120">
        <f>NETWORKDAYS.INTL(K842,N842,1,$AM$2:$AM$10)-1</f>
        <v>2</v>
      </c>
      <c r="P842" s="82" t="s">
        <v>81</v>
      </c>
      <c r="Q842" s="82" t="s">
        <v>79</v>
      </c>
      <c r="R842" s="97"/>
      <c r="S842" s="99">
        <v>724</v>
      </c>
      <c r="T842" s="82" t="s">
        <v>3042</v>
      </c>
      <c r="U842" s="100">
        <v>1</v>
      </c>
      <c r="V842" s="95">
        <v>5772</v>
      </c>
      <c r="W842" s="95">
        <v>270</v>
      </c>
      <c r="X842" s="93" t="s">
        <v>84</v>
      </c>
      <c r="Y842" s="98" t="s">
        <v>85</v>
      </c>
      <c r="Z842" s="175" t="s">
        <v>86</v>
      </c>
      <c r="AA842" s="177" t="s">
        <v>87</v>
      </c>
      <c r="AB842" s="178">
        <v>232.29</v>
      </c>
      <c r="AC842" s="122">
        <f>IF(C842="DENALI", AB842*0.495, IF(C842="SCHNEIDER ELECTRIC", AB842*1.136, IF(C842="WWT", AB842*1.2, AC842)))+AB842</f>
        <v>347.27355</v>
      </c>
      <c r="AD842" s="129">
        <f>AC842-AB842</f>
        <v>114.98355000000001</v>
      </c>
      <c r="AE842" s="88">
        <v>150689.76</v>
      </c>
      <c r="AF842" s="130">
        <f>AB842/U842</f>
        <v>232.29</v>
      </c>
      <c r="AG842" s="130">
        <f>AB842/V842</f>
        <v>4.0244282744282746E-2</v>
      </c>
      <c r="AH842" s="123">
        <f>AB842/S842</f>
        <v>0.32084254143646407</v>
      </c>
      <c r="AI842" s="98">
        <v>1290</v>
      </c>
      <c r="AJ842" s="76" t="s">
        <v>349</v>
      </c>
      <c r="AK842"/>
      <c r="AM842" s="80"/>
    </row>
    <row r="843" spans="1:39" ht="28.5" customHeight="1">
      <c r="A843" s="113" t="s">
        <v>73</v>
      </c>
      <c r="B843" s="114" t="s">
        <v>74</v>
      </c>
      <c r="C843" s="113" t="s">
        <v>35</v>
      </c>
      <c r="D843" s="76" t="s">
        <v>218</v>
      </c>
      <c r="E843" s="78" t="s">
        <v>1616</v>
      </c>
      <c r="F843" s="96" t="s">
        <v>228</v>
      </c>
      <c r="G843" s="96" t="s">
        <v>3043</v>
      </c>
      <c r="H843" s="164">
        <v>46269</v>
      </c>
      <c r="I843" s="114" t="s">
        <v>79</v>
      </c>
      <c r="J843" s="151" t="s">
        <v>3044</v>
      </c>
      <c r="K843" s="165">
        <v>46260</v>
      </c>
      <c r="L843" s="82" t="s">
        <v>81</v>
      </c>
      <c r="M843" s="90">
        <v>46261</v>
      </c>
      <c r="N843" s="161">
        <v>46262</v>
      </c>
      <c r="O843" s="120">
        <f>NETWORKDAYS.INTL(K843,N843,1,$AM$2:$AM$10)-1</f>
        <v>2</v>
      </c>
      <c r="P843" s="82" t="s">
        <v>81</v>
      </c>
      <c r="Q843" s="82" t="s">
        <v>79</v>
      </c>
      <c r="R843" s="97"/>
      <c r="S843" s="99">
        <v>183</v>
      </c>
      <c r="T843" s="82" t="s">
        <v>3045</v>
      </c>
      <c r="U843" s="100">
        <v>1</v>
      </c>
      <c r="V843" s="95">
        <v>146</v>
      </c>
      <c r="W843" s="95">
        <v>480</v>
      </c>
      <c r="X843" s="93" t="s">
        <v>84</v>
      </c>
      <c r="Y843" s="98" t="s">
        <v>85</v>
      </c>
      <c r="Z843" s="175" t="s">
        <v>2723</v>
      </c>
      <c r="AA843" s="177" t="s">
        <v>87</v>
      </c>
      <c r="AB843" s="178">
        <v>167.06</v>
      </c>
      <c r="AC843" s="122">
        <f>IF(C843="DENALI", AB843*0.495, IF(C843="SCHNEIDER ELECTRIC", AB843*1.136, IF(C843="WWT", AB843*1.2, AC843)))+AB843</f>
        <v>249.75470000000001</v>
      </c>
      <c r="AD843" s="129">
        <f>AC843-AB843</f>
        <v>82.694700000000012</v>
      </c>
      <c r="AE843" s="88">
        <v>16553.46</v>
      </c>
      <c r="AF843" s="130">
        <f>AB843/U843</f>
        <v>167.06</v>
      </c>
      <c r="AG843" s="130">
        <f>AB843/V843</f>
        <v>1.1442465753424658</v>
      </c>
      <c r="AH843" s="123">
        <f>AB843/S843</f>
        <v>0.91289617486338803</v>
      </c>
      <c r="AI843" s="98">
        <v>1060</v>
      </c>
      <c r="AJ843" s="76" t="s">
        <v>343</v>
      </c>
      <c r="AK843"/>
      <c r="AM843" s="80"/>
    </row>
    <row r="844" spans="1:39" ht="28.5" customHeight="1">
      <c r="A844" s="113" t="s">
        <v>73</v>
      </c>
      <c r="B844" s="114" t="s">
        <v>74</v>
      </c>
      <c r="C844" s="113" t="s">
        <v>35</v>
      </c>
      <c r="D844" s="76" t="s">
        <v>218</v>
      </c>
      <c r="E844" s="78" t="s">
        <v>1262</v>
      </c>
      <c r="F844" s="96" t="s">
        <v>92</v>
      </c>
      <c r="G844" s="96" t="s">
        <v>3046</v>
      </c>
      <c r="H844" s="164">
        <v>46269</v>
      </c>
      <c r="I844" s="114" t="s">
        <v>79</v>
      </c>
      <c r="J844" s="151" t="s">
        <v>3047</v>
      </c>
      <c r="K844" s="165">
        <v>46260</v>
      </c>
      <c r="L844" s="82" t="s">
        <v>81</v>
      </c>
      <c r="M844" s="90">
        <v>46262</v>
      </c>
      <c r="N844" s="161">
        <v>46262</v>
      </c>
      <c r="O844" s="120">
        <f>NETWORKDAYS.INTL(K844,N844,1,$AM$2:$AM$10)-1</f>
        <v>2</v>
      </c>
      <c r="P844" s="82" t="s">
        <v>81</v>
      </c>
      <c r="Q844" s="82" t="s">
        <v>79</v>
      </c>
      <c r="R844" s="97"/>
      <c r="S844" s="99">
        <v>1320</v>
      </c>
      <c r="T844" s="82" t="s">
        <v>3048</v>
      </c>
      <c r="U844" s="100">
        <v>3</v>
      </c>
      <c r="V844" s="95">
        <v>1021</v>
      </c>
      <c r="W844" s="95">
        <v>2055</v>
      </c>
      <c r="X844" s="93" t="s">
        <v>84</v>
      </c>
      <c r="Y844" s="98" t="s">
        <v>85</v>
      </c>
      <c r="Z844" s="175" t="s">
        <v>86</v>
      </c>
      <c r="AA844" s="177" t="s">
        <v>87</v>
      </c>
      <c r="AB844" s="178">
        <v>940.6</v>
      </c>
      <c r="AC844" s="122">
        <f>IF(C844="DENALI", AB844*0.495, IF(C844="SCHNEIDER ELECTRIC", AB844*1.136, IF(C844="WWT", AB844*1.2, AC844)))+AB844</f>
        <v>1406.1970000000001</v>
      </c>
      <c r="AD844" s="129">
        <f>AC844-AB844</f>
        <v>465.59700000000009</v>
      </c>
      <c r="AE844" s="88">
        <v>76285.240000000005</v>
      </c>
      <c r="AF844" s="130">
        <f>AB844/U844</f>
        <v>313.53333333333336</v>
      </c>
      <c r="AG844" s="130">
        <f>AB844/V844</f>
        <v>0.92125367286973558</v>
      </c>
      <c r="AH844" s="123">
        <f>AB844/S844</f>
        <v>0.71257575757575764</v>
      </c>
      <c r="AI844" s="98">
        <v>1060</v>
      </c>
      <c r="AJ844" s="76" t="s">
        <v>343</v>
      </c>
      <c r="AK844"/>
      <c r="AM844" s="80"/>
    </row>
    <row r="845" spans="1:39" ht="28.5" customHeight="1">
      <c r="A845" s="113" t="s">
        <v>73</v>
      </c>
      <c r="B845" s="114" t="s">
        <v>74</v>
      </c>
      <c r="C845" s="113" t="s">
        <v>35</v>
      </c>
      <c r="D845" s="76" t="s">
        <v>218</v>
      </c>
      <c r="E845" s="78" t="s">
        <v>405</v>
      </c>
      <c r="F845" s="96" t="s">
        <v>109</v>
      </c>
      <c r="G845" s="96" t="s">
        <v>3049</v>
      </c>
      <c r="H845" s="164">
        <v>46269</v>
      </c>
      <c r="I845" s="114" t="s">
        <v>79</v>
      </c>
      <c r="J845" s="151" t="s">
        <v>3050</v>
      </c>
      <c r="K845" s="165">
        <v>46260</v>
      </c>
      <c r="L845" s="82" t="s">
        <v>81</v>
      </c>
      <c r="M845" s="90">
        <v>46265</v>
      </c>
      <c r="N845" s="161">
        <v>46265</v>
      </c>
      <c r="O845" s="120">
        <f>NETWORKDAYS.INTL(K845,N845,1,$AM$2:$AM$10)-1</f>
        <v>3</v>
      </c>
      <c r="P845" s="82" t="s">
        <v>81</v>
      </c>
      <c r="Q845" s="82" t="s">
        <v>79</v>
      </c>
      <c r="R845" s="97"/>
      <c r="S845" s="99">
        <v>1036</v>
      </c>
      <c r="T845" s="82" t="s">
        <v>3051</v>
      </c>
      <c r="U845" s="100">
        <v>3</v>
      </c>
      <c r="V845" s="95">
        <v>1072</v>
      </c>
      <c r="W845" s="95">
        <v>2285</v>
      </c>
      <c r="X845" s="93" t="s">
        <v>84</v>
      </c>
      <c r="Y845" s="98" t="s">
        <v>85</v>
      </c>
      <c r="Z845" s="175" t="s">
        <v>86</v>
      </c>
      <c r="AA845" s="177" t="s">
        <v>87</v>
      </c>
      <c r="AB845" s="178">
        <v>927.48</v>
      </c>
      <c r="AC845" s="122">
        <f>IF(C845="DENALI", AB845*0.495, IF(C845="SCHNEIDER ELECTRIC", AB845*1.136, IF(C845="WWT", AB845*1.2, AC845)))+AB845</f>
        <v>1386.5826</v>
      </c>
      <c r="AD845" s="129">
        <f>AC845-AB845</f>
        <v>459.10259999999994</v>
      </c>
      <c r="AE845" s="88">
        <v>106742.22</v>
      </c>
      <c r="AF845" s="130">
        <f>AB845/U845</f>
        <v>309.16000000000003</v>
      </c>
      <c r="AG845" s="130">
        <f>AB845/V845</f>
        <v>0.86518656716417908</v>
      </c>
      <c r="AH845" s="123">
        <f>AB845/S845</f>
        <v>0.89525096525096526</v>
      </c>
      <c r="AI845" s="98">
        <v>1060</v>
      </c>
      <c r="AJ845" s="76" t="s">
        <v>343</v>
      </c>
      <c r="AK845"/>
      <c r="AM845" s="80"/>
    </row>
    <row r="846" spans="1:39" ht="28.5" customHeight="1">
      <c r="A846" s="113" t="s">
        <v>73</v>
      </c>
      <c r="B846" s="114" t="s">
        <v>74</v>
      </c>
      <c r="C846" s="113" t="s">
        <v>35</v>
      </c>
      <c r="D846" s="76" t="s">
        <v>218</v>
      </c>
      <c r="E846" s="78" t="s">
        <v>951</v>
      </c>
      <c r="F846" s="96" t="s">
        <v>109</v>
      </c>
      <c r="G846" s="96" t="s">
        <v>3052</v>
      </c>
      <c r="H846" s="164">
        <v>46269</v>
      </c>
      <c r="I846" s="114" t="s">
        <v>79</v>
      </c>
      <c r="J846" s="151" t="s">
        <v>3053</v>
      </c>
      <c r="K846" s="165">
        <v>46260</v>
      </c>
      <c r="L846" s="82" t="s">
        <v>81</v>
      </c>
      <c r="M846" s="90">
        <v>46265</v>
      </c>
      <c r="N846" s="161">
        <v>46265</v>
      </c>
      <c r="O846" s="120">
        <f>NETWORKDAYS.INTL(K846,N846,1,$AM$2:$AM$10)-1</f>
        <v>3</v>
      </c>
      <c r="P846" s="82" t="s">
        <v>81</v>
      </c>
      <c r="Q846" s="82" t="s">
        <v>79</v>
      </c>
      <c r="R846" s="97"/>
      <c r="S846" s="99">
        <v>1035</v>
      </c>
      <c r="T846" s="82" t="s">
        <v>1547</v>
      </c>
      <c r="U846" s="100">
        <v>1</v>
      </c>
      <c r="V846" s="95">
        <v>125</v>
      </c>
      <c r="W846" s="95">
        <v>580</v>
      </c>
      <c r="X846" s="93" t="s">
        <v>84</v>
      </c>
      <c r="Y846" s="98" t="s">
        <v>85</v>
      </c>
      <c r="Z846" s="175" t="s">
        <v>86</v>
      </c>
      <c r="AA846" s="177" t="s">
        <v>87</v>
      </c>
      <c r="AB846" s="178">
        <v>317.91000000000003</v>
      </c>
      <c r="AC846" s="122">
        <f>IF(C846="DENALI", AB846*0.495, IF(C846="SCHNEIDER ELECTRIC", AB846*1.136, IF(C846="WWT", AB846*1.2, AC846)))+AB846</f>
        <v>475.27545000000003</v>
      </c>
      <c r="AD846" s="129">
        <f>AC846-AB846</f>
        <v>157.36545000000001</v>
      </c>
      <c r="AE846" s="88">
        <v>14596.22</v>
      </c>
      <c r="AF846" s="130">
        <f>AB846/U846</f>
        <v>317.91000000000003</v>
      </c>
      <c r="AG846" s="130">
        <f>AB846/V846</f>
        <v>2.5432800000000002</v>
      </c>
      <c r="AH846" s="123">
        <f>AB846/S846</f>
        <v>0.3071594202898551</v>
      </c>
      <c r="AI846" s="98">
        <v>1290</v>
      </c>
      <c r="AJ846" s="76" t="s">
        <v>349</v>
      </c>
      <c r="AK846"/>
      <c r="AM846" s="80"/>
    </row>
    <row r="847" spans="1:39" ht="28.5" customHeight="1">
      <c r="A847" s="113" t="s">
        <v>73</v>
      </c>
      <c r="B847" s="114" t="s">
        <v>74</v>
      </c>
      <c r="C847" s="113" t="s">
        <v>35</v>
      </c>
      <c r="D847" s="76" t="s">
        <v>218</v>
      </c>
      <c r="E847" s="78" t="s">
        <v>1881</v>
      </c>
      <c r="F847" s="96" t="s">
        <v>218</v>
      </c>
      <c r="G847" s="96" t="s">
        <v>3054</v>
      </c>
      <c r="H847" s="164">
        <v>46269</v>
      </c>
      <c r="I847" s="114" t="s">
        <v>79</v>
      </c>
      <c r="J847" s="151">
        <v>34913788</v>
      </c>
      <c r="K847" s="165">
        <v>46260</v>
      </c>
      <c r="L847" s="82" t="s">
        <v>81</v>
      </c>
      <c r="M847" s="90">
        <v>46261</v>
      </c>
      <c r="N847" s="161">
        <v>46261</v>
      </c>
      <c r="O847" s="120">
        <f>NETWORKDAYS.INTL(K847,N847,1,$AM$2:$AM$10)-1</f>
        <v>1</v>
      </c>
      <c r="P847" s="82" t="s">
        <v>81</v>
      </c>
      <c r="Q847" s="82" t="s">
        <v>79</v>
      </c>
      <c r="R847" s="97"/>
      <c r="S847" s="99">
        <v>148</v>
      </c>
      <c r="T847" s="82" t="s">
        <v>3055</v>
      </c>
      <c r="U847" s="100">
        <v>1</v>
      </c>
      <c r="V847" s="95">
        <v>24</v>
      </c>
      <c r="W847" s="95">
        <v>380</v>
      </c>
      <c r="X847" s="93" t="s">
        <v>84</v>
      </c>
      <c r="Y847" s="98" t="s">
        <v>85</v>
      </c>
      <c r="Z847" s="175" t="s">
        <v>2723</v>
      </c>
      <c r="AA847" s="177" t="s">
        <v>87</v>
      </c>
      <c r="AB847" s="178">
        <v>157.72999999999999</v>
      </c>
      <c r="AC847" s="122">
        <f>IF(C847="DENALI", AB847*0.495, IF(C847="SCHNEIDER ELECTRIC", AB847*1.136, IF(C847="WWT", AB847*1.2, AC847)))+AB847</f>
        <v>235.80634999999998</v>
      </c>
      <c r="AD847" s="129">
        <f>AC847-AB847</f>
        <v>78.076349999999991</v>
      </c>
      <c r="AE847" s="88">
        <v>34915.199999999997</v>
      </c>
      <c r="AF847" s="130">
        <f>AB847/U847</f>
        <v>157.72999999999999</v>
      </c>
      <c r="AG847" s="130">
        <f>AB847/V847</f>
        <v>6.5720833333333326</v>
      </c>
      <c r="AH847" s="123">
        <f>AB847/S847</f>
        <v>1.0657432432432432</v>
      </c>
      <c r="AI847" s="98">
        <v>1060</v>
      </c>
      <c r="AJ847" s="76" t="s">
        <v>343</v>
      </c>
      <c r="AK847"/>
      <c r="AM847" s="80"/>
    </row>
    <row r="848" spans="1:39" ht="28.5" customHeight="1">
      <c r="A848" s="113" t="s">
        <v>73</v>
      </c>
      <c r="B848" s="114" t="s">
        <v>74</v>
      </c>
      <c r="C848" s="113" t="s">
        <v>35</v>
      </c>
      <c r="D848" s="76" t="s">
        <v>218</v>
      </c>
      <c r="E848" s="78" t="s">
        <v>866</v>
      </c>
      <c r="F848" s="96" t="s">
        <v>90</v>
      </c>
      <c r="G848" s="96" t="s">
        <v>3056</v>
      </c>
      <c r="H848" s="164">
        <v>46269</v>
      </c>
      <c r="I848" s="114" t="s">
        <v>79</v>
      </c>
      <c r="J848" s="151">
        <v>557691702</v>
      </c>
      <c r="K848" s="165">
        <v>46260</v>
      </c>
      <c r="L848" s="82" t="s">
        <v>81</v>
      </c>
      <c r="M848" s="90">
        <v>46266</v>
      </c>
      <c r="N848" s="161">
        <v>46265</v>
      </c>
      <c r="O848" s="120">
        <f>NETWORKDAYS.INTL(K848,N848,1,$AM$2:$AM$10)-1</f>
        <v>3</v>
      </c>
      <c r="P848" s="82" t="s">
        <v>81</v>
      </c>
      <c r="Q848" s="82" t="s">
        <v>79</v>
      </c>
      <c r="R848" s="97"/>
      <c r="S848" s="99">
        <v>2261</v>
      </c>
      <c r="T848" s="82" t="s">
        <v>2699</v>
      </c>
      <c r="U848" s="100">
        <v>1</v>
      </c>
      <c r="V848" s="95">
        <v>69</v>
      </c>
      <c r="W848" s="95">
        <v>510</v>
      </c>
      <c r="X848" s="93" t="s">
        <v>84</v>
      </c>
      <c r="Y848" s="98" t="s">
        <v>85</v>
      </c>
      <c r="Z848" s="175" t="s">
        <v>86</v>
      </c>
      <c r="AA848" s="177" t="s">
        <v>87</v>
      </c>
      <c r="AB848" s="178">
        <v>365.97</v>
      </c>
      <c r="AC848" s="122">
        <f>IF(C848="DENALI", AB848*0.495, IF(C848="SCHNEIDER ELECTRIC", AB848*1.136, IF(C848="WWT", AB848*1.2, AC848)))+AB848</f>
        <v>547.12515000000008</v>
      </c>
      <c r="AD848" s="129">
        <f>AC848-AB848</f>
        <v>181.15515000000005</v>
      </c>
      <c r="AE848" s="88">
        <v>6104.28</v>
      </c>
      <c r="AF848" s="130">
        <f>AB848/U848</f>
        <v>365.97</v>
      </c>
      <c r="AG848" s="130">
        <f>AB848/V848</f>
        <v>5.3039130434782615</v>
      </c>
      <c r="AH848" s="123">
        <f>AB848/S848</f>
        <v>0.16186200796107919</v>
      </c>
      <c r="AI848" s="98">
        <v>1289</v>
      </c>
      <c r="AJ848" s="76" t="s">
        <v>349</v>
      </c>
      <c r="AK848"/>
      <c r="AM848" s="80"/>
    </row>
    <row r="849" spans="1:39" ht="28.5" customHeight="1">
      <c r="A849" s="113" t="s">
        <v>73</v>
      </c>
      <c r="B849" s="114" t="s">
        <v>74</v>
      </c>
      <c r="C849" s="113" t="s">
        <v>36</v>
      </c>
      <c r="D849" s="76" t="s">
        <v>90</v>
      </c>
      <c r="E849" s="78" t="s">
        <v>3057</v>
      </c>
      <c r="F849" s="96" t="s">
        <v>90</v>
      </c>
      <c r="G849" s="96" t="s">
        <v>3058</v>
      </c>
      <c r="H849" s="164">
        <v>46269</v>
      </c>
      <c r="I849" s="114" t="s">
        <v>79</v>
      </c>
      <c r="J849" s="162">
        <v>557692144</v>
      </c>
      <c r="K849" s="166">
        <v>46260</v>
      </c>
      <c r="L849" s="93" t="s">
        <v>81</v>
      </c>
      <c r="M849" s="94">
        <v>46261</v>
      </c>
      <c r="N849" s="161">
        <v>46261</v>
      </c>
      <c r="O849" s="218">
        <f>NETWORKDAYS.INTL(K849,N849,1,$AM$2:$AM$10)-1</f>
        <v>1</v>
      </c>
      <c r="P849" s="93" t="s">
        <v>81</v>
      </c>
      <c r="Q849" s="93" t="s">
        <v>79</v>
      </c>
      <c r="R849" s="97"/>
      <c r="S849" s="99">
        <v>88</v>
      </c>
      <c r="T849" s="82" t="s">
        <v>3059</v>
      </c>
      <c r="U849" s="100">
        <v>1</v>
      </c>
      <c r="V849" s="95">
        <v>11</v>
      </c>
      <c r="W849" s="95">
        <v>504</v>
      </c>
      <c r="X849" s="93" t="s">
        <v>84</v>
      </c>
      <c r="Y849" s="98" t="s">
        <v>85</v>
      </c>
      <c r="Z849" s="175" t="s">
        <v>86</v>
      </c>
      <c r="AA849" s="177" t="s">
        <v>87</v>
      </c>
      <c r="AB849" s="178">
        <v>192.7</v>
      </c>
      <c r="AC849" s="122">
        <f>IF(C849="DENALI", AB849*0.495, IF(C849="SCHNEIDER ELECTRIC", AB849*1.136, IF(C849="WWT", AB849*1.2, AC849)))+AB849</f>
        <v>411.60719999999992</v>
      </c>
      <c r="AD849" s="129">
        <f>AC849-AB849</f>
        <v>218.90719999999993</v>
      </c>
      <c r="AE849" s="88">
        <v>33879.72</v>
      </c>
      <c r="AF849" s="130">
        <f>AB849/U849</f>
        <v>192.7</v>
      </c>
      <c r="AG849" s="130">
        <f>AB849/V849</f>
        <v>17.518181818181816</v>
      </c>
      <c r="AH849" s="123" t="e">
        <v>#DIV/0!</v>
      </c>
      <c r="AI849" s="98">
        <v>1172</v>
      </c>
      <c r="AJ849" s="76" t="s">
        <v>2272</v>
      </c>
      <c r="AK849"/>
      <c r="AM849" s="80"/>
    </row>
    <row r="850" spans="1:39" ht="28.5" customHeight="1">
      <c r="A850" s="113" t="s">
        <v>73</v>
      </c>
      <c r="B850" s="114" t="s">
        <v>74</v>
      </c>
      <c r="C850" s="113" t="s">
        <v>36</v>
      </c>
      <c r="D850" s="76" t="s">
        <v>75</v>
      </c>
      <c r="E850" s="78" t="s">
        <v>3060</v>
      </c>
      <c r="F850" s="96" t="s">
        <v>562</v>
      </c>
      <c r="G850" s="96" t="s">
        <v>3061</v>
      </c>
      <c r="H850" s="164">
        <v>46273</v>
      </c>
      <c r="I850" s="167" t="s">
        <v>79</v>
      </c>
      <c r="J850" s="151" t="s">
        <v>3062</v>
      </c>
      <c r="K850" s="90">
        <v>46265</v>
      </c>
      <c r="L850" s="82" t="s">
        <v>81</v>
      </c>
      <c r="M850" s="90">
        <v>46267</v>
      </c>
      <c r="N850" s="131">
        <v>46267</v>
      </c>
      <c r="O850" s="216">
        <f>NETWORKDAYS.INTL(K850,N850,1,$AM$2:$AM$10)-1</f>
        <v>2</v>
      </c>
      <c r="P850" s="82" t="s">
        <v>81</v>
      </c>
      <c r="Q850" s="82" t="s">
        <v>79</v>
      </c>
      <c r="R850" s="82"/>
      <c r="S850" s="217">
        <v>1087</v>
      </c>
      <c r="T850" s="82" t="s">
        <v>3063</v>
      </c>
      <c r="U850" s="100">
        <v>1</v>
      </c>
      <c r="V850" s="95">
        <v>6</v>
      </c>
      <c r="W850" s="95">
        <v>502</v>
      </c>
      <c r="X850" s="93" t="s">
        <v>84</v>
      </c>
      <c r="Y850" s="98" t="s">
        <v>85</v>
      </c>
      <c r="Z850" s="175" t="s">
        <v>86</v>
      </c>
      <c r="AA850" s="177" t="s">
        <v>87</v>
      </c>
      <c r="AB850" s="178">
        <v>214.53</v>
      </c>
      <c r="AC850" s="122">
        <f>IF(C850="DENALI", AB850*0.495, IF(C850="SCHNEIDER ELECTRIC", AB850*1.136, IF(C850="WWT", AB850*1.2, AC850)))+AB850</f>
        <v>458.23608000000002</v>
      </c>
      <c r="AD850" s="129">
        <f>AC850-AB850</f>
        <v>243.70608000000001</v>
      </c>
      <c r="AE850" s="88">
        <v>2979.6</v>
      </c>
      <c r="AF850" s="130">
        <f>AB850/U850</f>
        <v>214.53</v>
      </c>
      <c r="AG850" s="130">
        <f>AB850/V850</f>
        <v>35.755000000000003</v>
      </c>
      <c r="AH850" s="123" t="e">
        <v>#DIV/0!</v>
      </c>
      <c r="AI850" s="98">
        <v>1173</v>
      </c>
      <c r="AJ850" s="76" t="s">
        <v>2353</v>
      </c>
      <c r="AK850"/>
      <c r="AM850" s="80"/>
    </row>
    <row r="851" spans="1:39" ht="28.5" customHeight="1">
      <c r="A851" s="113" t="s">
        <v>73</v>
      </c>
      <c r="B851" s="114" t="s">
        <v>140</v>
      </c>
      <c r="C851" s="113" t="s">
        <v>35</v>
      </c>
      <c r="D851" s="76" t="s">
        <v>218</v>
      </c>
      <c r="E851" s="78" t="s">
        <v>141</v>
      </c>
      <c r="F851" s="96" t="s">
        <v>142</v>
      </c>
      <c r="G851" s="96" t="s">
        <v>3064</v>
      </c>
      <c r="H851" s="164">
        <v>46273</v>
      </c>
      <c r="I851" s="114" t="s">
        <v>79</v>
      </c>
      <c r="J851" s="229" t="s">
        <v>3065</v>
      </c>
      <c r="K851" s="219">
        <v>46261</v>
      </c>
      <c r="L851" s="220" t="s">
        <v>81</v>
      </c>
      <c r="M851" s="221">
        <v>46262</v>
      </c>
      <c r="N851" s="214">
        <v>46265</v>
      </c>
      <c r="O851" s="222">
        <f>NETWORKDAYS.INTL(K851,N851,1,$AM$2:$AM$10)-1</f>
        <v>2</v>
      </c>
      <c r="P851" s="220" t="s">
        <v>81</v>
      </c>
      <c r="Q851" s="220" t="s">
        <v>79</v>
      </c>
      <c r="R851" s="223"/>
      <c r="S851" s="99">
        <v>441</v>
      </c>
      <c r="T851" s="82" t="s">
        <v>3066</v>
      </c>
      <c r="U851" s="100">
        <v>1</v>
      </c>
      <c r="V851" s="95">
        <v>11</v>
      </c>
      <c r="W851" s="95">
        <v>300</v>
      </c>
      <c r="X851" s="93" t="s">
        <v>84</v>
      </c>
      <c r="Y851" s="98" t="s">
        <v>85</v>
      </c>
      <c r="Z851" s="175" t="s">
        <v>2723</v>
      </c>
      <c r="AA851" s="177" t="s">
        <v>87</v>
      </c>
      <c r="AB851" s="178">
        <v>269.69</v>
      </c>
      <c r="AC851" s="122">
        <f>IF(C851="DENALI", AB851*0.495, IF(C851="SCHNEIDER ELECTRIC", AB851*1.136, IF(C851="WWT", AB851*1.2, AC851)))+AB851</f>
        <v>403.18655000000001</v>
      </c>
      <c r="AD851" s="129">
        <f>AC851-AB851</f>
        <v>133.49655000000001</v>
      </c>
      <c r="AE851" s="88">
        <v>2203.96</v>
      </c>
      <c r="AF851" s="130">
        <f>AB851/U851</f>
        <v>269.69</v>
      </c>
      <c r="AG851" s="130">
        <f>AB851/V851</f>
        <v>24.517272727272726</v>
      </c>
      <c r="AH851" s="123" t="e">
        <v>#DIV/0!</v>
      </c>
      <c r="AI851" s="98">
        <v>1172</v>
      </c>
      <c r="AJ851" s="76" t="s">
        <v>89</v>
      </c>
      <c r="AK851"/>
      <c r="AM851" s="80"/>
    </row>
    <row r="852" spans="1:39" ht="28.5" customHeight="1">
      <c r="A852" s="113" t="s">
        <v>73</v>
      </c>
      <c r="B852" s="114" t="s">
        <v>74</v>
      </c>
      <c r="C852" s="113" t="s">
        <v>35</v>
      </c>
      <c r="D852" s="76" t="s">
        <v>99</v>
      </c>
      <c r="E852" s="78" t="s">
        <v>901</v>
      </c>
      <c r="F852" s="96" t="s">
        <v>142</v>
      </c>
      <c r="G852" s="96">
        <v>23992763</v>
      </c>
      <c r="H852" s="164">
        <v>46273</v>
      </c>
      <c r="I852" s="167" t="s">
        <v>81</v>
      </c>
      <c r="J852" s="151">
        <v>23992763</v>
      </c>
      <c r="K852" s="165">
        <v>46262</v>
      </c>
      <c r="L852" s="82" t="s">
        <v>81</v>
      </c>
      <c r="M852" s="90">
        <v>46265</v>
      </c>
      <c r="N852" s="161">
        <v>46265</v>
      </c>
      <c r="O852" s="120">
        <f>NETWORKDAYS.INTL(K852,N852,1,$AM$2:$AM$10)-1</f>
        <v>1</v>
      </c>
      <c r="P852" s="82" t="s">
        <v>81</v>
      </c>
      <c r="Q852" s="82" t="s">
        <v>79</v>
      </c>
      <c r="R852" s="97"/>
      <c r="S852" s="99">
        <v>2453</v>
      </c>
      <c r="T852" s="82" t="s">
        <v>3067</v>
      </c>
      <c r="U852" s="100">
        <v>1</v>
      </c>
      <c r="V852" s="95">
        <v>1</v>
      </c>
      <c r="W852" s="95">
        <v>710</v>
      </c>
      <c r="X852" s="93" t="s">
        <v>113</v>
      </c>
      <c r="Y852" s="98" t="s">
        <v>85</v>
      </c>
      <c r="Z852" s="175" t="s">
        <v>3068</v>
      </c>
      <c r="AA852" s="177" t="s">
        <v>87</v>
      </c>
      <c r="AB852" s="178">
        <v>5000.7</v>
      </c>
      <c r="AC852" s="122">
        <f>IF(C852="DENALI", AB852*0.495, IF(C852="SCHNEIDER ELECTRIC", AB852*1.136, IF(C852="WWT", AB852*1.2, AC852)))+AB852</f>
        <v>7476.0465000000004</v>
      </c>
      <c r="AD852" s="129">
        <f>AC852-AB852</f>
        <v>2475.3465000000006</v>
      </c>
      <c r="AE852" s="88">
        <v>2203.96</v>
      </c>
      <c r="AF852" s="130">
        <f>AB852/U852</f>
        <v>5000.7</v>
      </c>
      <c r="AG852" s="130">
        <f>AB852/V852</f>
        <v>5000.7</v>
      </c>
      <c r="AH852" s="123" t="e">
        <v>#DIV/0!</v>
      </c>
      <c r="AI852" s="98">
        <v>1290</v>
      </c>
      <c r="AJ852" s="76" t="s">
        <v>349</v>
      </c>
      <c r="AK852"/>
      <c r="AM852" s="80"/>
    </row>
    <row r="853" spans="1:39" ht="28.5" customHeight="1">
      <c r="A853" s="113" t="s">
        <v>73</v>
      </c>
      <c r="B853" s="114" t="s">
        <v>74</v>
      </c>
      <c r="C853" s="113" t="s">
        <v>3069</v>
      </c>
      <c r="D853" s="76" t="s">
        <v>90</v>
      </c>
      <c r="E853" s="78" t="s">
        <v>1086</v>
      </c>
      <c r="F853" s="96" t="s">
        <v>218</v>
      </c>
      <c r="G853" s="96">
        <v>23998436</v>
      </c>
      <c r="H853" s="164">
        <v>46273</v>
      </c>
      <c r="I853" s="167" t="s">
        <v>81</v>
      </c>
      <c r="J853" s="151">
        <v>23998436</v>
      </c>
      <c r="K853" s="165">
        <v>46262</v>
      </c>
      <c r="L853" s="82" t="s">
        <v>81</v>
      </c>
      <c r="M853" s="90">
        <v>46265</v>
      </c>
      <c r="N853" s="161">
        <v>46265</v>
      </c>
      <c r="O853" s="120">
        <f>NETWORKDAYS.INTL(K853,N853,1,$AM$2:$AM$10)-1</f>
        <v>1</v>
      </c>
      <c r="P853" s="82" t="s">
        <v>81</v>
      </c>
      <c r="Q853" s="170" t="s">
        <v>79</v>
      </c>
      <c r="R853" s="82"/>
      <c r="S853" s="217">
        <v>2305</v>
      </c>
      <c r="T853" s="82" t="s">
        <v>3070</v>
      </c>
      <c r="U853" s="100">
        <v>1</v>
      </c>
      <c r="V853" s="95">
        <v>26</v>
      </c>
      <c r="W853" s="95">
        <v>195</v>
      </c>
      <c r="X853" s="93" t="s">
        <v>113</v>
      </c>
      <c r="Y853" s="98" t="s">
        <v>85</v>
      </c>
      <c r="Z853" s="175" t="s">
        <v>3071</v>
      </c>
      <c r="AA853" s="177" t="s">
        <v>87</v>
      </c>
      <c r="AB853" s="178">
        <v>6015</v>
      </c>
      <c r="AC853" s="179">
        <v>8200</v>
      </c>
      <c r="AD853" s="129">
        <f>AC853-AB853</f>
        <v>2185</v>
      </c>
      <c r="AE853" s="88">
        <v>127089.4</v>
      </c>
      <c r="AF853" s="130">
        <f>AB853/U853</f>
        <v>6015</v>
      </c>
      <c r="AG853" s="130">
        <f>AB853/V853</f>
        <v>231.34615384615384</v>
      </c>
      <c r="AH853" s="123" t="e">
        <v>#DIV/0!</v>
      </c>
      <c r="AI853" s="98">
        <v>1290</v>
      </c>
      <c r="AJ853" s="76" t="s">
        <v>2985</v>
      </c>
      <c r="AK853"/>
      <c r="AM853" s="80"/>
    </row>
    <row r="854" spans="1:39" ht="28.5" customHeight="1">
      <c r="A854" s="113" t="s">
        <v>73</v>
      </c>
      <c r="B854" s="114" t="s">
        <v>74</v>
      </c>
      <c r="C854" s="113" t="s">
        <v>3069</v>
      </c>
      <c r="D854" s="76" t="s">
        <v>90</v>
      </c>
      <c r="E854" s="78" t="s">
        <v>951</v>
      </c>
      <c r="F854" s="96" t="s">
        <v>109</v>
      </c>
      <c r="G854" s="96">
        <v>23997819</v>
      </c>
      <c r="H854" s="164">
        <v>46273</v>
      </c>
      <c r="I854" s="167" t="s">
        <v>81</v>
      </c>
      <c r="J854" s="151">
        <v>23997819</v>
      </c>
      <c r="K854" s="166">
        <v>46262</v>
      </c>
      <c r="L854" s="93" t="s">
        <v>81</v>
      </c>
      <c r="M854" s="157">
        <v>46265</v>
      </c>
      <c r="N854" s="132">
        <v>46265</v>
      </c>
      <c r="O854" s="206">
        <f>NETWORKDAYS.INTL(K854,N854,1,$AM$2:$AM$10)-1</f>
        <v>1</v>
      </c>
      <c r="P854" s="93" t="s">
        <v>81</v>
      </c>
      <c r="Q854" s="230" t="s">
        <v>79</v>
      </c>
      <c r="R854" s="82"/>
      <c r="S854" s="217">
        <v>2768</v>
      </c>
      <c r="T854" s="82" t="s">
        <v>3072</v>
      </c>
      <c r="U854" s="100">
        <v>2</v>
      </c>
      <c r="V854" s="95">
        <v>194</v>
      </c>
      <c r="W854" s="95">
        <v>1585</v>
      </c>
      <c r="X854" s="93" t="s">
        <v>113</v>
      </c>
      <c r="Y854" s="98" t="s">
        <v>85</v>
      </c>
      <c r="Z854" s="175" t="s">
        <v>3073</v>
      </c>
      <c r="AA854" s="177" t="s">
        <v>87</v>
      </c>
      <c r="AB854" s="178">
        <v>8490</v>
      </c>
      <c r="AC854" s="179">
        <v>11500</v>
      </c>
      <c r="AD854" s="129">
        <f>AC854-AB854</f>
        <v>3010</v>
      </c>
      <c r="AE854" s="88">
        <v>20000</v>
      </c>
      <c r="AF854" s="130">
        <f>AB854/U854</f>
        <v>4245</v>
      </c>
      <c r="AG854" s="130">
        <f>AB854/V854</f>
        <v>43.762886597938142</v>
      </c>
      <c r="AH854" s="123" t="e">
        <v>#DIV/0!</v>
      </c>
      <c r="AI854" s="98">
        <v>1290</v>
      </c>
      <c r="AJ854" s="76" t="s">
        <v>3072</v>
      </c>
      <c r="AK854"/>
      <c r="AM854" s="80"/>
    </row>
    <row r="855" spans="1:39" ht="44.25" customHeight="1">
      <c r="A855" s="113" t="s">
        <v>73</v>
      </c>
      <c r="B855" s="114" t="s">
        <v>74</v>
      </c>
      <c r="C855" s="113" t="s">
        <v>35</v>
      </c>
      <c r="D855" s="76" t="s">
        <v>218</v>
      </c>
      <c r="E855" s="78" t="s">
        <v>2042</v>
      </c>
      <c r="F855" s="96" t="s">
        <v>2043</v>
      </c>
      <c r="G855" s="96" t="s">
        <v>3074</v>
      </c>
      <c r="H855" s="164">
        <v>46273</v>
      </c>
      <c r="I855" s="167" t="s">
        <v>79</v>
      </c>
      <c r="J855" s="151">
        <v>557699811</v>
      </c>
      <c r="K855" s="165">
        <v>46266</v>
      </c>
      <c r="L855" s="82" t="s">
        <v>81</v>
      </c>
      <c r="M855" s="90">
        <v>46274</v>
      </c>
      <c r="N855" s="131">
        <v>46274</v>
      </c>
      <c r="O855" s="216">
        <f>NETWORKDAYS.INTL(K855,N855,1,$AM$2:$AM$10)-1</f>
        <v>5</v>
      </c>
      <c r="P855" s="82" t="s">
        <v>81</v>
      </c>
      <c r="Q855" s="82" t="s">
        <v>79</v>
      </c>
      <c r="R855" s="279"/>
      <c r="S855" s="258">
        <v>2350</v>
      </c>
      <c r="T855" s="259" t="s">
        <v>3075</v>
      </c>
      <c r="U855" s="100">
        <v>1</v>
      </c>
      <c r="V855" s="95">
        <v>70</v>
      </c>
      <c r="W855" s="95">
        <v>355</v>
      </c>
      <c r="X855" s="93" t="s">
        <v>84</v>
      </c>
      <c r="Y855" s="98" t="s">
        <v>85</v>
      </c>
      <c r="Z855" s="175" t="s">
        <v>86</v>
      </c>
      <c r="AA855" s="177" t="s">
        <v>87</v>
      </c>
      <c r="AB855" s="178">
        <v>708.81</v>
      </c>
      <c r="AC855" s="122">
        <f>IF(C855="DENALI", AB855*0.495, IF(C855="SCHNEIDER ELECTRIC", AB855*1.136, IF(C855="WWT", AB855*1.2, AC855)))+AB855</f>
        <v>1059.6709499999999</v>
      </c>
      <c r="AD855" s="129">
        <f>AC855-AB855</f>
        <v>350.86095</v>
      </c>
      <c r="AE855" s="88">
        <v>48839</v>
      </c>
      <c r="AF855" s="130">
        <f>AB855/U855</f>
        <v>708.81</v>
      </c>
      <c r="AG855" s="130">
        <f>AB855/V855</f>
        <v>10.125857142857143</v>
      </c>
      <c r="AH855" s="123">
        <f>AB855/S855</f>
        <v>0.30162127659574467</v>
      </c>
      <c r="AI855" s="98">
        <v>1290</v>
      </c>
      <c r="AJ855" s="76" t="s">
        <v>349</v>
      </c>
      <c r="AK855"/>
      <c r="AM855" s="80"/>
    </row>
    <row r="856" spans="1:39" ht="28.5" customHeight="1">
      <c r="A856" s="113" t="s">
        <v>73</v>
      </c>
      <c r="B856" s="114" t="s">
        <v>74</v>
      </c>
      <c r="C856" s="113" t="s">
        <v>35</v>
      </c>
      <c r="D856" s="76" t="s">
        <v>218</v>
      </c>
      <c r="E856" s="78" t="s">
        <v>1691</v>
      </c>
      <c r="F856" s="96" t="s">
        <v>92</v>
      </c>
      <c r="G856" s="96" t="s">
        <v>3076</v>
      </c>
      <c r="H856" s="164">
        <v>46273</v>
      </c>
      <c r="I856" s="170" t="s">
        <v>79</v>
      </c>
      <c r="J856" s="151">
        <v>557699973</v>
      </c>
      <c r="K856" s="165">
        <v>46266</v>
      </c>
      <c r="L856" s="82" t="s">
        <v>81</v>
      </c>
      <c r="M856" s="165">
        <v>46268</v>
      </c>
      <c r="N856" s="131">
        <v>46268</v>
      </c>
      <c r="O856" s="216">
        <f>NETWORKDAYS.INTL(K856,N856,1,$AM$2:$AM$10)-1</f>
        <v>2</v>
      </c>
      <c r="P856" s="82" t="s">
        <v>81</v>
      </c>
      <c r="Q856" s="82" t="s">
        <v>79</v>
      </c>
      <c r="R856" s="82"/>
      <c r="S856" s="86">
        <v>1030</v>
      </c>
      <c r="T856" s="82" t="s">
        <v>3077</v>
      </c>
      <c r="U856" s="100">
        <v>3</v>
      </c>
      <c r="V856" s="95">
        <v>1130</v>
      </c>
      <c r="W856" s="95">
        <v>2200</v>
      </c>
      <c r="X856" s="93" t="s">
        <v>84</v>
      </c>
      <c r="Y856" s="98" t="s">
        <v>85</v>
      </c>
      <c r="Z856" s="175" t="s">
        <v>86</v>
      </c>
      <c r="AA856" s="177" t="s">
        <v>87</v>
      </c>
      <c r="AB856" s="178">
        <v>740.56</v>
      </c>
      <c r="AC856" s="122">
        <f>IF(C856="DENALI", AB856*0.495, IF(C856="SCHNEIDER ELECTRIC", AB856*1.136, IF(C856="WWT", AB856*1.2, AC856)))+AB856</f>
        <v>1107.1371999999999</v>
      </c>
      <c r="AD856" s="129">
        <f>AC856-AB856</f>
        <v>366.57719999999995</v>
      </c>
      <c r="AE856" s="88">
        <v>106423.94</v>
      </c>
      <c r="AF856" s="130">
        <f>AB856/U856</f>
        <v>246.85333333333332</v>
      </c>
      <c r="AG856" s="130">
        <f>AB856/V856</f>
        <v>0.65536283185840705</v>
      </c>
      <c r="AH856" s="123">
        <f>AB856/S856</f>
        <v>0.71899029126213587</v>
      </c>
      <c r="AI856" s="98">
        <v>1060</v>
      </c>
      <c r="AJ856" s="76" t="s">
        <v>343</v>
      </c>
      <c r="AK856"/>
      <c r="AM856" s="80"/>
    </row>
    <row r="857" spans="1:39" ht="28.5" customHeight="1">
      <c r="A857" s="113" t="s">
        <v>73</v>
      </c>
      <c r="B857" s="114" t="s">
        <v>74</v>
      </c>
      <c r="C857" s="113" t="s">
        <v>35</v>
      </c>
      <c r="D857" s="76" t="s">
        <v>218</v>
      </c>
      <c r="E857" s="78" t="s">
        <v>3078</v>
      </c>
      <c r="F857" s="96" t="s">
        <v>292</v>
      </c>
      <c r="G857" s="98" t="s">
        <v>3079</v>
      </c>
      <c r="H857" s="157">
        <v>46273</v>
      </c>
      <c r="I857" s="170" t="s">
        <v>79</v>
      </c>
      <c r="J857" s="151">
        <v>80642930</v>
      </c>
      <c r="K857" s="165">
        <v>46266</v>
      </c>
      <c r="L857" s="82" t="s">
        <v>81</v>
      </c>
      <c r="M857" s="165">
        <v>46268</v>
      </c>
      <c r="N857" s="131">
        <v>46268</v>
      </c>
      <c r="O857" s="216">
        <f>NETWORKDAYS.INTL(K857,N857,1,$AM$2:$AM$10)-1</f>
        <v>2</v>
      </c>
      <c r="P857" s="82" t="s">
        <v>81</v>
      </c>
      <c r="Q857" s="82" t="s">
        <v>79</v>
      </c>
      <c r="R857" s="82"/>
      <c r="S857" s="217">
        <v>629</v>
      </c>
      <c r="T857" s="82" t="s">
        <v>1334</v>
      </c>
      <c r="U857" s="100">
        <v>1</v>
      </c>
      <c r="V857" s="95">
        <v>258</v>
      </c>
      <c r="W857" s="95">
        <v>480</v>
      </c>
      <c r="X857" s="93" t="s">
        <v>84</v>
      </c>
      <c r="Y857" s="98" t="s">
        <v>85</v>
      </c>
      <c r="Z857" s="175" t="s">
        <v>3080</v>
      </c>
      <c r="AA857" s="177" t="s">
        <v>87</v>
      </c>
      <c r="AB857" s="178">
        <v>216.45</v>
      </c>
      <c r="AC857" s="122">
        <f>IF(C857="DENALI", AB857*0.495, IF(C857="SCHNEIDER ELECTRIC", AB857*1.136, IF(C857="WWT", AB857*1.2, AC857)))+AB857</f>
        <v>323.59274999999997</v>
      </c>
      <c r="AD857" s="129">
        <f>AC857-AB857</f>
        <v>107.14274999999998</v>
      </c>
      <c r="AE857" s="88">
        <v>151884.6</v>
      </c>
      <c r="AF857" s="130">
        <f>AB857/U857</f>
        <v>216.45</v>
      </c>
      <c r="AG857" s="130">
        <f>AB857/V857</f>
        <v>0.83895348837209294</v>
      </c>
      <c r="AH857" s="123">
        <f>AB857/S857</f>
        <v>0.34411764705882353</v>
      </c>
      <c r="AI857" s="98">
        <v>1289</v>
      </c>
      <c r="AJ857" s="76" t="s">
        <v>349</v>
      </c>
      <c r="AK857"/>
      <c r="AM857" s="80"/>
    </row>
    <row r="858" spans="1:39" ht="28.5" customHeight="1">
      <c r="A858" s="113" t="s">
        <v>73</v>
      </c>
      <c r="B858" s="114" t="s">
        <v>74</v>
      </c>
      <c r="C858" s="113" t="s">
        <v>35</v>
      </c>
      <c r="D858" s="76" t="s">
        <v>218</v>
      </c>
      <c r="E858" s="78" t="s">
        <v>141</v>
      </c>
      <c r="F858" s="96" t="s">
        <v>142</v>
      </c>
      <c r="G858" s="76" t="s">
        <v>3081</v>
      </c>
      <c r="H858" s="164">
        <v>46273</v>
      </c>
      <c r="I858" s="230" t="s">
        <v>79</v>
      </c>
      <c r="J858" s="162">
        <v>34913881</v>
      </c>
      <c r="K858" s="166">
        <v>46266</v>
      </c>
      <c r="L858" s="82" t="s">
        <v>81</v>
      </c>
      <c r="M858" s="165">
        <v>46267</v>
      </c>
      <c r="N858" s="131">
        <v>46269</v>
      </c>
      <c r="O858" s="216">
        <f>NETWORKDAYS.INTL(K858,N858,1,$AM$2:$AM$10)-1</f>
        <v>3</v>
      </c>
      <c r="P858" s="82" t="s">
        <v>81</v>
      </c>
      <c r="Q858" s="82" t="s">
        <v>79</v>
      </c>
      <c r="R858" s="82"/>
      <c r="S858" s="217">
        <v>441</v>
      </c>
      <c r="T858" s="82" t="s">
        <v>3082</v>
      </c>
      <c r="U858" s="100">
        <v>3</v>
      </c>
      <c r="V858" s="95">
        <v>317</v>
      </c>
      <c r="W858" s="95">
        <v>2040</v>
      </c>
      <c r="X858" s="93" t="s">
        <v>84</v>
      </c>
      <c r="Y858" s="98" t="s">
        <v>85</v>
      </c>
      <c r="Z858" s="175" t="s">
        <v>2723</v>
      </c>
      <c r="AA858" s="177" t="s">
        <v>87</v>
      </c>
      <c r="AB858" s="178">
        <v>431.69</v>
      </c>
      <c r="AC858" s="122">
        <f>IF(C858="DENALI", AB858*0.495, IF(C858="SCHNEIDER ELECTRIC", AB858*1.136, IF(C858="WWT", AB858*1.2, AC858)))+AB858</f>
        <v>645.37654999999995</v>
      </c>
      <c r="AD858" s="129">
        <f>AC858-AB858</f>
        <v>213.68654999999995</v>
      </c>
      <c r="AE858" s="88">
        <v>0</v>
      </c>
      <c r="AF858" s="130">
        <f>AB858/U858</f>
        <v>143.89666666666668</v>
      </c>
      <c r="AG858" s="130">
        <f>AB858/V858</f>
        <v>1.3617981072555205</v>
      </c>
      <c r="AH858" s="123">
        <f>AB858/S858</f>
        <v>0.97888888888888892</v>
      </c>
      <c r="AI858" s="98">
        <v>1290</v>
      </c>
      <c r="AJ858" s="76" t="s">
        <v>349</v>
      </c>
      <c r="AK858"/>
      <c r="AM858" s="80"/>
    </row>
    <row r="859" spans="1:39" ht="28.5" customHeight="1">
      <c r="A859" s="113" t="s">
        <v>73</v>
      </c>
      <c r="B859" s="114" t="s">
        <v>74</v>
      </c>
      <c r="C859" s="113" t="s">
        <v>35</v>
      </c>
      <c r="D859" s="76" t="s">
        <v>218</v>
      </c>
      <c r="E859" s="78" t="s">
        <v>3083</v>
      </c>
      <c r="F859" s="96" t="s">
        <v>457</v>
      </c>
      <c r="G859" s="76" t="s">
        <v>3084</v>
      </c>
      <c r="H859" s="164">
        <v>46273</v>
      </c>
      <c r="I859" s="82" t="s">
        <v>79</v>
      </c>
      <c r="J859" s="151">
        <v>557700150</v>
      </c>
      <c r="K859" s="90">
        <v>46266</v>
      </c>
      <c r="L859" s="224" t="s">
        <v>81</v>
      </c>
      <c r="M859" s="225">
        <v>46267</v>
      </c>
      <c r="N859" s="226">
        <v>46279</v>
      </c>
      <c r="O859" s="227">
        <f>NETWORKDAYS.INTL(K859,N859,1,$AM$2:$AM$10)-1</f>
        <v>8</v>
      </c>
      <c r="P859" s="220" t="s">
        <v>79</v>
      </c>
      <c r="Q859" s="220" t="s">
        <v>81</v>
      </c>
      <c r="R859" s="223" t="s">
        <v>3085</v>
      </c>
      <c r="S859" s="99">
        <v>341</v>
      </c>
      <c r="T859" s="82" t="s">
        <v>3086</v>
      </c>
      <c r="U859" s="100">
        <v>1</v>
      </c>
      <c r="V859" s="95">
        <v>5</v>
      </c>
      <c r="W859" s="95">
        <v>415</v>
      </c>
      <c r="X859" s="93" t="s">
        <v>84</v>
      </c>
      <c r="Y859" s="98" t="s">
        <v>85</v>
      </c>
      <c r="Z859" s="175" t="s">
        <v>86</v>
      </c>
      <c r="AA859" s="177" t="s">
        <v>87</v>
      </c>
      <c r="AB859" s="178">
        <v>290.97000000000003</v>
      </c>
      <c r="AC859" s="122">
        <f>IF(C859="DENALI", AB859*0.495, IF(C859="SCHNEIDER ELECTRIC", AB859*1.136, IF(C859="WWT", AB859*1.2, AC859)))+AB859</f>
        <v>435.00015000000008</v>
      </c>
      <c r="AD859" s="129">
        <f>AC859-AB859</f>
        <v>144.03015000000005</v>
      </c>
      <c r="AE859" s="88">
        <v>6605.74</v>
      </c>
      <c r="AF859" s="130">
        <f>AB859/U859</f>
        <v>290.97000000000003</v>
      </c>
      <c r="AG859" s="130">
        <f>AB859/V859</f>
        <v>58.194000000000003</v>
      </c>
      <c r="AH859" s="123">
        <f>AB859/S859</f>
        <v>0.85328445747800596</v>
      </c>
      <c r="AI859" s="98">
        <v>1172</v>
      </c>
      <c r="AJ859" s="76" t="s">
        <v>89</v>
      </c>
      <c r="AK859"/>
      <c r="AM859" s="80"/>
    </row>
    <row r="860" spans="1:39" ht="28.5" customHeight="1">
      <c r="A860" s="202" t="s">
        <v>73</v>
      </c>
      <c r="B860" s="83" t="s">
        <v>74</v>
      </c>
      <c r="C860" s="202" t="s">
        <v>35</v>
      </c>
      <c r="D860" s="77" t="s">
        <v>218</v>
      </c>
      <c r="E860" s="203" t="s">
        <v>844</v>
      </c>
      <c r="F860" s="204" t="s">
        <v>845</v>
      </c>
      <c r="G860" s="77" t="s">
        <v>3087</v>
      </c>
      <c r="H860" s="157">
        <v>46273</v>
      </c>
      <c r="I860" s="82" t="s">
        <v>79</v>
      </c>
      <c r="J860" s="162">
        <v>34913883</v>
      </c>
      <c r="K860" s="90">
        <v>46266</v>
      </c>
      <c r="L860" s="84" t="s">
        <v>81</v>
      </c>
      <c r="M860" s="205">
        <v>46268</v>
      </c>
      <c r="N860" s="132">
        <v>46268</v>
      </c>
      <c r="O860" s="206">
        <f>NETWORKDAYS.INTL(K860,N860,1,$AM$2:$AM$10)-1</f>
        <v>2</v>
      </c>
      <c r="P860" s="207" t="s">
        <v>81</v>
      </c>
      <c r="Q860" s="207" t="s">
        <v>79</v>
      </c>
      <c r="R860" s="93"/>
      <c r="S860" s="100">
        <v>614</v>
      </c>
      <c r="T860" s="93" t="s">
        <v>3088</v>
      </c>
      <c r="U860" s="95">
        <v>1</v>
      </c>
      <c r="V860" s="95">
        <v>5</v>
      </c>
      <c r="W860" s="95">
        <v>140</v>
      </c>
      <c r="X860" s="93" t="s">
        <v>84</v>
      </c>
      <c r="Y860" s="98" t="s">
        <v>85</v>
      </c>
      <c r="Z860" s="208" t="s">
        <v>2723</v>
      </c>
      <c r="AA860" s="93" t="s">
        <v>87</v>
      </c>
      <c r="AB860" s="178">
        <v>198.65</v>
      </c>
      <c r="AC860" s="122">
        <f>IF(C860="DENALI", AB860*0.495, IF(C860="SCHNEIDER ELECTRIC", AB860*1.136, IF(C860="WWT", AB860*1.2, AC860)))+AB860</f>
        <v>296.98175000000003</v>
      </c>
      <c r="AD860" s="129">
        <f>AC860-AB860</f>
        <v>98.331750000000028</v>
      </c>
      <c r="AE860" s="178">
        <v>12958.95</v>
      </c>
      <c r="AF860" s="130">
        <f>AB860/U860</f>
        <v>198.65</v>
      </c>
      <c r="AG860" s="130">
        <f>AB860/V860</f>
        <v>39.730000000000004</v>
      </c>
      <c r="AH860" s="123">
        <f>AB860/S860</f>
        <v>0.32353420195439742</v>
      </c>
      <c r="AI860" s="77">
        <v>1290</v>
      </c>
      <c r="AJ860" s="77" t="s">
        <v>349</v>
      </c>
      <c r="AK860"/>
      <c r="AM860" s="80"/>
    </row>
    <row r="861" spans="1:39" ht="28.5" customHeight="1">
      <c r="A861" s="202" t="s">
        <v>73</v>
      </c>
      <c r="B861" s="83" t="s">
        <v>2828</v>
      </c>
      <c r="C861" s="78" t="s">
        <v>951</v>
      </c>
      <c r="D861" s="124" t="s">
        <v>109</v>
      </c>
      <c r="E861" s="124" t="s">
        <v>1259</v>
      </c>
      <c r="F861" s="124" t="s">
        <v>99</v>
      </c>
      <c r="G861" s="124">
        <v>24018681</v>
      </c>
      <c r="H861" s="238">
        <v>46269</v>
      </c>
      <c r="I861" s="170" t="s">
        <v>81</v>
      </c>
      <c r="J861" s="151">
        <v>24018681</v>
      </c>
      <c r="K861" s="165">
        <v>46266</v>
      </c>
      <c r="L861" s="101" t="s">
        <v>81</v>
      </c>
      <c r="M861" s="209">
        <v>46269</v>
      </c>
      <c r="N861" s="211">
        <v>46269</v>
      </c>
      <c r="O861" s="206">
        <f>NETWORKDAYS.INTL(K861,N861,1,$AM$2:$AM$10)-1</f>
        <v>3</v>
      </c>
      <c r="P861" s="114" t="s">
        <v>81</v>
      </c>
      <c r="Q861" s="114" t="s">
        <v>79</v>
      </c>
      <c r="R861" s="114"/>
      <c r="S861" s="212">
        <v>3006</v>
      </c>
      <c r="T861" s="114" t="s">
        <v>2830</v>
      </c>
      <c r="U861" s="212">
        <v>2</v>
      </c>
      <c r="V861" s="212">
        <v>148</v>
      </c>
      <c r="W861" s="212">
        <v>950</v>
      </c>
      <c r="X861" s="114" t="s">
        <v>113</v>
      </c>
      <c r="Y861" s="124" t="s">
        <v>85</v>
      </c>
      <c r="Z861" s="115" t="s">
        <v>3089</v>
      </c>
      <c r="AA861" s="114" t="s">
        <v>87</v>
      </c>
      <c r="AB861" s="213">
        <v>7200</v>
      </c>
      <c r="AC861" s="122">
        <v>13500</v>
      </c>
      <c r="AD861" s="129">
        <f>AC861-AB861</f>
        <v>6300</v>
      </c>
      <c r="AE861" s="213">
        <v>129073.76</v>
      </c>
      <c r="AF861" s="235">
        <f>AB861/U861</f>
        <v>3600</v>
      </c>
      <c r="AG861" s="235">
        <f>AB861/V861</f>
        <v>48.648648648648646</v>
      </c>
      <c r="AH861" s="236">
        <f>AB861/S861</f>
        <v>2.3952095808383231</v>
      </c>
      <c r="AI861" s="237">
        <v>1290</v>
      </c>
      <c r="AJ861" s="237" t="s">
        <v>2684</v>
      </c>
      <c r="AK861"/>
      <c r="AM861" s="80"/>
    </row>
    <row r="862" spans="1:39" ht="28.5" customHeight="1">
      <c r="A862" s="113" t="s">
        <v>73</v>
      </c>
      <c r="B862" s="114" t="s">
        <v>74</v>
      </c>
      <c r="C862" s="113" t="s">
        <v>36</v>
      </c>
      <c r="D862" s="124" t="s">
        <v>90</v>
      </c>
      <c r="E862" s="124" t="s">
        <v>193</v>
      </c>
      <c r="F862" s="124" t="s">
        <v>92</v>
      </c>
      <c r="G862" s="124" t="s">
        <v>3090</v>
      </c>
      <c r="H862" s="238">
        <v>46273</v>
      </c>
      <c r="I862" s="170" t="s">
        <v>79</v>
      </c>
      <c r="J862" s="228">
        <v>557702165</v>
      </c>
      <c r="K862" s="165">
        <v>46266</v>
      </c>
      <c r="L862" s="101" t="s">
        <v>81</v>
      </c>
      <c r="M862" s="209">
        <v>46273</v>
      </c>
      <c r="N862" s="211">
        <v>46273</v>
      </c>
      <c r="O862" s="206">
        <f>NETWORKDAYS.INTL(K862,N862,1,$AM$2:$AM$10)-1</f>
        <v>4</v>
      </c>
      <c r="P862" s="114" t="s">
        <v>81</v>
      </c>
      <c r="Q862" s="114" t="s">
        <v>79</v>
      </c>
      <c r="R862" s="83"/>
      <c r="S862" s="212">
        <v>1540</v>
      </c>
      <c r="T862" s="114" t="s">
        <v>3091</v>
      </c>
      <c r="U862" s="212">
        <v>1</v>
      </c>
      <c r="V862" s="212">
        <v>1</v>
      </c>
      <c r="W862" s="212">
        <v>502</v>
      </c>
      <c r="X862" s="114" t="s">
        <v>84</v>
      </c>
      <c r="Y862" s="124" t="s">
        <v>85</v>
      </c>
      <c r="Z862" s="175" t="s">
        <v>86</v>
      </c>
      <c r="AA862" s="114" t="s">
        <v>87</v>
      </c>
      <c r="AB862" s="213">
        <v>267.33999999999997</v>
      </c>
      <c r="AC862" s="122">
        <f>IF(C862="DENALI", AB862*0.495, IF(C862="SCHNEIDER ELECTRIC", AB862*1.136, IF(C862="WWT", AB862*1.2, AC862)))+AB862</f>
        <v>571.03823999999986</v>
      </c>
      <c r="AD862" s="129">
        <f>AC862-AB862</f>
        <v>303.69823999999988</v>
      </c>
      <c r="AE862" s="234">
        <v>2979.6</v>
      </c>
      <c r="AF862" s="232">
        <f>AB862/U862</f>
        <v>267.33999999999997</v>
      </c>
      <c r="AG862" s="232">
        <f>AB862/V862</f>
        <v>267.33999999999997</v>
      </c>
      <c r="AH862" s="233">
        <f>AB862/S862</f>
        <v>0.17359740259740258</v>
      </c>
      <c r="AI862" s="76">
        <v>1290</v>
      </c>
      <c r="AJ862" s="76" t="s">
        <v>2267</v>
      </c>
      <c r="AK862"/>
      <c r="AM862" s="80"/>
    </row>
    <row r="863" spans="1:39" ht="28.5" customHeight="1">
      <c r="A863" s="113" t="s">
        <v>73</v>
      </c>
      <c r="B863" s="114" t="s">
        <v>140</v>
      </c>
      <c r="C863" s="113" t="s">
        <v>227</v>
      </c>
      <c r="D863" s="124" t="s">
        <v>228</v>
      </c>
      <c r="E863" s="124" t="s">
        <v>141</v>
      </c>
      <c r="F863" s="124" t="s">
        <v>142</v>
      </c>
      <c r="G863" s="124" t="s">
        <v>3092</v>
      </c>
      <c r="H863" s="238">
        <v>46273</v>
      </c>
      <c r="I863" s="170" t="s">
        <v>79</v>
      </c>
      <c r="J863" s="278">
        <v>754051218</v>
      </c>
      <c r="K863" s="165">
        <v>46267</v>
      </c>
      <c r="L863" s="101" t="s">
        <v>79</v>
      </c>
      <c r="M863" s="209">
        <v>46268</v>
      </c>
      <c r="N863" s="211">
        <v>46275</v>
      </c>
      <c r="O863" s="206">
        <f>NETWORKDAYS.INTL(K863,N863,1,$AM$2:$AM$10)-1</f>
        <v>5</v>
      </c>
      <c r="P863" s="114" t="s">
        <v>81</v>
      </c>
      <c r="Q863" s="167" t="s">
        <v>79</v>
      </c>
      <c r="R863" s="252"/>
      <c r="S863" s="231">
        <v>326.10000000000002</v>
      </c>
      <c r="T863" s="114" t="s">
        <v>3093</v>
      </c>
      <c r="U863" s="212">
        <v>3</v>
      </c>
      <c r="V863" s="212">
        <v>1166</v>
      </c>
      <c r="W863" s="212">
        <v>1024</v>
      </c>
      <c r="X863" s="114" t="s">
        <v>84</v>
      </c>
      <c r="Y863" s="124" t="s">
        <v>85</v>
      </c>
      <c r="Z863" s="115" t="s">
        <v>2723</v>
      </c>
      <c r="AA863" s="114" t="s">
        <v>87</v>
      </c>
      <c r="AB863" s="213">
        <v>267.33999999999997</v>
      </c>
      <c r="AC863" s="122">
        <f>IF(C863="DENALI", AB863*0.495, IF(C863="SCHNEIDER ELECTRIC", AB863*1.136, IF(C863="WWT", AB863*1.2, AC863)))+AB863</f>
        <v>588.14799999999991</v>
      </c>
      <c r="AD863" s="129">
        <f>AC863-AB863</f>
        <v>320.80799999999994</v>
      </c>
      <c r="AE863" s="234">
        <v>156538.48000000001</v>
      </c>
      <c r="AF863" s="232">
        <f>AB863/U863</f>
        <v>89.11333333333333</v>
      </c>
      <c r="AG863" s="232">
        <f>AB863/V863</f>
        <v>0.22927958833619208</v>
      </c>
      <c r="AH863" s="233">
        <f>AB863/S863</f>
        <v>0.81980987427169572</v>
      </c>
      <c r="AI863" s="76">
        <v>1172</v>
      </c>
      <c r="AJ863" s="76" t="s">
        <v>89</v>
      </c>
      <c r="AK863"/>
      <c r="AM863" s="80"/>
    </row>
    <row r="864" spans="1:39" ht="28.5" customHeight="1">
      <c r="A864" s="113" t="s">
        <v>73</v>
      </c>
      <c r="B864" s="114" t="s">
        <v>140</v>
      </c>
      <c r="C864" s="113" t="s">
        <v>35</v>
      </c>
      <c r="D864" s="124" t="s">
        <v>99</v>
      </c>
      <c r="E864" s="124" t="s">
        <v>141</v>
      </c>
      <c r="F864" s="124" t="s">
        <v>142</v>
      </c>
      <c r="G864" s="124" t="s">
        <v>3094</v>
      </c>
      <c r="H864" s="238">
        <v>46275</v>
      </c>
      <c r="I864" s="230" t="s">
        <v>79</v>
      </c>
      <c r="J864" s="228">
        <v>557705083</v>
      </c>
      <c r="K864" s="165">
        <v>46268</v>
      </c>
      <c r="L864" s="101" t="s">
        <v>81</v>
      </c>
      <c r="M864" s="209">
        <v>46276</v>
      </c>
      <c r="N864" s="211">
        <v>46274</v>
      </c>
      <c r="O864" s="206">
        <f>NETWORKDAYS.INTL(K864,N864,1,$AM$2:$AM$10)-1</f>
        <v>3</v>
      </c>
      <c r="P864" s="114" t="s">
        <v>81</v>
      </c>
      <c r="Q864" s="167" t="s">
        <v>79</v>
      </c>
      <c r="R864" s="82"/>
      <c r="S864" s="231">
        <v>2435</v>
      </c>
      <c r="T864" s="114" t="s">
        <v>1246</v>
      </c>
      <c r="U864" s="212">
        <v>4</v>
      </c>
      <c r="V864" s="212">
        <v>246</v>
      </c>
      <c r="W864" s="212">
        <v>2460</v>
      </c>
      <c r="X864" s="114" t="s">
        <v>84</v>
      </c>
      <c r="Y864" s="124" t="s">
        <v>85</v>
      </c>
      <c r="Z864" s="175" t="s">
        <v>86</v>
      </c>
      <c r="AA864" s="114" t="s">
        <v>87</v>
      </c>
      <c r="AB864" s="213">
        <v>1106.3399999999999</v>
      </c>
      <c r="AC864" s="122">
        <f>IF(C864="DENALI", AB864*0.495, IF(C864="SCHNEIDER ELECTRIC", AB864*1.136, IF(C864="WWT", AB864*1.2, AC864)))+AB864</f>
        <v>1653.9782999999998</v>
      </c>
      <c r="AD864" s="129">
        <f>AC864-AB864</f>
        <v>547.63829999999984</v>
      </c>
      <c r="AE864" s="234">
        <v>359019.53</v>
      </c>
      <c r="AF864" s="232">
        <f>AB864/U864</f>
        <v>276.58499999999998</v>
      </c>
      <c r="AG864" s="232">
        <f>AB864/V864</f>
        <v>4.4973170731707315</v>
      </c>
      <c r="AH864" s="233">
        <f>AB864/S864</f>
        <v>0.45434907597535928</v>
      </c>
      <c r="AI864" s="76">
        <v>1290</v>
      </c>
      <c r="AJ864" s="76" t="s">
        <v>349</v>
      </c>
      <c r="AK864"/>
      <c r="AM864" s="80"/>
    </row>
    <row r="865" spans="1:39" ht="28.5" customHeight="1">
      <c r="A865" s="113" t="s">
        <v>73</v>
      </c>
      <c r="B865" s="114" t="s">
        <v>74</v>
      </c>
      <c r="C865" s="113" t="s">
        <v>227</v>
      </c>
      <c r="D865" s="124" t="s">
        <v>228</v>
      </c>
      <c r="E865" s="124" t="s">
        <v>1460</v>
      </c>
      <c r="F865" s="124" t="s">
        <v>585</v>
      </c>
      <c r="G865" s="124" t="s">
        <v>3095</v>
      </c>
      <c r="H865" s="238">
        <v>46276</v>
      </c>
      <c r="I865" s="170" t="s">
        <v>79</v>
      </c>
      <c r="J865" s="151">
        <v>557706741</v>
      </c>
      <c r="K865" s="165">
        <v>46269</v>
      </c>
      <c r="L865" s="101" t="s">
        <v>81</v>
      </c>
      <c r="M865" s="209">
        <v>46276</v>
      </c>
      <c r="N865" s="211">
        <v>46276</v>
      </c>
      <c r="O865" s="206">
        <f>NETWORKDAYS.INTL(K865,N865,1,$AM$2:$AM$10)-1</f>
        <v>4</v>
      </c>
      <c r="P865" s="114" t="s">
        <v>81</v>
      </c>
      <c r="Q865" s="114" t="s">
        <v>79</v>
      </c>
      <c r="R865" s="174"/>
      <c r="S865" s="212">
        <v>1469</v>
      </c>
      <c r="T865" s="114" t="s">
        <v>3096</v>
      </c>
      <c r="U865" s="212">
        <v>1</v>
      </c>
      <c r="V865" s="212">
        <v>650</v>
      </c>
      <c r="W865" s="212">
        <v>313</v>
      </c>
      <c r="X865" s="114" t="s">
        <v>84</v>
      </c>
      <c r="Y865" s="124" t="s">
        <v>85</v>
      </c>
      <c r="Z865" s="175" t="s">
        <v>86</v>
      </c>
      <c r="AA865" s="114" t="s">
        <v>87</v>
      </c>
      <c r="AB865" s="213">
        <v>343</v>
      </c>
      <c r="AC865" s="122">
        <f>IF(C865="DENALI", AB865*0.495, IF(C865="SCHNEIDER ELECTRIC", AB865*1.136, IF(C865="WWT", AB865*1.2, AC865)))+AB865</f>
        <v>754.59999999999991</v>
      </c>
      <c r="AD865" s="129">
        <f>AC865-AB865</f>
        <v>411.59999999999991</v>
      </c>
      <c r="AE865" s="234">
        <v>90402.78</v>
      </c>
      <c r="AF865" s="232">
        <f>AB865/U865</f>
        <v>343</v>
      </c>
      <c r="AG865" s="232">
        <f>AB865/V865</f>
        <v>0.52769230769230768</v>
      </c>
      <c r="AH865" s="233">
        <f>AB865/S865</f>
        <v>0.23349217154526888</v>
      </c>
      <c r="AI865" s="76">
        <v>1060</v>
      </c>
      <c r="AJ865" s="76" t="s">
        <v>343</v>
      </c>
      <c r="AK865"/>
      <c r="AM865" s="80"/>
    </row>
    <row r="866" spans="1:39" ht="28.5" customHeight="1">
      <c r="A866" s="113" t="s">
        <v>73</v>
      </c>
      <c r="B866" s="114" t="s">
        <v>74</v>
      </c>
      <c r="C866" s="113" t="s">
        <v>227</v>
      </c>
      <c r="D866" s="124" t="s">
        <v>228</v>
      </c>
      <c r="E866" s="124" t="s">
        <v>517</v>
      </c>
      <c r="F866" s="124" t="s">
        <v>207</v>
      </c>
      <c r="G866" s="124" t="s">
        <v>3097</v>
      </c>
      <c r="H866" s="238">
        <v>46276</v>
      </c>
      <c r="I866" s="170" t="s">
        <v>79</v>
      </c>
      <c r="J866" s="228">
        <v>557706796</v>
      </c>
      <c r="K866" s="165">
        <v>46269</v>
      </c>
      <c r="L866" s="101" t="s">
        <v>81</v>
      </c>
      <c r="M866" s="209">
        <v>46273</v>
      </c>
      <c r="N866" s="211">
        <v>46273</v>
      </c>
      <c r="O866" s="206">
        <f>NETWORKDAYS.INTL(K866,N866,1,$AM$2:$AM$10)-1</f>
        <v>1</v>
      </c>
      <c r="P866" s="114" t="s">
        <v>81</v>
      </c>
      <c r="Q866" s="114" t="s">
        <v>79</v>
      </c>
      <c r="R866" s="114"/>
      <c r="S866" s="212">
        <v>459</v>
      </c>
      <c r="T866" s="114" t="s">
        <v>3098</v>
      </c>
      <c r="U866" s="212">
        <v>1</v>
      </c>
      <c r="V866" s="212">
        <v>27</v>
      </c>
      <c r="W866" s="212">
        <v>327</v>
      </c>
      <c r="X866" s="114" t="s">
        <v>84</v>
      </c>
      <c r="Y866" s="124" t="s">
        <v>85</v>
      </c>
      <c r="Z866" s="175" t="s">
        <v>86</v>
      </c>
      <c r="AA866" s="114" t="s">
        <v>87</v>
      </c>
      <c r="AB866" s="213">
        <v>239.47</v>
      </c>
      <c r="AC866" s="122">
        <f>IF(C866="DENALI", AB866*0.495, IF(C866="SCHNEIDER ELECTRIC", AB866*1.136, IF(C866="WWT", AB866*1.2, AC866)))+AB866</f>
        <v>526.83399999999995</v>
      </c>
      <c r="AD866" s="129">
        <f>AC866-AB866</f>
        <v>287.36399999999992</v>
      </c>
      <c r="AE866" s="234">
        <v>87775.28</v>
      </c>
      <c r="AF866" s="232">
        <f>AB866/U866</f>
        <v>239.47</v>
      </c>
      <c r="AG866" s="232">
        <f>AB866/V866</f>
        <v>8.869259259259259</v>
      </c>
      <c r="AH866" s="233">
        <f>AB866/S866</f>
        <v>0.52172113289760347</v>
      </c>
      <c r="AI866" s="76">
        <v>1060</v>
      </c>
      <c r="AJ866" s="76" t="s">
        <v>343</v>
      </c>
      <c r="AK866"/>
      <c r="AM866" s="80"/>
    </row>
    <row r="867" spans="1:39" ht="28.5" customHeight="1">
      <c r="A867" s="113" t="s">
        <v>73</v>
      </c>
      <c r="B867" s="114" t="s">
        <v>74</v>
      </c>
      <c r="C867" s="113" t="s">
        <v>227</v>
      </c>
      <c r="D867" s="124" t="s">
        <v>228</v>
      </c>
      <c r="E867" s="124" t="s">
        <v>248</v>
      </c>
      <c r="F867" s="124" t="s">
        <v>189</v>
      </c>
      <c r="G867" s="124" t="s">
        <v>3099</v>
      </c>
      <c r="H867" s="238">
        <v>46276</v>
      </c>
      <c r="I867" s="170" t="s">
        <v>79</v>
      </c>
      <c r="J867" s="151">
        <v>557706800</v>
      </c>
      <c r="K867" s="165">
        <v>46269</v>
      </c>
      <c r="L867" s="101" t="s">
        <v>79</v>
      </c>
      <c r="M867" s="209">
        <v>46275</v>
      </c>
      <c r="N867" s="211">
        <v>46281</v>
      </c>
      <c r="O867" s="206">
        <f>NETWORKDAYS.INTL(K867,N867,1,$AM$2:$AM$10)-1</f>
        <v>7</v>
      </c>
      <c r="P867" s="114" t="s">
        <v>79</v>
      </c>
      <c r="Q867" s="114" t="s">
        <v>81</v>
      </c>
      <c r="R867" s="114" t="s">
        <v>3100</v>
      </c>
      <c r="S867" s="212">
        <v>1337</v>
      </c>
      <c r="T867" s="114" t="s">
        <v>3101</v>
      </c>
      <c r="U867" s="212">
        <v>1</v>
      </c>
      <c r="V867" s="212">
        <v>453</v>
      </c>
      <c r="W867" s="212">
        <v>331</v>
      </c>
      <c r="X867" s="114" t="s">
        <v>84</v>
      </c>
      <c r="Y867" s="124" t="s">
        <v>85</v>
      </c>
      <c r="Z867" s="175" t="s">
        <v>86</v>
      </c>
      <c r="AA867" s="114" t="s">
        <v>87</v>
      </c>
      <c r="AB867" s="213">
        <v>415.41</v>
      </c>
      <c r="AC867" s="122">
        <f>IF(C867="DENALI", AB867*0.495, IF(C867="SCHNEIDER ELECTRIC", AB867*1.136, IF(C867="WWT", AB867*1.2, AC867)))+AB867</f>
        <v>913.90200000000004</v>
      </c>
      <c r="AD867" s="129">
        <f>AC867-AB867</f>
        <v>498.49200000000002</v>
      </c>
      <c r="AE867" s="234">
        <v>73909.460000000006</v>
      </c>
      <c r="AF867" s="232">
        <f>AB867/U867</f>
        <v>415.41</v>
      </c>
      <c r="AG867" s="232">
        <f>AB867/V867</f>
        <v>0.91701986754966891</v>
      </c>
      <c r="AH867" s="233">
        <f>AB867/S867</f>
        <v>0.31070306656694091</v>
      </c>
      <c r="AI867" s="76">
        <v>1060</v>
      </c>
      <c r="AJ867" s="76" t="s">
        <v>343</v>
      </c>
      <c r="AK867"/>
      <c r="AM867" s="80"/>
    </row>
    <row r="868" spans="1:39" ht="28.5" customHeight="1">
      <c r="A868" s="113" t="s">
        <v>73</v>
      </c>
      <c r="B868" s="114" t="s">
        <v>74</v>
      </c>
      <c r="C868" s="113" t="s">
        <v>35</v>
      </c>
      <c r="D868" s="124" t="s">
        <v>99</v>
      </c>
      <c r="E868" s="124" t="s">
        <v>3102</v>
      </c>
      <c r="F868" s="124" t="s">
        <v>3103</v>
      </c>
      <c r="G868" s="124" t="s">
        <v>3104</v>
      </c>
      <c r="H868" s="238">
        <v>46276</v>
      </c>
      <c r="I868" s="170" t="s">
        <v>79</v>
      </c>
      <c r="J868" s="251">
        <v>557707183</v>
      </c>
      <c r="K868" s="166">
        <v>46268</v>
      </c>
      <c r="L868" s="101" t="s">
        <v>81</v>
      </c>
      <c r="M868" s="209">
        <v>46274</v>
      </c>
      <c r="N868" s="211">
        <v>46276</v>
      </c>
      <c r="O868" s="206">
        <f>NETWORKDAYS.INTL(K868,N868,1,$AM$2:$AM$10)-1</f>
        <v>5</v>
      </c>
      <c r="P868" s="114" t="s">
        <v>81</v>
      </c>
      <c r="Q868" s="114" t="s">
        <v>79</v>
      </c>
      <c r="R868" s="114"/>
      <c r="S868" s="212">
        <v>3124</v>
      </c>
      <c r="T868" s="114" t="s">
        <v>3105</v>
      </c>
      <c r="U868" s="212">
        <v>1</v>
      </c>
      <c r="V868" s="212">
        <v>30</v>
      </c>
      <c r="W868" s="212">
        <v>450</v>
      </c>
      <c r="X868" s="114" t="s">
        <v>84</v>
      </c>
      <c r="Y868" s="124" t="s">
        <v>85</v>
      </c>
      <c r="Z868" s="175" t="s">
        <v>86</v>
      </c>
      <c r="AA868" s="114" t="s">
        <v>87</v>
      </c>
      <c r="AB868" s="213">
        <v>516.05999999999995</v>
      </c>
      <c r="AC868" s="122">
        <f>IF(C868="DENALI", AB868*0.495, IF(C868="SCHNEIDER ELECTRIC", AB868*1.136, IF(C868="WWT", AB868*1.2, AC868)))+AB868</f>
        <v>771.50969999999995</v>
      </c>
      <c r="AD868" s="129">
        <f>AC868-AB868</f>
        <v>255.44970000000001</v>
      </c>
      <c r="AE868" s="213">
        <v>149127.92000000001</v>
      </c>
      <c r="AF868" s="232">
        <f>AB868/U868</f>
        <v>516.05999999999995</v>
      </c>
      <c r="AG868" s="232">
        <f>AB868/V868</f>
        <v>17.201999999999998</v>
      </c>
      <c r="AH868" s="233">
        <f>AB868/S868</f>
        <v>0.16519206145966708</v>
      </c>
      <c r="AI868" s="154">
        <v>1290</v>
      </c>
      <c r="AJ868" s="154" t="s">
        <v>349</v>
      </c>
      <c r="AK868"/>
      <c r="AM868" s="80"/>
    </row>
    <row r="869" spans="1:39" ht="28.5" customHeight="1">
      <c r="A869" s="113" t="s">
        <v>73</v>
      </c>
      <c r="B869" s="114" t="s">
        <v>140</v>
      </c>
      <c r="C869" s="113" t="s">
        <v>35</v>
      </c>
      <c r="D869" s="124" t="s">
        <v>99</v>
      </c>
      <c r="E869" s="124" t="s">
        <v>141</v>
      </c>
      <c r="F869" s="124" t="s">
        <v>142</v>
      </c>
      <c r="G869" s="124" t="s">
        <v>3106</v>
      </c>
      <c r="H869" s="238">
        <v>46277</v>
      </c>
      <c r="I869" s="170" t="s">
        <v>79</v>
      </c>
      <c r="J869" s="151">
        <v>557708281</v>
      </c>
      <c r="K869" s="90">
        <v>46269</v>
      </c>
      <c r="L869" s="101" t="s">
        <v>79</v>
      </c>
      <c r="M869" s="209">
        <v>46279</v>
      </c>
      <c r="N869" s="211">
        <v>46280</v>
      </c>
      <c r="O869" s="206">
        <f>NETWORKDAYS.INTL(K869,N869,1,$AM$2:$AM$10)-1</f>
        <v>6</v>
      </c>
      <c r="P869" s="114" t="s">
        <v>79</v>
      </c>
      <c r="Q869" s="114" t="s">
        <v>81</v>
      </c>
      <c r="R869" s="114" t="s">
        <v>3100</v>
      </c>
      <c r="S869" s="212">
        <v>2435.6999999999998</v>
      </c>
      <c r="T869" s="114" t="s">
        <v>3007</v>
      </c>
      <c r="U869" s="212">
        <v>4</v>
      </c>
      <c r="V869" s="212">
        <v>49</v>
      </c>
      <c r="W869" s="212">
        <v>1460</v>
      </c>
      <c r="X869" s="114" t="s">
        <v>84</v>
      </c>
      <c r="Y869" s="124" t="s">
        <v>85</v>
      </c>
      <c r="Z869" s="175" t="s">
        <v>86</v>
      </c>
      <c r="AA869" s="114" t="s">
        <v>87</v>
      </c>
      <c r="AB869" s="213">
        <v>988.04</v>
      </c>
      <c r="AC869" s="122">
        <f>IF(C869="DENALI", AB869*0.495, IF(C869="SCHNEIDER ELECTRIC", AB869*1.136, IF(C869="WWT", AB869*1.2, AC869)))+AB869</f>
        <v>1477.1197999999999</v>
      </c>
      <c r="AD869" s="129">
        <f>AC869-AB869</f>
        <v>489.07979999999998</v>
      </c>
      <c r="AE869" s="213">
        <v>60139.6</v>
      </c>
      <c r="AF869" s="232">
        <f>AB869/U869</f>
        <v>247.01</v>
      </c>
      <c r="AG869" s="232">
        <f>AB869/V869</f>
        <v>20.164081632653062</v>
      </c>
      <c r="AH869" s="233">
        <f>AB869/S869</f>
        <v>0.40564929999589444</v>
      </c>
      <c r="AI869" s="124">
        <v>1290</v>
      </c>
      <c r="AJ869" s="124" t="s">
        <v>349</v>
      </c>
      <c r="AK869"/>
      <c r="AM869" s="80"/>
    </row>
    <row r="870" spans="1:39" ht="28.5" customHeight="1">
      <c r="A870" s="113" t="s">
        <v>73</v>
      </c>
      <c r="B870" s="114" t="s">
        <v>140</v>
      </c>
      <c r="C870" s="113" t="s">
        <v>35</v>
      </c>
      <c r="D870" s="124" t="s">
        <v>218</v>
      </c>
      <c r="E870" s="124" t="s">
        <v>141</v>
      </c>
      <c r="F870" s="124" t="s">
        <v>142</v>
      </c>
      <c r="G870" s="124" t="s">
        <v>3107</v>
      </c>
      <c r="H870" s="238">
        <v>46277</v>
      </c>
      <c r="I870" s="170" t="s">
        <v>79</v>
      </c>
      <c r="J870" s="151">
        <v>557708701</v>
      </c>
      <c r="K870" s="90">
        <v>46269</v>
      </c>
      <c r="L870" s="101" t="s">
        <v>81</v>
      </c>
      <c r="M870" s="209">
        <v>46274</v>
      </c>
      <c r="N870" s="211">
        <v>46274</v>
      </c>
      <c r="O870" s="206">
        <f>NETWORKDAYS.INTL(K870,N870,1,$AM$2:$AM$10)-1</f>
        <v>2</v>
      </c>
      <c r="P870" s="114" t="s">
        <v>81</v>
      </c>
      <c r="Q870" s="114" t="s">
        <v>79</v>
      </c>
      <c r="R870" s="114"/>
      <c r="S870" s="212">
        <v>441</v>
      </c>
      <c r="T870" s="114" t="s">
        <v>3108</v>
      </c>
      <c r="U870" s="212">
        <v>1</v>
      </c>
      <c r="V870" s="212">
        <v>102</v>
      </c>
      <c r="W870" s="212">
        <v>230</v>
      </c>
      <c r="X870" s="114" t="s">
        <v>84</v>
      </c>
      <c r="Y870" s="124" t="s">
        <v>85</v>
      </c>
      <c r="Z870" s="175" t="s">
        <v>86</v>
      </c>
      <c r="AA870" s="114" t="s">
        <v>87</v>
      </c>
      <c r="AB870" s="213">
        <v>291.31</v>
      </c>
      <c r="AC870" s="122">
        <f>IF(C870="DENALI", AB870*0.495, IF(C870="SCHNEIDER ELECTRIC", AB870*1.136, IF(C870="WWT", AB870*1.2, AC870)))+AB870</f>
        <v>435.50845000000004</v>
      </c>
      <c r="AD870" s="129">
        <f>AC870-AB870</f>
        <v>144.19845000000004</v>
      </c>
      <c r="AE870" s="213">
        <v>12103.24</v>
      </c>
      <c r="AF870" s="232">
        <f>AB870/U870</f>
        <v>291.31</v>
      </c>
      <c r="AG870" s="232">
        <f>AB870/V870</f>
        <v>2.8559803921568627</v>
      </c>
      <c r="AH870" s="233">
        <f>AB870/S870</f>
        <v>0.66056689342403629</v>
      </c>
      <c r="AI870" s="124">
        <v>7812</v>
      </c>
      <c r="AJ870" s="124" t="s">
        <v>670</v>
      </c>
      <c r="AK870"/>
      <c r="AM870" s="80"/>
    </row>
    <row r="871" spans="1:39" ht="28.5" customHeight="1">
      <c r="A871" s="113" t="s">
        <v>73</v>
      </c>
      <c r="B871" s="114" t="s">
        <v>140</v>
      </c>
      <c r="C871" s="113" t="s">
        <v>227</v>
      </c>
      <c r="D871" s="124" t="s">
        <v>228</v>
      </c>
      <c r="E871" s="124" t="s">
        <v>141</v>
      </c>
      <c r="F871" s="124" t="s">
        <v>142</v>
      </c>
      <c r="G871" s="124" t="s">
        <v>3109</v>
      </c>
      <c r="H871" s="238">
        <v>46279</v>
      </c>
      <c r="I871" s="170" t="s">
        <v>79</v>
      </c>
      <c r="J871" s="249">
        <v>754051234</v>
      </c>
      <c r="K871" s="90">
        <v>46269</v>
      </c>
      <c r="L871" s="101" t="s">
        <v>79</v>
      </c>
      <c r="M871" s="209">
        <v>46273</v>
      </c>
      <c r="N871" s="211">
        <v>46275</v>
      </c>
      <c r="O871" s="206">
        <f>NETWORKDAYS.INTL(K871,N871,1,$AM$2:$AM$10)-1</f>
        <v>3</v>
      </c>
      <c r="P871" s="114" t="s">
        <v>81</v>
      </c>
      <c r="Q871" s="114" t="s">
        <v>79</v>
      </c>
      <c r="R871" s="114"/>
      <c r="S871" s="212">
        <v>327</v>
      </c>
      <c r="T871" s="114" t="s">
        <v>3110</v>
      </c>
      <c r="U871" s="212">
        <v>3</v>
      </c>
      <c r="V871" s="212">
        <v>62</v>
      </c>
      <c r="W871" s="212">
        <v>772</v>
      </c>
      <c r="X871" s="114" t="s">
        <v>84</v>
      </c>
      <c r="Y871" s="124" t="s">
        <v>85</v>
      </c>
      <c r="Z871" s="115" t="s">
        <v>2723</v>
      </c>
      <c r="AA871" s="114" t="s">
        <v>87</v>
      </c>
      <c r="AB871" s="213">
        <v>557.79999999999995</v>
      </c>
      <c r="AC871" s="122">
        <f>IF(C871="DENALI", AB871*0.495, IF(C871="SCHNEIDER ELECTRIC", AB871*1.136, IF(C871="WWT", AB871*1.2, AC871)))+AB871</f>
        <v>1227.1599999999999</v>
      </c>
      <c r="AD871" s="129">
        <f>AC871-AB871</f>
        <v>669.3599999999999</v>
      </c>
      <c r="AE871" s="213">
        <v>66116.94</v>
      </c>
      <c r="AF871" s="232">
        <f>AB871/U871</f>
        <v>185.93333333333331</v>
      </c>
      <c r="AG871" s="232">
        <f>AB871/V871</f>
        <v>8.9967741935483865</v>
      </c>
      <c r="AH871" s="246">
        <f>AB871/S871</f>
        <v>1.7058103975535166</v>
      </c>
      <c r="AI871" s="237">
        <v>1172</v>
      </c>
      <c r="AJ871" s="237" t="s">
        <v>89</v>
      </c>
      <c r="AK871"/>
      <c r="AM871" s="80"/>
    </row>
    <row r="872" spans="1:39" ht="28.5" customHeight="1">
      <c r="A872" s="113" t="s">
        <v>73</v>
      </c>
      <c r="B872" s="114" t="s">
        <v>74</v>
      </c>
      <c r="C872" s="113" t="s">
        <v>36</v>
      </c>
      <c r="D872" s="124" t="s">
        <v>90</v>
      </c>
      <c r="E872" s="124" t="s">
        <v>589</v>
      </c>
      <c r="F872" s="124" t="s">
        <v>292</v>
      </c>
      <c r="G872" s="124" t="s">
        <v>3111</v>
      </c>
      <c r="H872" s="209">
        <v>46279</v>
      </c>
      <c r="I872" s="239" t="s">
        <v>79</v>
      </c>
      <c r="J872" s="276">
        <v>557708830</v>
      </c>
      <c r="K872" s="90">
        <v>46269</v>
      </c>
      <c r="L872" s="101" t="s">
        <v>79</v>
      </c>
      <c r="M872" s="209">
        <v>46274</v>
      </c>
      <c r="N872" s="211">
        <v>46280</v>
      </c>
      <c r="O872" s="206">
        <f>NETWORKDAYS.INTL(K872,N872,1,$AM$2:$AM$10)-1</f>
        <v>6</v>
      </c>
      <c r="P872" s="114" t="s">
        <v>79</v>
      </c>
      <c r="Q872" s="114" t="s">
        <v>81</v>
      </c>
      <c r="R872" s="114" t="s">
        <v>3100</v>
      </c>
      <c r="S872" s="212">
        <v>1038</v>
      </c>
      <c r="T872" s="114" t="s">
        <v>3112</v>
      </c>
      <c r="U872" s="212">
        <v>1</v>
      </c>
      <c r="V872" s="212">
        <v>10</v>
      </c>
      <c r="W872" s="212">
        <v>810</v>
      </c>
      <c r="X872" s="114" t="s">
        <v>84</v>
      </c>
      <c r="Y872" s="124" t="s">
        <v>85</v>
      </c>
      <c r="Z872" s="175" t="s">
        <v>86</v>
      </c>
      <c r="AA872" s="114" t="s">
        <v>87</v>
      </c>
      <c r="AB872" s="213">
        <v>336.88</v>
      </c>
      <c r="AC872" s="122">
        <f>IF(C872="DENALI", AB872*0.495, IF(C872="SCHNEIDER ELECTRIC", AB872*1.136, IF(C872="WWT", AB872*1.2, AC872)))+AB872</f>
        <v>719.57567999999992</v>
      </c>
      <c r="AD872" s="129">
        <f>AC872-AB872</f>
        <v>382.69567999999992</v>
      </c>
      <c r="AE872" s="213">
        <v>12911.6</v>
      </c>
      <c r="AF872" s="232">
        <f>AB872/U872</f>
        <v>336.88</v>
      </c>
      <c r="AG872" s="245">
        <f>AB872/V872</f>
        <v>33.688000000000002</v>
      </c>
      <c r="AH872" s="233">
        <f>AB872/S872</f>
        <v>0.32454720616570326</v>
      </c>
      <c r="AI872" s="76">
        <v>1290</v>
      </c>
      <c r="AJ872" s="76" t="s">
        <v>349</v>
      </c>
      <c r="AK872"/>
      <c r="AM872" s="80"/>
    </row>
    <row r="873" spans="1:39" ht="28.5" customHeight="1">
      <c r="A873" s="113" t="s">
        <v>73</v>
      </c>
      <c r="B873" s="114" t="s">
        <v>74</v>
      </c>
      <c r="C873" s="113" t="s">
        <v>36</v>
      </c>
      <c r="D873" s="124" t="s">
        <v>90</v>
      </c>
      <c r="E873" s="124" t="s">
        <v>532</v>
      </c>
      <c r="F873" s="124" t="s">
        <v>92</v>
      </c>
      <c r="G873" s="124" t="s">
        <v>3113</v>
      </c>
      <c r="H873" s="209">
        <v>46279</v>
      </c>
      <c r="I873" s="167" t="s">
        <v>79</v>
      </c>
      <c r="J873" s="151">
        <v>557708804</v>
      </c>
      <c r="K873" s="90">
        <v>46269</v>
      </c>
      <c r="L873" s="101" t="s">
        <v>79</v>
      </c>
      <c r="M873" s="209">
        <v>46273</v>
      </c>
      <c r="N873" s="241">
        <v>46276</v>
      </c>
      <c r="O873" s="216">
        <f>NETWORKDAYS.INTL(K873,N873,1,$AM$2:$AM$10)-1</f>
        <v>4</v>
      </c>
      <c r="P873" s="101" t="s">
        <v>81</v>
      </c>
      <c r="Q873" s="114" t="s">
        <v>79</v>
      </c>
      <c r="R873" s="114"/>
      <c r="S873" s="212">
        <v>1359</v>
      </c>
      <c r="T873" s="114" t="s">
        <v>3114</v>
      </c>
      <c r="U873" s="212">
        <v>1</v>
      </c>
      <c r="V873" s="212">
        <v>4</v>
      </c>
      <c r="W873" s="212">
        <v>195</v>
      </c>
      <c r="X873" s="114" t="s">
        <v>84</v>
      </c>
      <c r="Y873" s="124" t="s">
        <v>85</v>
      </c>
      <c r="Z873" s="175" t="s">
        <v>86</v>
      </c>
      <c r="AA873" s="114" t="s">
        <v>87</v>
      </c>
      <c r="AB873" s="213">
        <v>347.29</v>
      </c>
      <c r="AC873" s="122">
        <f>IF(C873="DENALI", AB873*0.495, IF(C873="SCHNEIDER ELECTRIC", AB873*1.136, IF(C873="WWT", AB873*1.2, AC873)))+AB873</f>
        <v>741.81143999999995</v>
      </c>
      <c r="AD873" s="129">
        <f>AC873-AB873</f>
        <v>394.52143999999993</v>
      </c>
      <c r="AE873" s="213">
        <v>1077.52</v>
      </c>
      <c r="AF873" s="232">
        <f>AB873/U873</f>
        <v>347.29</v>
      </c>
      <c r="AG873" s="245">
        <f>AB873/V873</f>
        <v>86.822500000000005</v>
      </c>
      <c r="AH873" s="233">
        <f>AB873/S873</f>
        <v>0.25554819720382638</v>
      </c>
      <c r="AI873" s="76">
        <v>1290</v>
      </c>
      <c r="AJ873" s="76" t="s">
        <v>2267</v>
      </c>
      <c r="AK873"/>
      <c r="AM873" s="80"/>
    </row>
    <row r="874" spans="1:39" ht="28.5" customHeight="1">
      <c r="A874" s="113" t="s">
        <v>73</v>
      </c>
      <c r="B874" s="114" t="s">
        <v>2828</v>
      </c>
      <c r="C874" s="113" t="s">
        <v>242</v>
      </c>
      <c r="D874" s="124" t="s">
        <v>243</v>
      </c>
      <c r="E874" s="124" t="s">
        <v>951</v>
      </c>
      <c r="F874" s="124" t="s">
        <v>109</v>
      </c>
      <c r="G874" s="124">
        <v>24057873</v>
      </c>
      <c r="H874" s="209">
        <v>46280</v>
      </c>
      <c r="I874" s="167" t="s">
        <v>81</v>
      </c>
      <c r="J874" s="151">
        <v>24057873</v>
      </c>
      <c r="K874" s="90">
        <v>46273</v>
      </c>
      <c r="L874" s="101" t="s">
        <v>81</v>
      </c>
      <c r="M874" s="209">
        <v>46274</v>
      </c>
      <c r="N874" s="211">
        <v>46274</v>
      </c>
      <c r="O874" s="240">
        <f>NETWORKDAYS.INTL(K874,N874,1,$AM$2:$AM$10)-1</f>
        <v>1</v>
      </c>
      <c r="P874" s="114" t="s">
        <v>81</v>
      </c>
      <c r="Q874" s="114" t="s">
        <v>79</v>
      </c>
      <c r="R874" s="114"/>
      <c r="S874" s="212">
        <v>721</v>
      </c>
      <c r="T874" s="114" t="s">
        <v>2830</v>
      </c>
      <c r="U874" s="212">
        <v>2</v>
      </c>
      <c r="V874" s="212">
        <v>30</v>
      </c>
      <c r="W874" s="212">
        <v>1700</v>
      </c>
      <c r="X874" s="114" t="s">
        <v>113</v>
      </c>
      <c r="Y874" s="124" t="s">
        <v>85</v>
      </c>
      <c r="Z874" s="115" t="s">
        <v>3115</v>
      </c>
      <c r="AA874" s="114" t="s">
        <v>87</v>
      </c>
      <c r="AB874" s="213">
        <v>3000</v>
      </c>
      <c r="AC874" s="122">
        <v>4485</v>
      </c>
      <c r="AD874" s="129">
        <f>AC874-AB874</f>
        <v>1485</v>
      </c>
      <c r="AE874" s="213">
        <v>77753.7</v>
      </c>
      <c r="AF874" s="232">
        <f>AB874/U874</f>
        <v>1500</v>
      </c>
      <c r="AG874" s="245">
        <f>AB874/V874</f>
        <v>100</v>
      </c>
      <c r="AH874" s="233">
        <f>AB874/S874</f>
        <v>4.160887656033287</v>
      </c>
      <c r="AI874" s="76">
        <v>1290</v>
      </c>
      <c r="AJ874" s="76" t="s">
        <v>3072</v>
      </c>
      <c r="AK874"/>
      <c r="AM874" s="80"/>
    </row>
    <row r="875" spans="1:39" ht="28.5" customHeight="1">
      <c r="A875" s="113" t="s">
        <v>73</v>
      </c>
      <c r="B875" s="114" t="s">
        <v>778</v>
      </c>
      <c r="C875" s="113" t="s">
        <v>141</v>
      </c>
      <c r="D875" s="124" t="s">
        <v>142</v>
      </c>
      <c r="E875" s="124" t="s">
        <v>1736</v>
      </c>
      <c r="F875" s="124" t="s">
        <v>90</v>
      </c>
      <c r="G875" s="124">
        <v>24055640</v>
      </c>
      <c r="H875" s="209">
        <v>46280</v>
      </c>
      <c r="I875" s="248" t="s">
        <v>81</v>
      </c>
      <c r="J875" s="277">
        <v>24055640</v>
      </c>
      <c r="K875" s="94">
        <v>46273</v>
      </c>
      <c r="L875" s="101" t="s">
        <v>81</v>
      </c>
      <c r="M875" s="209">
        <v>46276</v>
      </c>
      <c r="N875" s="211">
        <v>46275</v>
      </c>
      <c r="O875" s="206">
        <f>NETWORKDAYS.INTL(K875,N875,1,$AM$2:$AM$10)-1</f>
        <v>2</v>
      </c>
      <c r="P875" s="114" t="s">
        <v>81</v>
      </c>
      <c r="Q875" s="114" t="s">
        <v>79</v>
      </c>
      <c r="R875" s="114"/>
      <c r="S875" s="212">
        <v>2294</v>
      </c>
      <c r="T875" s="82" t="s">
        <v>2987</v>
      </c>
      <c r="U875" s="212">
        <v>3</v>
      </c>
      <c r="V875" s="212">
        <v>3</v>
      </c>
      <c r="W875" s="212">
        <v>2400</v>
      </c>
      <c r="X875" s="114" t="s">
        <v>113</v>
      </c>
      <c r="Y875" s="124" t="s">
        <v>85</v>
      </c>
      <c r="Z875" s="115" t="s">
        <v>2294</v>
      </c>
      <c r="AA875" s="114" t="s">
        <v>87</v>
      </c>
      <c r="AB875" s="213">
        <v>6600</v>
      </c>
      <c r="AC875" s="122">
        <v>24304.86</v>
      </c>
      <c r="AD875" s="129">
        <f>AC875-AB875</f>
        <v>17704.86</v>
      </c>
      <c r="AE875" s="213">
        <v>308234.55</v>
      </c>
      <c r="AF875" s="232">
        <f>AB875/U875</f>
        <v>2200</v>
      </c>
      <c r="AG875" s="245">
        <f>AB875/V875</f>
        <v>2200</v>
      </c>
      <c r="AH875" s="233">
        <f>AB875/S875</f>
        <v>2.8770706190061031</v>
      </c>
      <c r="AI875" s="76">
        <v>1060</v>
      </c>
      <c r="AJ875" s="76" t="s">
        <v>2989</v>
      </c>
      <c r="AK875"/>
      <c r="AM875" s="80"/>
    </row>
    <row r="876" spans="1:39" ht="28.5" customHeight="1">
      <c r="A876" s="113" t="s">
        <v>73</v>
      </c>
      <c r="B876" s="114" t="s">
        <v>140</v>
      </c>
      <c r="C876" s="113" t="s">
        <v>227</v>
      </c>
      <c r="D876" s="124" t="s">
        <v>228</v>
      </c>
      <c r="E876" s="124" t="s">
        <v>141</v>
      </c>
      <c r="F876" s="124" t="s">
        <v>142</v>
      </c>
      <c r="G876" s="124" t="s">
        <v>3116</v>
      </c>
      <c r="H876" s="238">
        <v>46281</v>
      </c>
      <c r="I876" s="82" t="s">
        <v>79</v>
      </c>
      <c r="J876" s="151">
        <v>34913982</v>
      </c>
      <c r="K876" s="90">
        <v>46274</v>
      </c>
      <c r="L876" s="101" t="s">
        <v>81</v>
      </c>
      <c r="M876" s="209">
        <v>46275</v>
      </c>
      <c r="N876" s="211">
        <v>46280</v>
      </c>
      <c r="O876" s="206">
        <f>NETWORKDAYS.INTL(K876,N876,1,$AM$2:$AM$10)-1</f>
        <v>4</v>
      </c>
      <c r="P876" s="114" t="s">
        <v>81</v>
      </c>
      <c r="Q876" s="114" t="s">
        <v>79</v>
      </c>
      <c r="R876" s="114"/>
      <c r="S876" s="212">
        <v>326.10000000000002</v>
      </c>
      <c r="T876" s="114" t="s">
        <v>3117</v>
      </c>
      <c r="U876" s="212">
        <v>3</v>
      </c>
      <c r="V876" s="212">
        <v>62</v>
      </c>
      <c r="W876" s="212">
        <v>887</v>
      </c>
      <c r="X876" s="114" t="s">
        <v>84</v>
      </c>
      <c r="Y876" s="124" t="s">
        <v>85</v>
      </c>
      <c r="Z876" s="115" t="s">
        <v>2723</v>
      </c>
      <c r="AA876" s="114" t="s">
        <v>87</v>
      </c>
      <c r="AB876" s="213">
        <v>330.78</v>
      </c>
      <c r="AC876" s="122">
        <f>IF(C876="DENALI", AB876*0.495, IF(C876="SCHNEIDER ELECTRIC", AB876*1.136, IF(C876="WWT", AB876*1.2, AC876)))+AB876</f>
        <v>727.71599999999989</v>
      </c>
      <c r="AD876" s="129">
        <f>AC876-AB876</f>
        <v>396.93599999999992</v>
      </c>
      <c r="AE876" s="213">
        <v>230757.55</v>
      </c>
      <c r="AF876" s="232">
        <f>AB876/U876</f>
        <v>110.25999999999999</v>
      </c>
      <c r="AG876" s="245">
        <f>AB876/V876</f>
        <v>5.3351612903225805</v>
      </c>
      <c r="AH876" s="233">
        <f>AB876/S876</f>
        <v>1.0143514259429622</v>
      </c>
      <c r="AI876" s="76">
        <v>1172</v>
      </c>
      <c r="AJ876" s="76" t="s">
        <v>89</v>
      </c>
      <c r="AK876"/>
      <c r="AM876" s="80"/>
    </row>
    <row r="877" spans="1:39" ht="28.5" customHeight="1">
      <c r="A877" s="113" t="s">
        <v>73</v>
      </c>
      <c r="B877" s="114" t="s">
        <v>74</v>
      </c>
      <c r="C877" s="113" t="s">
        <v>35</v>
      </c>
      <c r="D877" s="124" t="s">
        <v>218</v>
      </c>
      <c r="E877" s="124" t="s">
        <v>1881</v>
      </c>
      <c r="F877" s="124" t="s">
        <v>218</v>
      </c>
      <c r="G877" s="124" t="s">
        <v>3118</v>
      </c>
      <c r="H877" s="238">
        <v>46281</v>
      </c>
      <c r="I877" s="82" t="s">
        <v>79</v>
      </c>
      <c r="J877" s="254">
        <v>5057002465</v>
      </c>
      <c r="K877" s="90">
        <v>46274</v>
      </c>
      <c r="L877" s="101" t="s">
        <v>81</v>
      </c>
      <c r="M877" s="209">
        <v>46275</v>
      </c>
      <c r="N877" s="211">
        <v>46276</v>
      </c>
      <c r="O877" s="206">
        <f>NETWORKDAYS.INTL(K877,N877,1,$AM$2:$AM$10)-1</f>
        <v>2</v>
      </c>
      <c r="P877" s="114" t="s">
        <v>81</v>
      </c>
      <c r="Q877" s="114" t="s">
        <v>79</v>
      </c>
      <c r="R877" s="114"/>
      <c r="S877" s="212">
        <v>149.80000000000001</v>
      </c>
      <c r="T877" s="114" t="s">
        <v>3119</v>
      </c>
      <c r="U877" s="212">
        <v>3</v>
      </c>
      <c r="V877" s="212">
        <v>1091</v>
      </c>
      <c r="W877" s="212">
        <v>1945</v>
      </c>
      <c r="X877" s="114" t="s">
        <v>84</v>
      </c>
      <c r="Y877" s="124" t="s">
        <v>85</v>
      </c>
      <c r="Z877" s="115" t="s">
        <v>222</v>
      </c>
      <c r="AA877" s="114" t="s">
        <v>87</v>
      </c>
      <c r="AB877" s="213">
        <v>247.63</v>
      </c>
      <c r="AC877" s="122">
        <f>IF(C877="DENALI", AB877*0.495, IF(C877="SCHNEIDER ELECTRIC", AB877*1.136, IF(C877="WWT", AB877*1.2, AC877)))+AB877</f>
        <v>370.20684999999997</v>
      </c>
      <c r="AD877" s="129">
        <f>AC877-AB877</f>
        <v>122.57684999999998</v>
      </c>
      <c r="AE877" s="213">
        <v>80162.36</v>
      </c>
      <c r="AF877" s="232">
        <f>AB877/U877</f>
        <v>82.543333333333337</v>
      </c>
      <c r="AG877" s="245">
        <f>AB877/V877</f>
        <v>0.22697525206232813</v>
      </c>
      <c r="AH877" s="233">
        <f>AB877/S877</f>
        <v>1.6530707610146862</v>
      </c>
      <c r="AI877" s="76">
        <v>1060</v>
      </c>
      <c r="AJ877" s="76" t="s">
        <v>343</v>
      </c>
      <c r="AK877"/>
      <c r="AM877" s="80"/>
    </row>
    <row r="878" spans="1:39" ht="28.5" customHeight="1">
      <c r="A878" s="113" t="s">
        <v>73</v>
      </c>
      <c r="B878" s="114" t="s">
        <v>74</v>
      </c>
      <c r="C878" s="113" t="s">
        <v>35</v>
      </c>
      <c r="D878" s="124" t="s">
        <v>218</v>
      </c>
      <c r="E878" s="124" t="s">
        <v>1552</v>
      </c>
      <c r="F878" s="124" t="s">
        <v>845</v>
      </c>
      <c r="G878" s="124" t="s">
        <v>3120</v>
      </c>
      <c r="H878" s="238">
        <v>46281</v>
      </c>
      <c r="I878" s="82" t="s">
        <v>79</v>
      </c>
      <c r="J878" s="151">
        <v>34913980</v>
      </c>
      <c r="K878" s="90">
        <v>46274</v>
      </c>
      <c r="L878" s="101" t="s">
        <v>81</v>
      </c>
      <c r="M878" s="209">
        <v>46276</v>
      </c>
      <c r="N878" s="211">
        <v>46276</v>
      </c>
      <c r="O878" s="206">
        <f>NETWORKDAYS.INTL(K878,N878,1,$AM$2:$AM$10)-1</f>
        <v>2</v>
      </c>
      <c r="P878" s="114" t="s">
        <v>81</v>
      </c>
      <c r="Q878" s="114" t="s">
        <v>79</v>
      </c>
      <c r="R878" s="114"/>
      <c r="S878" s="212">
        <v>636</v>
      </c>
      <c r="T878" s="114" t="s">
        <v>1555</v>
      </c>
      <c r="U878" s="212">
        <v>1</v>
      </c>
      <c r="V878" s="212">
        <v>120</v>
      </c>
      <c r="W878" s="212">
        <v>375</v>
      </c>
      <c r="X878" s="114" t="s">
        <v>84</v>
      </c>
      <c r="Y878" s="124" t="s">
        <v>85</v>
      </c>
      <c r="Z878" s="115" t="s">
        <v>2723</v>
      </c>
      <c r="AA878" s="114" t="s">
        <v>87</v>
      </c>
      <c r="AB878" s="213">
        <v>312.62</v>
      </c>
      <c r="AC878" s="122">
        <f>IF(C878="DENALI", AB878*0.495, IF(C878="SCHNEIDER ELECTRIC", AB878*1.136, IF(C878="WWT", AB878*1.2, AC878)))+AB878</f>
        <v>467.36689999999999</v>
      </c>
      <c r="AD878" s="129">
        <f>AC878-AB878</f>
        <v>154.74689999999998</v>
      </c>
      <c r="AE878" s="213">
        <v>13555.47</v>
      </c>
      <c r="AF878" s="232">
        <f>AB878/U878</f>
        <v>312.62</v>
      </c>
      <c r="AG878" s="245">
        <f>AB878/V878</f>
        <v>2.6051666666666669</v>
      </c>
      <c r="AH878" s="233">
        <f>AB878/S878</f>
        <v>0.49154088050314465</v>
      </c>
      <c r="AI878" s="76">
        <v>1289</v>
      </c>
      <c r="AJ878" s="76" t="s">
        <v>349</v>
      </c>
      <c r="AK878"/>
      <c r="AM878" s="80"/>
    </row>
    <row r="879" spans="1:39" ht="28.5" customHeight="1">
      <c r="A879" s="113" t="s">
        <v>73</v>
      </c>
      <c r="B879" s="114" t="s">
        <v>74</v>
      </c>
      <c r="C879" s="113" t="s">
        <v>36</v>
      </c>
      <c r="D879" s="124" t="s">
        <v>90</v>
      </c>
      <c r="E879" s="124" t="s">
        <v>3121</v>
      </c>
      <c r="F879" s="124" t="s">
        <v>90</v>
      </c>
      <c r="G879" s="124" t="s">
        <v>3122</v>
      </c>
      <c r="H879" s="238">
        <v>46281</v>
      </c>
      <c r="I879" s="82" t="s">
        <v>79</v>
      </c>
      <c r="J879" s="249">
        <v>557710683</v>
      </c>
      <c r="K879" s="90">
        <v>46273</v>
      </c>
      <c r="L879" s="101" t="s">
        <v>79</v>
      </c>
      <c r="M879" s="209">
        <v>46274</v>
      </c>
      <c r="N879" s="211">
        <v>46280</v>
      </c>
      <c r="O879" s="206">
        <f>NETWORKDAYS.INTL(K879,N879,1,$AM$2:$AM$10)-1</f>
        <v>5</v>
      </c>
      <c r="P879" s="114" t="s">
        <v>81</v>
      </c>
      <c r="Q879" s="114" t="s">
        <v>79</v>
      </c>
      <c r="R879" s="114"/>
      <c r="S879" s="212">
        <v>362</v>
      </c>
      <c r="T879" s="114" t="s">
        <v>2353</v>
      </c>
      <c r="U879" s="212">
        <v>1</v>
      </c>
      <c r="V879" s="212">
        <v>4</v>
      </c>
      <c r="W879" s="212">
        <v>348</v>
      </c>
      <c r="X879" s="114" t="s">
        <v>84</v>
      </c>
      <c r="Y879" s="124" t="s">
        <v>85</v>
      </c>
      <c r="Z879" s="175" t="s">
        <v>86</v>
      </c>
      <c r="AA879" s="114" t="s">
        <v>87</v>
      </c>
      <c r="AB879" s="213">
        <v>232.98</v>
      </c>
      <c r="AC879" s="122">
        <f>IF(C879="DENALI", AB879*0.495, IF(C879="SCHNEIDER ELECTRIC", AB879*1.136, IF(C879="WWT", AB879*1.2, AC879)))+AB879</f>
        <v>497.64527999999996</v>
      </c>
      <c r="AD879" s="129">
        <f>AC879-AB879</f>
        <v>264.66527999999994</v>
      </c>
      <c r="AE879" s="213">
        <v>6952.4</v>
      </c>
      <c r="AF879" s="232">
        <f>AB879/U879</f>
        <v>232.98</v>
      </c>
      <c r="AG879" s="245">
        <f>AB879/V879</f>
        <v>58.244999999999997</v>
      </c>
      <c r="AH879" s="233">
        <f>AB879/S879</f>
        <v>0.6435911602209945</v>
      </c>
      <c r="AI879" s="76">
        <v>1173</v>
      </c>
      <c r="AJ879" s="76" t="s">
        <v>2353</v>
      </c>
      <c r="AK879"/>
      <c r="AM879" s="80"/>
    </row>
    <row r="880" spans="1:39" ht="28.5" customHeight="1">
      <c r="A880" s="113" t="s">
        <v>73</v>
      </c>
      <c r="B880" s="114" t="s">
        <v>74</v>
      </c>
      <c r="C880" s="113" t="s">
        <v>35</v>
      </c>
      <c r="D880" s="124" t="s">
        <v>218</v>
      </c>
      <c r="E880" s="124" t="s">
        <v>2825</v>
      </c>
      <c r="F880" s="124" t="s">
        <v>131</v>
      </c>
      <c r="G880" s="124" t="s">
        <v>3123</v>
      </c>
      <c r="H880" s="238">
        <v>46281</v>
      </c>
      <c r="I880" s="82" t="s">
        <v>79</v>
      </c>
      <c r="J880" s="251">
        <v>557711011</v>
      </c>
      <c r="K880" s="90">
        <v>46274</v>
      </c>
      <c r="L880" s="101" t="s">
        <v>81</v>
      </c>
      <c r="M880" s="209">
        <v>46276</v>
      </c>
      <c r="N880" s="211">
        <v>46276</v>
      </c>
      <c r="O880" s="206">
        <f>NETWORKDAYS.INTL(K880,N880,1,$AM$2:$AM$10)-1</f>
        <v>2</v>
      </c>
      <c r="P880" s="114" t="s">
        <v>81</v>
      </c>
      <c r="Q880" s="114" t="s">
        <v>79</v>
      </c>
      <c r="R880" s="114"/>
      <c r="S880" s="212">
        <v>862.3</v>
      </c>
      <c r="T880" s="114" t="s">
        <v>3124</v>
      </c>
      <c r="U880" s="212">
        <v>1</v>
      </c>
      <c r="V880" s="212">
        <v>386</v>
      </c>
      <c r="W880" s="212">
        <v>585</v>
      </c>
      <c r="X880" s="114" t="s">
        <v>84</v>
      </c>
      <c r="Y880" s="124" t="s">
        <v>85</v>
      </c>
      <c r="Z880" s="175" t="s">
        <v>86</v>
      </c>
      <c r="AA880" s="114" t="s">
        <v>87</v>
      </c>
      <c r="AB880" s="213">
        <v>293.61</v>
      </c>
      <c r="AC880" s="122">
        <f>IF(C880="DENALI", AB880*0.495, IF(C880="SCHNEIDER ELECTRIC", AB880*1.136, IF(C880="WWT", AB880*1.2, AC880)))+AB880</f>
        <v>438.94695000000002</v>
      </c>
      <c r="AD880" s="129">
        <f>AC880-AB880</f>
        <v>145.33695</v>
      </c>
      <c r="AE880" s="213">
        <v>23696.3</v>
      </c>
      <c r="AF880" s="232">
        <f>AB880/U880</f>
        <v>293.61</v>
      </c>
      <c r="AG880" s="245">
        <f>AB880/V880</f>
        <v>0.76064766839378239</v>
      </c>
      <c r="AH880" s="233">
        <f>AB880/S880</f>
        <v>0.34049634697900966</v>
      </c>
      <c r="AI880" s="242">
        <v>5766</v>
      </c>
      <c r="AJ880" s="76" t="s">
        <v>2353</v>
      </c>
      <c r="AK880"/>
      <c r="AM880" s="80"/>
    </row>
    <row r="881" spans="1:39" ht="28.5" customHeight="1">
      <c r="A881" s="113" t="s">
        <v>73</v>
      </c>
      <c r="B881" s="114" t="s">
        <v>74</v>
      </c>
      <c r="C881" s="113" t="s">
        <v>35</v>
      </c>
      <c r="D881" s="124" t="s">
        <v>218</v>
      </c>
      <c r="E881" s="124" t="s">
        <v>498</v>
      </c>
      <c r="F881" s="124" t="s">
        <v>228</v>
      </c>
      <c r="G881" s="124" t="s">
        <v>3125</v>
      </c>
      <c r="H881" s="238">
        <v>46281</v>
      </c>
      <c r="I881" s="170" t="s">
        <v>79</v>
      </c>
      <c r="J881" s="151">
        <v>5057002456</v>
      </c>
      <c r="K881" s="165">
        <v>46274</v>
      </c>
      <c r="L881" s="101" t="s">
        <v>81</v>
      </c>
      <c r="M881" s="209">
        <v>46276</v>
      </c>
      <c r="N881" s="211">
        <v>46276</v>
      </c>
      <c r="O881" s="206">
        <f>NETWORKDAYS.INTL(K881,N881,1,$AM$2:$AM$10)-1</f>
        <v>2</v>
      </c>
      <c r="P881" s="114" t="s">
        <v>81</v>
      </c>
      <c r="Q881" s="114" t="s">
        <v>79</v>
      </c>
      <c r="R881" s="114"/>
      <c r="S881" s="212">
        <v>282</v>
      </c>
      <c r="T881" s="114" t="s">
        <v>1897</v>
      </c>
      <c r="U881" s="212">
        <v>2</v>
      </c>
      <c r="V881" s="212">
        <v>299</v>
      </c>
      <c r="W881" s="212">
        <v>1485</v>
      </c>
      <c r="X881" s="114" t="s">
        <v>84</v>
      </c>
      <c r="Y881" s="124" t="s">
        <v>85</v>
      </c>
      <c r="Z881" s="115" t="s">
        <v>3126</v>
      </c>
      <c r="AA881" s="114" t="s">
        <v>87</v>
      </c>
      <c r="AB881" s="213">
        <v>230.33</v>
      </c>
      <c r="AC881" s="122">
        <f>IF(C881="DENALI", AB881*0.495, IF(C881="SCHNEIDER ELECTRIC", AB881*1.136, IF(C881="WWT", AB881*1.2, AC881)))+AB881</f>
        <v>344.34334999999999</v>
      </c>
      <c r="AD881" s="129">
        <f>AC881-AB881</f>
        <v>114.01334999999997</v>
      </c>
      <c r="AE881" s="213">
        <v>180673.74</v>
      </c>
      <c r="AF881" s="232">
        <f>AB881/U881</f>
        <v>115.16500000000001</v>
      </c>
      <c r="AG881" s="245">
        <f>AB881/V881</f>
        <v>0.7703344481605352</v>
      </c>
      <c r="AH881" s="233">
        <f>AB881/S881</f>
        <v>0.8167730496453901</v>
      </c>
      <c r="AI881" s="76">
        <v>1290</v>
      </c>
      <c r="AJ881" s="76" t="s">
        <v>349</v>
      </c>
      <c r="AK881"/>
      <c r="AM881" s="80"/>
    </row>
    <row r="882" spans="1:39" ht="28.5" customHeight="1">
      <c r="A882" s="113" t="s">
        <v>73</v>
      </c>
      <c r="B882" s="114" t="s">
        <v>74</v>
      </c>
      <c r="C882" s="113" t="s">
        <v>35</v>
      </c>
      <c r="D882" s="124" t="s">
        <v>218</v>
      </c>
      <c r="E882" s="124" t="s">
        <v>657</v>
      </c>
      <c r="F882" s="124" t="s">
        <v>644</v>
      </c>
      <c r="G882" s="124" t="s">
        <v>3127</v>
      </c>
      <c r="H882" s="238">
        <v>46281</v>
      </c>
      <c r="I882" s="170" t="s">
        <v>79</v>
      </c>
      <c r="J882" s="151">
        <v>34913986</v>
      </c>
      <c r="K882" s="165">
        <v>46274</v>
      </c>
      <c r="L882" s="101" t="s">
        <v>81</v>
      </c>
      <c r="M882" s="209">
        <v>46275</v>
      </c>
      <c r="N882" s="211">
        <v>46276</v>
      </c>
      <c r="O882" s="206">
        <f>NETWORKDAYS.INTL(K882,N882,1,$AM$2:$AM$10)-1</f>
        <v>2</v>
      </c>
      <c r="P882" s="114" t="s">
        <v>81</v>
      </c>
      <c r="Q882" s="114" t="s">
        <v>79</v>
      </c>
      <c r="R882" s="114"/>
      <c r="S882" s="212">
        <v>321</v>
      </c>
      <c r="T882" s="114" t="s">
        <v>3128</v>
      </c>
      <c r="U882" s="212">
        <v>1</v>
      </c>
      <c r="V882" s="212">
        <v>16</v>
      </c>
      <c r="W882" s="212">
        <v>265</v>
      </c>
      <c r="X882" s="114" t="s">
        <v>84</v>
      </c>
      <c r="Y882" s="124" t="s">
        <v>85</v>
      </c>
      <c r="Z882" s="115" t="s">
        <v>2723</v>
      </c>
      <c r="AA882" s="114" t="s">
        <v>87</v>
      </c>
      <c r="AB882" s="213">
        <v>189.33</v>
      </c>
      <c r="AC882" s="122">
        <f>IF(C882="DENALI", AB882*0.495, IF(C882="SCHNEIDER ELECTRIC", AB882*1.136, IF(C882="WWT", AB882*1.2, AC882)))+AB882</f>
        <v>283.04835000000003</v>
      </c>
      <c r="AD882" s="129">
        <f>AC882-AB882</f>
        <v>93.718350000000015</v>
      </c>
      <c r="AE882" s="213">
        <v>126924.48</v>
      </c>
      <c r="AF882" s="232">
        <f>AB882/U882</f>
        <v>189.33</v>
      </c>
      <c r="AG882" s="245">
        <f>AB882/V882</f>
        <v>11.833125000000001</v>
      </c>
      <c r="AH882" s="233">
        <f>AB882/S882</f>
        <v>0.58981308411214961</v>
      </c>
      <c r="AI882" s="76">
        <v>1290</v>
      </c>
      <c r="AJ882" s="76" t="s">
        <v>349</v>
      </c>
      <c r="AK882"/>
      <c r="AM882" s="80"/>
    </row>
    <row r="883" spans="1:39" ht="28.5" customHeight="1">
      <c r="A883" s="113" t="s">
        <v>73</v>
      </c>
      <c r="B883" s="114" t="s">
        <v>74</v>
      </c>
      <c r="C883" s="113" t="s">
        <v>35</v>
      </c>
      <c r="D883" s="124" t="s">
        <v>218</v>
      </c>
      <c r="E883" s="124" t="s">
        <v>1086</v>
      </c>
      <c r="F883" s="124" t="s">
        <v>218</v>
      </c>
      <c r="G883" s="124" t="s">
        <v>3129</v>
      </c>
      <c r="H883" s="238">
        <v>46281</v>
      </c>
      <c r="I883" s="230" t="s">
        <v>79</v>
      </c>
      <c r="J883" s="251">
        <v>34913984</v>
      </c>
      <c r="K883" s="166">
        <v>46274</v>
      </c>
      <c r="L883" s="177" t="s">
        <v>81</v>
      </c>
      <c r="M883" s="209">
        <v>46276</v>
      </c>
      <c r="N883" s="211">
        <v>46275</v>
      </c>
      <c r="O883" s="206">
        <f>NETWORKDAYS.INTL(K883,N883,1,$AM$2:$AM$10)-1</f>
        <v>1</v>
      </c>
      <c r="P883" s="114" t="s">
        <v>81</v>
      </c>
      <c r="Q883" s="114" t="s">
        <v>79</v>
      </c>
      <c r="R883" s="114"/>
      <c r="S883" s="212">
        <v>123.7</v>
      </c>
      <c r="T883" s="114" t="s">
        <v>1539</v>
      </c>
      <c r="U883" s="212">
        <v>1</v>
      </c>
      <c r="V883" s="212">
        <v>341</v>
      </c>
      <c r="W883" s="212">
        <v>625</v>
      </c>
      <c r="X883" s="114" t="s">
        <v>84</v>
      </c>
      <c r="Y883" s="124" t="s">
        <v>85</v>
      </c>
      <c r="Z883" s="115" t="s">
        <v>2723</v>
      </c>
      <c r="AA883" s="114" t="s">
        <v>87</v>
      </c>
      <c r="AB883" s="213">
        <v>169.67</v>
      </c>
      <c r="AC883" s="122">
        <f>IF(C883="DENALI", AB883*0.495, IF(C883="SCHNEIDER ELECTRIC", AB883*1.136, IF(C883="WWT", AB883*1.2, AC883)))+AB883</f>
        <v>253.65664999999998</v>
      </c>
      <c r="AD883" s="129">
        <f>AC883-AB883</f>
        <v>83.986649999999997</v>
      </c>
      <c r="AE883" s="213">
        <v>200746.7</v>
      </c>
      <c r="AF883" s="232">
        <f>AB883/U883</f>
        <v>169.67</v>
      </c>
      <c r="AG883" s="245">
        <f>AB883/V883</f>
        <v>0.49756598240469202</v>
      </c>
      <c r="AH883" s="233">
        <f>AB883/S883</f>
        <v>1.3716248989490702</v>
      </c>
      <c r="AI883" s="244">
        <v>1290</v>
      </c>
      <c r="AJ883" s="76" t="s">
        <v>349</v>
      </c>
      <c r="AK883"/>
      <c r="AM883" s="80"/>
    </row>
    <row r="884" spans="1:39" ht="28.5" customHeight="1">
      <c r="A884" s="113" t="s">
        <v>73</v>
      </c>
      <c r="B884" s="114" t="s">
        <v>74</v>
      </c>
      <c r="C884" s="113" t="s">
        <v>35</v>
      </c>
      <c r="D884" s="124" t="s">
        <v>218</v>
      </c>
      <c r="E884" s="124" t="s">
        <v>3130</v>
      </c>
      <c r="F884" s="96" t="s">
        <v>2043</v>
      </c>
      <c r="G884" s="124" t="s">
        <v>3131</v>
      </c>
      <c r="H884" s="238">
        <v>46281</v>
      </c>
      <c r="I884" s="82" t="s">
        <v>79</v>
      </c>
      <c r="J884" s="151">
        <v>557712514</v>
      </c>
      <c r="K884" s="90">
        <v>46274</v>
      </c>
      <c r="L884" s="82" t="s">
        <v>81</v>
      </c>
      <c r="M884" s="250">
        <v>46281</v>
      </c>
      <c r="N884" s="211">
        <v>46289</v>
      </c>
      <c r="O884" s="206">
        <f>NETWORKDAYS.INTL(K884,N884,1,$AM$2:$AM$10)-1</f>
        <v>11</v>
      </c>
      <c r="P884" s="114" t="s">
        <v>79</v>
      </c>
      <c r="Q884" s="114" t="s">
        <v>79</v>
      </c>
      <c r="R884" s="114"/>
      <c r="S884" s="212">
        <v>2341.6</v>
      </c>
      <c r="T884" s="114" t="s">
        <v>3132</v>
      </c>
      <c r="U884" s="212">
        <v>1</v>
      </c>
      <c r="V884" s="212">
        <v>5</v>
      </c>
      <c r="W884" s="212">
        <v>635</v>
      </c>
      <c r="X884" s="114" t="s">
        <v>84</v>
      </c>
      <c r="Y884" s="124" t="s">
        <v>85</v>
      </c>
      <c r="Z884" s="175" t="s">
        <v>86</v>
      </c>
      <c r="AA884" s="114" t="s">
        <v>87</v>
      </c>
      <c r="AB884" s="213">
        <v>743.44</v>
      </c>
      <c r="AC884" s="122">
        <f>IF(C884="DENALI", AB884*0.495, IF(C884="SCHNEIDER ELECTRIC", AB884*1.136, IF(C884="WWT", AB884*1.2, AC884)))+AB884</f>
        <v>1111.4428</v>
      </c>
      <c r="AD884" s="129">
        <f>AC884-AB884</f>
        <v>368.00279999999998</v>
      </c>
      <c r="AE884" s="213">
        <v>12323.06</v>
      </c>
      <c r="AF884" s="232">
        <f>AB884/U884</f>
        <v>743.44</v>
      </c>
      <c r="AG884" s="245">
        <f>AB884/V884</f>
        <v>148.68800000000002</v>
      </c>
      <c r="AH884" s="233">
        <f>AB884/S884</f>
        <v>0.3174923129484114</v>
      </c>
      <c r="AI884" s="76">
        <v>1172</v>
      </c>
      <c r="AJ884" s="76" t="s">
        <v>89</v>
      </c>
      <c r="AK884"/>
      <c r="AM884" s="80"/>
    </row>
    <row r="885" spans="1:39" ht="28.5" customHeight="1">
      <c r="A885" s="113" t="s">
        <v>73</v>
      </c>
      <c r="B885" s="114" t="s">
        <v>74</v>
      </c>
      <c r="C885" s="113" t="s">
        <v>35</v>
      </c>
      <c r="D885" s="124" t="s">
        <v>99</v>
      </c>
      <c r="E885" s="124" t="s">
        <v>498</v>
      </c>
      <c r="F885" s="124" t="s">
        <v>228</v>
      </c>
      <c r="G885" s="124">
        <v>24083963</v>
      </c>
      <c r="H885" s="238">
        <v>46281</v>
      </c>
      <c r="I885" s="82" t="s">
        <v>79</v>
      </c>
      <c r="J885" s="151">
        <v>24083963</v>
      </c>
      <c r="K885" s="90">
        <v>46274</v>
      </c>
      <c r="L885" s="82" t="s">
        <v>81</v>
      </c>
      <c r="M885" s="250">
        <v>46276</v>
      </c>
      <c r="N885" s="211">
        <v>46279</v>
      </c>
      <c r="O885" s="206">
        <f>NETWORKDAYS.INTL(K885,N885,1,$AM$2:$AM$10)-1</f>
        <v>3</v>
      </c>
      <c r="P885" s="114" t="s">
        <v>81</v>
      </c>
      <c r="Q885" s="114" t="s">
        <v>79</v>
      </c>
      <c r="R885" s="114"/>
      <c r="S885" s="212">
        <v>2090.3000000000002</v>
      </c>
      <c r="T885" s="114" t="s">
        <v>3133</v>
      </c>
      <c r="U885" s="212">
        <v>1</v>
      </c>
      <c r="V885" s="212">
        <v>1</v>
      </c>
      <c r="W885" s="212">
        <v>860</v>
      </c>
      <c r="X885" s="114" t="s">
        <v>113</v>
      </c>
      <c r="Y885" s="124" t="s">
        <v>85</v>
      </c>
      <c r="Z885" s="115" t="s">
        <v>3134</v>
      </c>
      <c r="AA885" s="114" t="s">
        <v>87</v>
      </c>
      <c r="AB885" s="213">
        <v>3992.85</v>
      </c>
      <c r="AC885" s="122">
        <f>IF(C885="DENALI", AB885*0.495, IF(C885="SCHNEIDER ELECTRIC", AB885*1.136, IF(C885="WWT", AB885*1.2, AC885)))+AB885</f>
        <v>5969.3107499999996</v>
      </c>
      <c r="AD885" s="129">
        <f>AC885-AB885</f>
        <v>1976.4607499999997</v>
      </c>
      <c r="AE885" s="213">
        <v>12523.53</v>
      </c>
      <c r="AF885" s="232">
        <f>AB885/U885</f>
        <v>3992.85</v>
      </c>
      <c r="AG885" s="232">
        <f>AB885/V885</f>
        <v>3992.85</v>
      </c>
      <c r="AH885" s="247">
        <f>AB885/S885</f>
        <v>1.9101803568865712</v>
      </c>
      <c r="AI885" s="154">
        <v>1290</v>
      </c>
      <c r="AJ885" s="154" t="s">
        <v>349</v>
      </c>
      <c r="AK885"/>
      <c r="AM885" s="80"/>
    </row>
    <row r="886" spans="1:39" ht="28.5" customHeight="1">
      <c r="A886" s="113" t="s">
        <v>73</v>
      </c>
      <c r="B886" s="114" t="s">
        <v>140</v>
      </c>
      <c r="C886" s="113" t="s">
        <v>227</v>
      </c>
      <c r="D886" s="124" t="s">
        <v>228</v>
      </c>
      <c r="E886" s="124" t="s">
        <v>141</v>
      </c>
      <c r="F886" s="124" t="s">
        <v>142</v>
      </c>
      <c r="G886" s="124" t="s">
        <v>3135</v>
      </c>
      <c r="H886" s="238">
        <v>46282</v>
      </c>
      <c r="I886" s="82" t="s">
        <v>79</v>
      </c>
      <c r="J886" s="151">
        <v>34914009</v>
      </c>
      <c r="K886" s="90">
        <v>46275</v>
      </c>
      <c r="L886" s="82" t="s">
        <v>81</v>
      </c>
      <c r="M886" s="250">
        <v>46276</v>
      </c>
      <c r="N886" s="211">
        <v>46280</v>
      </c>
      <c r="O886" s="206">
        <f>NETWORKDAYS.INTL(K886,N886,1,$AM$2:$AM$10)-1</f>
        <v>3</v>
      </c>
      <c r="P886" s="114" t="s">
        <v>81</v>
      </c>
      <c r="Q886" s="114" t="s">
        <v>79</v>
      </c>
      <c r="R886" s="114"/>
      <c r="S886" s="212">
        <v>327</v>
      </c>
      <c r="T886" s="114" t="s">
        <v>3136</v>
      </c>
      <c r="U886" s="212">
        <v>3</v>
      </c>
      <c r="V886" s="212">
        <v>64</v>
      </c>
      <c r="W886" s="212">
        <v>1087</v>
      </c>
      <c r="X886" s="114" t="s">
        <v>84</v>
      </c>
      <c r="Y886" s="124" t="s">
        <v>85</v>
      </c>
      <c r="Z886" s="115" t="s">
        <v>2723</v>
      </c>
      <c r="AA886" s="114" t="s">
        <v>87</v>
      </c>
      <c r="AB886" s="213">
        <v>372.38</v>
      </c>
      <c r="AC886" s="122">
        <f>IF(C886="DENALI", AB886*0.495, IF(C886="SCHNEIDER ELECTRIC", AB886*1.136, IF(C886="WWT", AB886*1.2, AC886)))+AB886</f>
        <v>819.23599999999999</v>
      </c>
      <c r="AD886" s="129">
        <f>AC886-AB886</f>
        <v>446.85599999999999</v>
      </c>
      <c r="AE886" s="213">
        <v>17901.849999999999</v>
      </c>
      <c r="AF886" s="232">
        <f>AB886/U886</f>
        <v>124.12666666666667</v>
      </c>
      <c r="AG886" s="232">
        <f>AB886/V886</f>
        <v>5.8184374999999999</v>
      </c>
      <c r="AH886" s="247">
        <f>AB886/S886</f>
        <v>1.1387767584097859</v>
      </c>
      <c r="AI886" s="124">
        <v>1172</v>
      </c>
      <c r="AJ886" s="154" t="s">
        <v>89</v>
      </c>
      <c r="AK886"/>
      <c r="AM886" s="80"/>
    </row>
    <row r="887" spans="1:39" ht="28.5" customHeight="1">
      <c r="A887" s="113" t="s">
        <v>73</v>
      </c>
      <c r="B887" s="114" t="s">
        <v>74</v>
      </c>
      <c r="C887" s="113" t="s">
        <v>35</v>
      </c>
      <c r="D887" s="124" t="s">
        <v>218</v>
      </c>
      <c r="E887" s="124" t="s">
        <v>3137</v>
      </c>
      <c r="F887" s="124" t="s">
        <v>218</v>
      </c>
      <c r="G887" s="124" t="s">
        <v>3138</v>
      </c>
      <c r="H887" s="238">
        <v>46283</v>
      </c>
      <c r="I887" s="82" t="s">
        <v>79</v>
      </c>
      <c r="J887" s="254">
        <v>59739013205</v>
      </c>
      <c r="K887" s="90">
        <v>46275</v>
      </c>
      <c r="L887" s="82" t="s">
        <v>81</v>
      </c>
      <c r="M887" s="250">
        <v>46276</v>
      </c>
      <c r="N887" s="211">
        <v>46276</v>
      </c>
      <c r="O887" s="206">
        <f>NETWORKDAYS.INTL(K887,N887,1,$AM$2:$AM$10)-1</f>
        <v>1</v>
      </c>
      <c r="P887" s="114" t="s">
        <v>81</v>
      </c>
      <c r="Q887" s="114" t="s">
        <v>79</v>
      </c>
      <c r="R887" s="114"/>
      <c r="S887" s="212">
        <v>139</v>
      </c>
      <c r="T887" s="114" t="s">
        <v>3139</v>
      </c>
      <c r="U887" s="212">
        <v>1</v>
      </c>
      <c r="V887" s="212">
        <v>21</v>
      </c>
      <c r="W887" s="212">
        <v>430</v>
      </c>
      <c r="X887" s="114" t="s">
        <v>84</v>
      </c>
      <c r="Y887" s="124" t="s">
        <v>85</v>
      </c>
      <c r="Z887" s="115" t="s">
        <v>3140</v>
      </c>
      <c r="AA887" s="114" t="s">
        <v>87</v>
      </c>
      <c r="AB887" s="213">
        <v>264.79000000000002</v>
      </c>
      <c r="AC887" s="122">
        <f>IF(C887="DENALI", AB887*0.495, IF(C887="SCHNEIDER ELECTRIC", AB887*1.136, IF(C887="WWT", AB887*1.2, AC887)))+AB887</f>
        <v>395.86105000000003</v>
      </c>
      <c r="AD887" s="129">
        <f>AC887-AB887</f>
        <v>131.07105000000001</v>
      </c>
      <c r="AE887" s="213">
        <v>40516.14</v>
      </c>
      <c r="AF887" s="232">
        <f>AB887/U887</f>
        <v>264.79000000000002</v>
      </c>
      <c r="AG887" s="232">
        <f>AB887/V887</f>
        <v>12.609047619047621</v>
      </c>
      <c r="AH887" s="247">
        <f>AB887/S887</f>
        <v>1.9049640287769785</v>
      </c>
      <c r="AI887" s="124">
        <v>1290</v>
      </c>
      <c r="AJ887" s="124" t="s">
        <v>349</v>
      </c>
      <c r="AK887"/>
      <c r="AM887" s="80"/>
    </row>
    <row r="888" spans="1:39" ht="28.5" customHeight="1">
      <c r="A888" s="113" t="s">
        <v>73</v>
      </c>
      <c r="B888" s="114" t="s">
        <v>74</v>
      </c>
      <c r="C888" s="113" t="s">
        <v>35</v>
      </c>
      <c r="D888" s="237" t="s">
        <v>218</v>
      </c>
      <c r="E888" s="237" t="s">
        <v>736</v>
      </c>
      <c r="F888" s="237" t="s">
        <v>109</v>
      </c>
      <c r="G888" s="237" t="s">
        <v>3141</v>
      </c>
      <c r="H888" s="256">
        <v>46283</v>
      </c>
      <c r="I888" s="93" t="s">
        <v>79</v>
      </c>
      <c r="J888" s="162">
        <v>557716574</v>
      </c>
      <c r="K888" s="94">
        <v>46275</v>
      </c>
      <c r="L888" s="93" t="s">
        <v>81</v>
      </c>
      <c r="M888" s="257">
        <v>46280</v>
      </c>
      <c r="N888" s="211">
        <v>46280</v>
      </c>
      <c r="O888" s="206">
        <f>NETWORKDAYS.INTL(K888,N888,1,$AM$2:$AM$10)-1</f>
        <v>3</v>
      </c>
      <c r="P888" s="114" t="s">
        <v>81</v>
      </c>
      <c r="Q888" s="114" t="s">
        <v>79</v>
      </c>
      <c r="R888" s="114"/>
      <c r="S888" s="212">
        <v>1250</v>
      </c>
      <c r="T888" s="114" t="s">
        <v>3142</v>
      </c>
      <c r="U888" s="212">
        <v>1</v>
      </c>
      <c r="V888" s="212">
        <v>890</v>
      </c>
      <c r="W888" s="212">
        <v>590</v>
      </c>
      <c r="X888" s="114" t="s">
        <v>84</v>
      </c>
      <c r="Y888" s="124" t="s">
        <v>85</v>
      </c>
      <c r="Z888" s="175" t="s">
        <v>86</v>
      </c>
      <c r="AA888" s="114" t="s">
        <v>87</v>
      </c>
      <c r="AB888" s="213">
        <v>360.04</v>
      </c>
      <c r="AC888" s="122">
        <f>IF(C888="DENALI", AB888*0.495, IF(C888="SCHNEIDER ELECTRIC", AB888*1.136, IF(C888="WWT", AB888*1.2, AC888)))+AB888</f>
        <v>538.25980000000004</v>
      </c>
      <c r="AD888" s="129">
        <f>AC888-AB888</f>
        <v>178.21980000000002</v>
      </c>
      <c r="AE888" s="213">
        <v>15913.2</v>
      </c>
      <c r="AF888" s="232">
        <f>AB888/U888</f>
        <v>360.04</v>
      </c>
      <c r="AG888" s="232">
        <f>AB888/V888</f>
        <v>0.40453932584269664</v>
      </c>
      <c r="AH888" s="247">
        <f>AB888/S888</f>
        <v>0.28803200000000001</v>
      </c>
      <c r="AI888" s="124">
        <v>1290</v>
      </c>
      <c r="AJ888" s="124" t="s">
        <v>349</v>
      </c>
      <c r="AK888"/>
      <c r="AM888" s="80"/>
    </row>
    <row r="889" spans="1:39" ht="28.5" customHeight="1">
      <c r="A889" s="113" t="s">
        <v>73</v>
      </c>
      <c r="B889" s="114" t="s">
        <v>74</v>
      </c>
      <c r="C889" s="160" t="s">
        <v>35</v>
      </c>
      <c r="D889" s="76" t="s">
        <v>218</v>
      </c>
      <c r="E889" s="76" t="s">
        <v>3143</v>
      </c>
      <c r="F889" s="76" t="s">
        <v>207</v>
      </c>
      <c r="G889" s="76" t="s">
        <v>3144</v>
      </c>
      <c r="H889" s="94">
        <v>46283</v>
      </c>
      <c r="I889" s="93" t="s">
        <v>79</v>
      </c>
      <c r="J889" s="162">
        <v>5057002551</v>
      </c>
      <c r="K889" s="94">
        <v>46275</v>
      </c>
      <c r="L889" s="93" t="s">
        <v>79</v>
      </c>
      <c r="M889" s="94">
        <v>46276</v>
      </c>
      <c r="N889" s="255">
        <v>46279</v>
      </c>
      <c r="O889" s="206">
        <f>NETWORKDAYS.INTL(K889,N889,1,$AM$2:$AM$10)-1</f>
        <v>2</v>
      </c>
      <c r="P889" s="114" t="s">
        <v>81</v>
      </c>
      <c r="Q889" s="114" t="s">
        <v>79</v>
      </c>
      <c r="R889" s="114" t="s">
        <v>3100</v>
      </c>
      <c r="S889" s="212">
        <v>190</v>
      </c>
      <c r="T889" s="114" t="s">
        <v>3145</v>
      </c>
      <c r="U889" s="212">
        <v>1</v>
      </c>
      <c r="V889" s="212">
        <v>20</v>
      </c>
      <c r="W889" s="212">
        <v>410</v>
      </c>
      <c r="X889" s="114" t="s">
        <v>84</v>
      </c>
      <c r="Y889" s="124" t="s">
        <v>85</v>
      </c>
      <c r="Z889" s="115" t="s">
        <v>2312</v>
      </c>
      <c r="AA889" s="114" t="s">
        <v>87</v>
      </c>
      <c r="AB889" s="213">
        <v>181.67</v>
      </c>
      <c r="AC889" s="122">
        <f>IF(C889="DENALI", AB889*0.495, IF(C889="SCHNEIDER ELECTRIC", AB889*1.136, IF(C889="WWT", AB889*1.2, AC889)))+AB889</f>
        <v>271.59664999999995</v>
      </c>
      <c r="AD889" s="129">
        <f>AC889-AB889</f>
        <v>89.926649999999967</v>
      </c>
      <c r="AE889" s="213">
        <v>38586.800000000003</v>
      </c>
      <c r="AF889" s="232">
        <f>AB889/U889</f>
        <v>181.67</v>
      </c>
      <c r="AG889" s="232">
        <f>AB889/V889</f>
        <v>9.083499999999999</v>
      </c>
      <c r="AH889" s="247">
        <f>AB889/S889</f>
        <v>0.95615789473684198</v>
      </c>
      <c r="AI889" s="124">
        <v>1347</v>
      </c>
      <c r="AJ889" s="124" t="s">
        <v>2057</v>
      </c>
      <c r="AK889"/>
      <c r="AM889" s="80"/>
    </row>
    <row r="890" spans="1:39" ht="28.5" customHeight="1">
      <c r="A890" s="113" t="s">
        <v>73</v>
      </c>
      <c r="B890" s="114" t="s">
        <v>74</v>
      </c>
      <c r="C890" s="160" t="s">
        <v>227</v>
      </c>
      <c r="D890" s="76" t="s">
        <v>228</v>
      </c>
      <c r="E890" s="76" t="s">
        <v>141</v>
      </c>
      <c r="F890" s="76" t="s">
        <v>142</v>
      </c>
      <c r="G890" s="96" t="s">
        <v>3146</v>
      </c>
      <c r="H890" s="90">
        <v>46283</v>
      </c>
      <c r="I890" s="93" t="s">
        <v>79</v>
      </c>
      <c r="J890" s="162">
        <v>828824997</v>
      </c>
      <c r="K890" s="94">
        <v>46276</v>
      </c>
      <c r="L890" s="93" t="s">
        <v>81</v>
      </c>
      <c r="M890" s="90">
        <v>46279</v>
      </c>
      <c r="N890" s="255">
        <v>46280</v>
      </c>
      <c r="O890" s="206">
        <f>NETWORKDAYS.INTL(K890,N890,1,$AM$2:$AM$10)-1</f>
        <v>2</v>
      </c>
      <c r="P890" s="114" t="s">
        <v>81</v>
      </c>
      <c r="Q890" s="114" t="s">
        <v>79</v>
      </c>
      <c r="R890" s="114"/>
      <c r="S890" s="212">
        <v>326</v>
      </c>
      <c r="T890" s="114" t="s">
        <v>3147</v>
      </c>
      <c r="U890" s="212">
        <v>1</v>
      </c>
      <c r="V890" s="212">
        <v>1</v>
      </c>
      <c r="W890" s="212">
        <v>895</v>
      </c>
      <c r="X890" s="114" t="s">
        <v>84</v>
      </c>
      <c r="Y890" s="124" t="s">
        <v>85</v>
      </c>
      <c r="Z890" s="115" t="s">
        <v>2723</v>
      </c>
      <c r="AA890" s="114" t="s">
        <v>87</v>
      </c>
      <c r="AB890" s="213">
        <v>243.22</v>
      </c>
      <c r="AC890" s="122">
        <f>IF(C890="DENALI", AB890*0.495, IF(C890="SCHNEIDER ELECTRIC", AB890*1.136, IF(C890="WWT", AB890*1.2, AC890)))+AB890</f>
        <v>535.08399999999995</v>
      </c>
      <c r="AD890" s="129">
        <f>AC890-AB890</f>
        <v>291.86399999999992</v>
      </c>
      <c r="AE890" s="213">
        <v>370794.75</v>
      </c>
      <c r="AF890" s="232">
        <f>AB890/U890</f>
        <v>243.22</v>
      </c>
      <c r="AG890" s="232">
        <f>AB890/V890</f>
        <v>243.22</v>
      </c>
      <c r="AH890" s="247">
        <f>AB890/S890</f>
        <v>0.74607361963190189</v>
      </c>
      <c r="AI890" s="124">
        <v>1172</v>
      </c>
      <c r="AJ890" s="124" t="s">
        <v>89</v>
      </c>
      <c r="AK890"/>
      <c r="AM890" s="80"/>
    </row>
    <row r="891" spans="1:39" ht="28.5" customHeight="1">
      <c r="A891" s="113" t="s">
        <v>73</v>
      </c>
      <c r="B891" s="114" t="s">
        <v>74</v>
      </c>
      <c r="C891" s="160" t="s">
        <v>35</v>
      </c>
      <c r="D891" s="76" t="s">
        <v>218</v>
      </c>
      <c r="E891" s="76" t="s">
        <v>201</v>
      </c>
      <c r="F891" s="76" t="s">
        <v>99</v>
      </c>
      <c r="G891" s="96" t="s">
        <v>3148</v>
      </c>
      <c r="H891" s="164">
        <v>46286</v>
      </c>
      <c r="I891" s="82" t="s">
        <v>79</v>
      </c>
      <c r="J891" s="151">
        <v>557717635</v>
      </c>
      <c r="K891" s="90">
        <v>46276</v>
      </c>
      <c r="L891" s="82" t="s">
        <v>81</v>
      </c>
      <c r="M891" s="165">
        <v>46282</v>
      </c>
      <c r="N891" s="261">
        <v>46281</v>
      </c>
      <c r="O891" s="206">
        <f>NETWORKDAYS.INTL(K891,N891,1,$AM$2:$AM$10)-1</f>
        <v>3</v>
      </c>
      <c r="P891" s="114" t="s">
        <v>81</v>
      </c>
      <c r="Q891" s="114" t="s">
        <v>79</v>
      </c>
      <c r="R891" s="114"/>
      <c r="S891" s="212">
        <v>2235</v>
      </c>
      <c r="T891" s="114" t="s">
        <v>3149</v>
      </c>
      <c r="U891" s="212">
        <v>2</v>
      </c>
      <c r="V891" s="212">
        <v>115</v>
      </c>
      <c r="W891" s="212">
        <v>190</v>
      </c>
      <c r="X891" s="114" t="s">
        <v>84</v>
      </c>
      <c r="Y891" s="124" t="s">
        <v>85</v>
      </c>
      <c r="Z891" s="175" t="s">
        <v>86</v>
      </c>
      <c r="AA891" s="114" t="s">
        <v>87</v>
      </c>
      <c r="AB891" s="213">
        <v>415.83</v>
      </c>
      <c r="AC891" s="122">
        <f>IF(C891="DENALI", AB891*0.495, IF(C891="SCHNEIDER ELECTRIC", AB891*1.136, IF(C891="WWT", AB891*1.2, AC891)))+AB891</f>
        <v>621.66584999999998</v>
      </c>
      <c r="AD891" s="129">
        <f>AC891-AB891</f>
        <v>205.83584999999999</v>
      </c>
      <c r="AE891" s="281">
        <v>33756.559999999998</v>
      </c>
      <c r="AF891" s="232">
        <f>AB891/U891</f>
        <v>207.91499999999999</v>
      </c>
      <c r="AG891" s="232">
        <f>AB891/V891</f>
        <v>3.6159130434782609</v>
      </c>
      <c r="AH891" s="247">
        <f>AB891/S891</f>
        <v>0.18605369127516777</v>
      </c>
      <c r="AI891" s="124">
        <v>1060</v>
      </c>
      <c r="AJ891" s="124" t="s">
        <v>343</v>
      </c>
      <c r="AK891"/>
      <c r="AM891" s="80"/>
    </row>
    <row r="892" spans="1:39" ht="28.5" customHeight="1">
      <c r="A892" s="113" t="s">
        <v>73</v>
      </c>
      <c r="B892" s="114" t="s">
        <v>74</v>
      </c>
      <c r="C892" s="160" t="s">
        <v>35</v>
      </c>
      <c r="D892" s="76" t="s">
        <v>218</v>
      </c>
      <c r="E892" s="76" t="s">
        <v>1822</v>
      </c>
      <c r="F892" s="76" t="s">
        <v>142</v>
      </c>
      <c r="G892" s="96">
        <v>24106092</v>
      </c>
      <c r="H892" s="164">
        <v>46286</v>
      </c>
      <c r="I892" s="82" t="s">
        <v>81</v>
      </c>
      <c r="J892" s="151">
        <v>24106092</v>
      </c>
      <c r="K892" s="90">
        <v>46276</v>
      </c>
      <c r="L892" s="82" t="s">
        <v>81</v>
      </c>
      <c r="M892" s="262">
        <v>46279</v>
      </c>
      <c r="N892" s="131">
        <v>46279</v>
      </c>
      <c r="O892" s="216">
        <f>NETWORKDAYS.INTL(K892,N892,1,$AM$2:$AM$10)-1</f>
        <v>1</v>
      </c>
      <c r="P892" s="101" t="s">
        <v>81</v>
      </c>
      <c r="Q892" s="114" t="s">
        <v>79</v>
      </c>
      <c r="R892" s="114"/>
      <c r="S892" s="212">
        <v>470</v>
      </c>
      <c r="T892" s="114" t="s">
        <v>3150</v>
      </c>
      <c r="U892" s="212">
        <v>1</v>
      </c>
      <c r="V892" s="212">
        <v>1</v>
      </c>
      <c r="W892" s="212">
        <v>365</v>
      </c>
      <c r="X892" s="114" t="s">
        <v>113</v>
      </c>
      <c r="Y892" s="124" t="s">
        <v>85</v>
      </c>
      <c r="Z892" s="115" t="s">
        <v>3151</v>
      </c>
      <c r="AA892" s="114" t="s">
        <v>87</v>
      </c>
      <c r="AB892" s="281">
        <v>1956.34</v>
      </c>
      <c r="AC892" s="122">
        <f>IF(C892="DENALI", AB892*0.495, IF(C892="SCHNEIDER ELECTRIC", AB892*1.136, IF(C892="WWT", AB892*1.2, AC892)))+AB892</f>
        <v>2924.7282999999998</v>
      </c>
      <c r="AD892" s="129">
        <f>AC892-AB892</f>
        <v>968.38829999999984</v>
      </c>
      <c r="AE892" s="213">
        <v>885.84</v>
      </c>
      <c r="AF892" s="232">
        <f>AB892/U892</f>
        <v>1956.34</v>
      </c>
      <c r="AG892" s="232">
        <f>AB892/V892</f>
        <v>1956.34</v>
      </c>
      <c r="AH892" s="247">
        <f>AB892/S892</f>
        <v>4.1624255319148933</v>
      </c>
      <c r="AI892" s="124">
        <v>1172</v>
      </c>
      <c r="AJ892" s="124" t="s">
        <v>89</v>
      </c>
      <c r="AK892"/>
      <c r="AM892" s="80"/>
    </row>
    <row r="893" spans="1:39" ht="28.5" customHeight="1">
      <c r="A893" s="113" t="s">
        <v>73</v>
      </c>
      <c r="B893" s="114" t="s">
        <v>74</v>
      </c>
      <c r="C893" s="160" t="s">
        <v>36</v>
      </c>
      <c r="D893" s="76" t="s">
        <v>90</v>
      </c>
      <c r="E893" s="76" t="s">
        <v>589</v>
      </c>
      <c r="F893" s="76" t="s">
        <v>292</v>
      </c>
      <c r="G893" s="96" t="s">
        <v>3152</v>
      </c>
      <c r="H893" s="164">
        <v>46286</v>
      </c>
      <c r="I893" s="82" t="s">
        <v>79</v>
      </c>
      <c r="J893" s="151">
        <v>557718560</v>
      </c>
      <c r="K893" s="90">
        <v>46276</v>
      </c>
      <c r="L893" s="82" t="s">
        <v>79</v>
      </c>
      <c r="M893" s="262">
        <v>46280</v>
      </c>
      <c r="N893" s="131">
        <v>46282</v>
      </c>
      <c r="O893" s="216">
        <f>NETWORKDAYS.INTL(K893,N893,1,$AM$2:$AM$10)-1</f>
        <v>4</v>
      </c>
      <c r="P893" s="101" t="s">
        <v>81</v>
      </c>
      <c r="Q893" s="114" t="s">
        <v>79</v>
      </c>
      <c r="R893" s="114" t="s">
        <v>3100</v>
      </c>
      <c r="S893" s="212">
        <v>1004</v>
      </c>
      <c r="T893" s="114" t="s">
        <v>3153</v>
      </c>
      <c r="U893" s="212">
        <v>1</v>
      </c>
      <c r="V893" s="212">
        <v>10</v>
      </c>
      <c r="W893" s="212">
        <v>810</v>
      </c>
      <c r="X893" s="114" t="s">
        <v>84</v>
      </c>
      <c r="Y893" s="124" t="s">
        <v>85</v>
      </c>
      <c r="Z893" s="175" t="s">
        <v>86</v>
      </c>
      <c r="AA893" s="114" t="s">
        <v>87</v>
      </c>
      <c r="AB893" s="213">
        <v>311.58</v>
      </c>
      <c r="AC893" s="122">
        <f>IF(C893="DENALI", AB893*0.495, IF(C893="SCHNEIDER ELECTRIC", AB893*1.136, IF(C893="WWT", AB893*1.2, AC893)))+AB893</f>
        <v>665.53487999999993</v>
      </c>
      <c r="AD893" s="129">
        <f>AC893-AB893</f>
        <v>353.95487999999995</v>
      </c>
      <c r="AE893" s="213">
        <v>4966</v>
      </c>
      <c r="AF893" s="232">
        <f>AB893/U893</f>
        <v>311.58</v>
      </c>
      <c r="AG893" s="232">
        <f>AB893/V893</f>
        <v>31.157999999999998</v>
      </c>
      <c r="AH893" s="247">
        <f>AB893/S893</f>
        <v>0.31033864541832668</v>
      </c>
      <c r="AI893" s="124">
        <v>1290</v>
      </c>
      <c r="AJ893" s="124" t="s">
        <v>2267</v>
      </c>
      <c r="AK893"/>
      <c r="AM893" s="80"/>
    </row>
    <row r="894" spans="1:39" ht="28.5" customHeight="1">
      <c r="A894" s="113" t="s">
        <v>73</v>
      </c>
      <c r="B894" s="114" t="s">
        <v>74</v>
      </c>
      <c r="C894" s="113" t="s">
        <v>3069</v>
      </c>
      <c r="D894" s="76" t="s">
        <v>90</v>
      </c>
      <c r="E894" s="78" t="s">
        <v>1086</v>
      </c>
      <c r="F894" s="96" t="s">
        <v>218</v>
      </c>
      <c r="G894" s="260">
        <v>24098358</v>
      </c>
      <c r="H894" s="164">
        <v>46282</v>
      </c>
      <c r="I894" s="93" t="s">
        <v>81</v>
      </c>
      <c r="J894" s="162">
        <v>24098358</v>
      </c>
      <c r="K894" s="94">
        <v>46279</v>
      </c>
      <c r="L894" s="93" t="s">
        <v>81</v>
      </c>
      <c r="M894" s="265">
        <v>46279</v>
      </c>
      <c r="N894" s="131">
        <v>46279</v>
      </c>
      <c r="O894" s="216">
        <f>NETWORKDAYS.INTL(K894,N894,1,$AM$2:$AM$10)-1</f>
        <v>0</v>
      </c>
      <c r="P894" s="101" t="s">
        <v>81</v>
      </c>
      <c r="Q894" s="114" t="s">
        <v>79</v>
      </c>
      <c r="R894" s="114"/>
      <c r="S894" s="212">
        <v>2306</v>
      </c>
      <c r="T894" s="114" t="s">
        <v>2985</v>
      </c>
      <c r="U894" s="212">
        <v>2</v>
      </c>
      <c r="V894" s="212">
        <v>194</v>
      </c>
      <c r="W894" s="212">
        <v>1585</v>
      </c>
      <c r="X894" s="167" t="s">
        <v>113</v>
      </c>
      <c r="Y894" s="76" t="s">
        <v>85</v>
      </c>
      <c r="Z894" s="101" t="s">
        <v>3154</v>
      </c>
      <c r="AA894" s="114" t="s">
        <v>87</v>
      </c>
      <c r="AB894" s="213">
        <v>5100</v>
      </c>
      <c r="AC894" s="122">
        <v>8000</v>
      </c>
      <c r="AD894" s="129">
        <f>AC894-AB894</f>
        <v>2900</v>
      </c>
      <c r="AE894" s="213">
        <v>141959.5</v>
      </c>
      <c r="AF894" s="232">
        <f>AB894/U894</f>
        <v>2550</v>
      </c>
      <c r="AG894" s="232">
        <f>AB894/V894</f>
        <v>26.288659793814432</v>
      </c>
      <c r="AH894" s="247">
        <f>AB894/S894</f>
        <v>2.2116218560277536</v>
      </c>
      <c r="AI894" s="124">
        <v>1290</v>
      </c>
      <c r="AJ894" s="124" t="s">
        <v>2985</v>
      </c>
      <c r="AK894"/>
      <c r="AM894" s="80"/>
    </row>
    <row r="895" spans="1:39" ht="28.5" customHeight="1">
      <c r="A895" s="113" t="s">
        <v>73</v>
      </c>
      <c r="B895" s="114" t="s">
        <v>140</v>
      </c>
      <c r="C895" s="160" t="s">
        <v>35</v>
      </c>
      <c r="D895" s="124" t="s">
        <v>99</v>
      </c>
      <c r="E895" s="124" t="s">
        <v>141</v>
      </c>
      <c r="F895" s="124" t="s">
        <v>142</v>
      </c>
      <c r="G895" s="260">
        <v>24126478</v>
      </c>
      <c r="H895" s="164">
        <v>46287</v>
      </c>
      <c r="I895" s="82" t="s">
        <v>79</v>
      </c>
      <c r="J895" s="151">
        <v>557723143</v>
      </c>
      <c r="K895" s="90">
        <v>46279</v>
      </c>
      <c r="L895" s="82" t="s">
        <v>81</v>
      </c>
      <c r="M895" s="90">
        <v>46286</v>
      </c>
      <c r="N895" s="263">
        <v>46288</v>
      </c>
      <c r="O895" s="216">
        <f>NETWORKDAYS.INTL(K895,N895,1,$AM$2:$AM$10)-1</f>
        <v>7</v>
      </c>
      <c r="P895" s="101" t="s">
        <v>81</v>
      </c>
      <c r="Q895" s="114" t="s">
        <v>79</v>
      </c>
      <c r="R895" s="114"/>
      <c r="S895" s="212">
        <v>2435</v>
      </c>
      <c r="T895" s="114" t="s">
        <v>1246</v>
      </c>
      <c r="U895" s="212">
        <v>1</v>
      </c>
      <c r="V895" s="212">
        <v>47</v>
      </c>
      <c r="W895" s="212">
        <v>510</v>
      </c>
      <c r="X895" s="114" t="s">
        <v>84</v>
      </c>
      <c r="Y895" s="154" t="s">
        <v>85</v>
      </c>
      <c r="Z895" s="175" t="s">
        <v>86</v>
      </c>
      <c r="AA895" s="114" t="s">
        <v>87</v>
      </c>
      <c r="AB895" s="213">
        <v>350.75</v>
      </c>
      <c r="AC895" s="122">
        <f>IF(C895="DENALI", AB895*0.495, IF(C895="SCHNEIDER ELECTRIC", AB895*1.136, IF(C895="WWT", AB895*1.2, AC895)))+AB895</f>
        <v>524.37125000000003</v>
      </c>
      <c r="AD895" s="129">
        <f>AC895-AB895</f>
        <v>173.62125000000003</v>
      </c>
      <c r="AE895" s="213">
        <v>57842.9</v>
      </c>
      <c r="AF895" s="232">
        <f>AB895/U895</f>
        <v>350.75</v>
      </c>
      <c r="AG895" s="232">
        <f>AB895/V895</f>
        <v>7.4627659574468082</v>
      </c>
      <c r="AH895" s="247">
        <f>AB895/S895</f>
        <v>0.14404517453798768</v>
      </c>
      <c r="AI895" s="124">
        <v>1290</v>
      </c>
      <c r="AJ895" s="124" t="s">
        <v>349</v>
      </c>
      <c r="AK895"/>
      <c r="AM895" s="80"/>
    </row>
    <row r="896" spans="1:39" ht="28.5" customHeight="1">
      <c r="A896" s="113" t="s">
        <v>73</v>
      </c>
      <c r="B896" s="114" t="s">
        <v>140</v>
      </c>
      <c r="C896" s="160" t="s">
        <v>35</v>
      </c>
      <c r="D896" s="124" t="s">
        <v>218</v>
      </c>
      <c r="E896" s="124" t="s">
        <v>416</v>
      </c>
      <c r="F896" s="237" t="s">
        <v>90</v>
      </c>
      <c r="G896" s="266" t="s">
        <v>3155</v>
      </c>
      <c r="H896" s="157">
        <v>46288</v>
      </c>
      <c r="I896" s="93" t="s">
        <v>79</v>
      </c>
      <c r="J896" s="162">
        <v>557722756</v>
      </c>
      <c r="K896" s="94">
        <v>46280</v>
      </c>
      <c r="L896" s="93" t="s">
        <v>81</v>
      </c>
      <c r="M896" s="90">
        <v>46286</v>
      </c>
      <c r="N896" s="263">
        <v>46287</v>
      </c>
      <c r="O896" s="216">
        <f>NETWORKDAYS.INTL(K896,N896,1,$AM$2:$AM$10)-1</f>
        <v>5</v>
      </c>
      <c r="P896" s="101" t="s">
        <v>81</v>
      </c>
      <c r="Q896" s="114" t="s">
        <v>79</v>
      </c>
      <c r="R896" s="114"/>
      <c r="S896" s="212">
        <v>2264</v>
      </c>
      <c r="T896" s="114" t="s">
        <v>3156</v>
      </c>
      <c r="U896" s="212">
        <v>2</v>
      </c>
      <c r="V896" s="212">
        <v>1416</v>
      </c>
      <c r="W896" s="212">
        <v>950</v>
      </c>
      <c r="X896" s="114" t="s">
        <v>84</v>
      </c>
      <c r="Y896" s="154" t="s">
        <v>85</v>
      </c>
      <c r="Z896" s="175" t="s">
        <v>86</v>
      </c>
      <c r="AA896" s="114" t="s">
        <v>87</v>
      </c>
      <c r="AB896" s="213">
        <v>568.34</v>
      </c>
      <c r="AC896" s="122">
        <f>IF(C896="DENALI", AB896*0.495, IF(C896="SCHNEIDER ELECTRIC", AB896*1.136, IF(C896="WWT", AB896*1.2, AC896)))+AB896</f>
        <v>849.66830000000004</v>
      </c>
      <c r="AD896" s="129">
        <f>AC896-AB896</f>
        <v>281.32830000000001</v>
      </c>
      <c r="AE896" s="213">
        <v>25318.080000000002</v>
      </c>
      <c r="AF896" s="232">
        <f>AB896/U896</f>
        <v>284.17</v>
      </c>
      <c r="AG896" s="232">
        <f>AB896/V896</f>
        <v>0.40137005649717516</v>
      </c>
      <c r="AH896" s="247">
        <f>AB896/S896</f>
        <v>0.25103356890459366</v>
      </c>
      <c r="AI896" s="124">
        <v>1290</v>
      </c>
      <c r="AJ896" s="124" t="s">
        <v>349</v>
      </c>
      <c r="AK896"/>
      <c r="AM896" s="80"/>
    </row>
    <row r="897" spans="1:39" ht="28.5" customHeight="1">
      <c r="A897" s="113" t="s">
        <v>73</v>
      </c>
      <c r="B897" s="114" t="s">
        <v>140</v>
      </c>
      <c r="C897" s="160" t="s">
        <v>35</v>
      </c>
      <c r="D897" s="124" t="s">
        <v>218</v>
      </c>
      <c r="E897" s="260" t="s">
        <v>2139</v>
      </c>
      <c r="F897" s="76" t="s">
        <v>457</v>
      </c>
      <c r="G897" s="76" t="s">
        <v>3157</v>
      </c>
      <c r="H897" s="90">
        <v>46288</v>
      </c>
      <c r="I897" s="82" t="s">
        <v>79</v>
      </c>
      <c r="J897" s="228" t="s">
        <v>3158</v>
      </c>
      <c r="K897" s="90">
        <v>46280</v>
      </c>
      <c r="L897" s="82" t="s">
        <v>81</v>
      </c>
      <c r="M897" s="165">
        <v>46282</v>
      </c>
      <c r="N897" s="263">
        <v>46283</v>
      </c>
      <c r="O897" s="216">
        <f>NETWORKDAYS.INTL(K897,N897,1,$AM$2:$AM$10)-1</f>
        <v>3</v>
      </c>
      <c r="P897" s="101" t="s">
        <v>81</v>
      </c>
      <c r="Q897" s="114" t="s">
        <v>79</v>
      </c>
      <c r="R897" s="114"/>
      <c r="S897" s="212">
        <v>353.9</v>
      </c>
      <c r="T897" s="114" t="s">
        <v>3159</v>
      </c>
      <c r="U897" s="212">
        <v>1</v>
      </c>
      <c r="V897" s="212">
        <v>105</v>
      </c>
      <c r="W897" s="212">
        <v>240</v>
      </c>
      <c r="X897" s="114" t="s">
        <v>84</v>
      </c>
      <c r="Y897" s="154" t="s">
        <v>85</v>
      </c>
      <c r="Z897" s="175" t="s">
        <v>86</v>
      </c>
      <c r="AA897" s="114" t="s">
        <v>87</v>
      </c>
      <c r="AB897" s="213">
        <v>269.18</v>
      </c>
      <c r="AC897" s="122">
        <f>IF(C897="DENALI", AB897*0.495, IF(C897="SCHNEIDER ELECTRIC", AB897*1.136, IF(C897="WWT", AB897*1.2, AC897)))+AB897</f>
        <v>402.42410000000001</v>
      </c>
      <c r="AD897" s="129">
        <f>AC897-AB897</f>
        <v>133.2441</v>
      </c>
      <c r="AE897" s="213">
        <v>9362.0400000000009</v>
      </c>
      <c r="AF897" s="232">
        <f>AB897/U897</f>
        <v>269.18</v>
      </c>
      <c r="AG897" s="232">
        <f>AB897/V897</f>
        <v>2.5636190476190475</v>
      </c>
      <c r="AH897" s="247">
        <f>AB897/S897</f>
        <v>0.76061034190449284</v>
      </c>
      <c r="AI897" s="124">
        <v>1290</v>
      </c>
      <c r="AJ897" s="124" t="s">
        <v>349</v>
      </c>
      <c r="AK897"/>
      <c r="AM897" s="80"/>
    </row>
    <row r="898" spans="1:39" ht="28.5" customHeight="1">
      <c r="A898" s="113" t="s">
        <v>73</v>
      </c>
      <c r="B898" s="114" t="s">
        <v>74</v>
      </c>
      <c r="C898" s="160" t="s">
        <v>35</v>
      </c>
      <c r="D898" s="124" t="s">
        <v>218</v>
      </c>
      <c r="E898" s="260" t="s">
        <v>2864</v>
      </c>
      <c r="F898" s="76" t="s">
        <v>370</v>
      </c>
      <c r="G898" s="76">
        <v>24128679</v>
      </c>
      <c r="H898" s="90">
        <v>46288</v>
      </c>
      <c r="I898" s="82" t="s">
        <v>79</v>
      </c>
      <c r="J898" s="151">
        <v>557723272</v>
      </c>
      <c r="K898" s="90">
        <v>46280</v>
      </c>
      <c r="L898" s="82" t="s">
        <v>81</v>
      </c>
      <c r="M898" s="165">
        <v>46282</v>
      </c>
      <c r="N898" s="263">
        <v>46288</v>
      </c>
      <c r="O898" s="216">
        <f>NETWORKDAYS.INTL(K898,N898,1,$AM$2:$AM$10)-1</f>
        <v>6</v>
      </c>
      <c r="P898" s="101" t="s">
        <v>81</v>
      </c>
      <c r="Q898" s="114" t="s">
        <v>79</v>
      </c>
      <c r="R898" s="114"/>
      <c r="S898" s="212">
        <v>719</v>
      </c>
      <c r="T898" s="114" t="s">
        <v>2866</v>
      </c>
      <c r="U898" s="212">
        <v>3</v>
      </c>
      <c r="V898" s="212">
        <v>191</v>
      </c>
      <c r="W898" s="212">
        <v>1165</v>
      </c>
      <c r="X898" s="114" t="s">
        <v>84</v>
      </c>
      <c r="Y898" s="124" t="s">
        <v>85</v>
      </c>
      <c r="Z898" s="175" t="s">
        <v>86</v>
      </c>
      <c r="AA898" s="114" t="s">
        <v>87</v>
      </c>
      <c r="AB898" s="213">
        <v>539.48</v>
      </c>
      <c r="AC898" s="122">
        <f>IF(C898="DENALI", AB898*0.495, IF(C898="SCHNEIDER ELECTRIC", AB898*1.136, IF(C898="WWT", AB898*1.2, AC898)))+AB898</f>
        <v>806.52260000000001</v>
      </c>
      <c r="AD898" s="129">
        <f>AC898-AB898</f>
        <v>267.04259999999999</v>
      </c>
      <c r="AE898" s="213">
        <v>18060.52</v>
      </c>
      <c r="AF898" s="232">
        <f>AB898/U898</f>
        <v>179.82666666666668</v>
      </c>
      <c r="AG898" s="232">
        <f>AB898/V898</f>
        <v>2.8245026178010471</v>
      </c>
      <c r="AH898" s="247">
        <f>AB898/S898</f>
        <v>0.75031988873435329</v>
      </c>
      <c r="AI898" s="124">
        <v>1173</v>
      </c>
      <c r="AJ898" s="124" t="s">
        <v>107</v>
      </c>
      <c r="AK898"/>
      <c r="AM898" s="80"/>
    </row>
    <row r="899" spans="1:39" ht="28.5" customHeight="1">
      <c r="A899" s="113" t="s">
        <v>73</v>
      </c>
      <c r="B899" s="114" t="s">
        <v>74</v>
      </c>
      <c r="C899" s="113" t="s">
        <v>35</v>
      </c>
      <c r="D899" s="124" t="s">
        <v>99</v>
      </c>
      <c r="E899" s="260" t="s">
        <v>3160</v>
      </c>
      <c r="F899" s="76" t="s">
        <v>189</v>
      </c>
      <c r="G899" s="244">
        <v>24137990</v>
      </c>
      <c r="H899" s="90">
        <v>46289</v>
      </c>
      <c r="I899" s="82" t="s">
        <v>79</v>
      </c>
      <c r="J899" s="151">
        <v>24137990</v>
      </c>
      <c r="K899" s="90">
        <v>46280</v>
      </c>
      <c r="L899" s="82" t="s">
        <v>81</v>
      </c>
      <c r="M899" s="165">
        <v>46281</v>
      </c>
      <c r="N899" s="264">
        <v>46281</v>
      </c>
      <c r="O899" s="216">
        <f>NETWORKDAYS.INTL(K899,N899,1,$AM$2:$AM$10)-1</f>
        <v>1</v>
      </c>
      <c r="P899" s="114" t="s">
        <v>81</v>
      </c>
      <c r="Q899" s="114" t="s">
        <v>79</v>
      </c>
      <c r="R899" s="114"/>
      <c r="S899" s="212">
        <v>834</v>
      </c>
      <c r="T899" s="114" t="s">
        <v>3161</v>
      </c>
      <c r="U899" s="212">
        <v>1</v>
      </c>
      <c r="V899" s="212">
        <v>110</v>
      </c>
      <c r="W899" s="212">
        <v>710</v>
      </c>
      <c r="X899" s="114" t="s">
        <v>113</v>
      </c>
      <c r="Y899" s="124" t="s">
        <v>85</v>
      </c>
      <c r="Z899" s="280" t="s">
        <v>3162</v>
      </c>
      <c r="AA899" s="114" t="s">
        <v>87</v>
      </c>
      <c r="AB899" s="213">
        <v>3260</v>
      </c>
      <c r="AC899" s="122">
        <f>IF(C899="DENALI", AB899*0.495, IF(C899="SCHNEIDER ELECTRIC", AB899*1.136, IF(C899="WWT", AB899*1.2, AC899)))+AB899</f>
        <v>4873.7</v>
      </c>
      <c r="AD899" s="129">
        <f>AC899-AB899</f>
        <v>1613.6999999999998</v>
      </c>
      <c r="AE899" s="213">
        <v>8896.23</v>
      </c>
      <c r="AF899" s="232">
        <f>AB899/U899</f>
        <v>3260</v>
      </c>
      <c r="AG899" s="232">
        <f>AB899/V899</f>
        <v>29.636363636363637</v>
      </c>
      <c r="AH899" s="247">
        <f>AB899/S899</f>
        <v>3.9088729016786572</v>
      </c>
      <c r="AI899" s="124">
        <v>1173</v>
      </c>
      <c r="AJ899" s="124" t="s">
        <v>107</v>
      </c>
      <c r="AK899"/>
      <c r="AM899" s="80"/>
    </row>
    <row r="900" spans="1:39" ht="28.5" customHeight="1">
      <c r="A900" s="113" t="s">
        <v>73</v>
      </c>
      <c r="B900" s="114" t="s">
        <v>74</v>
      </c>
      <c r="C900" s="113" t="s">
        <v>35</v>
      </c>
      <c r="D900" s="124" t="s">
        <v>99</v>
      </c>
      <c r="E900" s="260" t="s">
        <v>1453</v>
      </c>
      <c r="F900" s="76" t="s">
        <v>142</v>
      </c>
      <c r="G900" s="77">
        <v>24139352</v>
      </c>
      <c r="H900" s="94">
        <v>46289</v>
      </c>
      <c r="I900" s="93" t="s">
        <v>79</v>
      </c>
      <c r="J900" s="162">
        <v>24139352</v>
      </c>
      <c r="K900" s="94">
        <v>46280</v>
      </c>
      <c r="L900" s="93" t="s">
        <v>81</v>
      </c>
      <c r="M900" s="166">
        <v>46283</v>
      </c>
      <c r="N900" s="261">
        <v>46283</v>
      </c>
      <c r="O900" s="268">
        <f>NETWORKDAYS.INTL(K900,N900,1,$AM$2:$AM$10)-1</f>
        <v>3</v>
      </c>
      <c r="P900" s="114" t="s">
        <v>81</v>
      </c>
      <c r="Q900" s="114" t="s">
        <v>79</v>
      </c>
      <c r="R900" s="114"/>
      <c r="S900" s="212">
        <v>2435</v>
      </c>
      <c r="T900" s="114" t="s">
        <v>3163</v>
      </c>
      <c r="U900" s="212">
        <v>19</v>
      </c>
      <c r="V900" s="212">
        <v>19</v>
      </c>
      <c r="W900" s="212">
        <v>9500</v>
      </c>
      <c r="X900" s="114" t="s">
        <v>113</v>
      </c>
      <c r="Y900" s="124" t="s">
        <v>85</v>
      </c>
      <c r="Z900" s="115" t="s">
        <v>3164</v>
      </c>
      <c r="AA900" s="114" t="s">
        <v>87</v>
      </c>
      <c r="AB900" s="213">
        <v>5537.55</v>
      </c>
      <c r="AC900" s="122">
        <f>IF(C900="DENALI", AB900*0.495, IF(C900="SCHNEIDER ELECTRIC", AB900*1.136, IF(C900="WWT", AB900*1.2, AC900)))+AB900</f>
        <v>8278.6372499999998</v>
      </c>
      <c r="AD900" s="129">
        <f>AC900-AB900</f>
        <v>2741.0872499999996</v>
      </c>
      <c r="AE900" s="213">
        <v>44063.839999999997</v>
      </c>
      <c r="AF900" s="232">
        <f>AB900/U900</f>
        <v>291.45</v>
      </c>
      <c r="AG900" s="232">
        <f>AB900/V900</f>
        <v>291.45</v>
      </c>
      <c r="AH900" s="247">
        <f>AB900/S900</f>
        <v>2.2741478439425054</v>
      </c>
      <c r="AI900" s="124">
        <v>1172</v>
      </c>
      <c r="AJ900" s="124" t="s">
        <v>89</v>
      </c>
      <c r="AK900"/>
      <c r="AM900" s="80"/>
    </row>
    <row r="901" spans="1:39" ht="28.5" customHeight="1">
      <c r="A901" s="113" t="s">
        <v>73</v>
      </c>
      <c r="B901" s="114" t="s">
        <v>74</v>
      </c>
      <c r="C901" s="113" t="s">
        <v>36</v>
      </c>
      <c r="D901" s="124" t="s">
        <v>75</v>
      </c>
      <c r="E901" s="260" t="s">
        <v>3165</v>
      </c>
      <c r="F901" s="96" t="s">
        <v>370</v>
      </c>
      <c r="G901" s="76" t="s">
        <v>3166</v>
      </c>
      <c r="H901" s="90">
        <v>46290</v>
      </c>
      <c r="I901" s="82" t="s">
        <v>79</v>
      </c>
      <c r="J901" s="228">
        <v>557726665</v>
      </c>
      <c r="K901" s="90">
        <v>46281</v>
      </c>
      <c r="L901" s="82" t="s">
        <v>81</v>
      </c>
      <c r="M901" s="90">
        <v>46283</v>
      </c>
      <c r="N901" s="131">
        <v>46286</v>
      </c>
      <c r="O901" s="216">
        <f>NETWORKDAYS.INTL(K901,N901,1,$AM$2:$AM$10)-1</f>
        <v>3</v>
      </c>
      <c r="P901" s="101" t="s">
        <v>81</v>
      </c>
      <c r="Q901" s="114" t="s">
        <v>79</v>
      </c>
      <c r="R901" s="114"/>
      <c r="S901" s="212">
        <v>707</v>
      </c>
      <c r="T901" s="114" t="s">
        <v>3167</v>
      </c>
      <c r="U901" s="212">
        <v>1</v>
      </c>
      <c r="V901" s="212">
        <v>8</v>
      </c>
      <c r="W901" s="212">
        <v>656</v>
      </c>
      <c r="X901" s="114" t="s">
        <v>84</v>
      </c>
      <c r="Y901" s="124" t="s">
        <v>85</v>
      </c>
      <c r="Z901" s="175" t="s">
        <v>86</v>
      </c>
      <c r="AA901" s="114" t="s">
        <v>87</v>
      </c>
      <c r="AB901" s="213">
        <v>301.24</v>
      </c>
      <c r="AC901" s="122">
        <f>IF(C901="DENALI", AB901*0.495, IF(C901="SCHNEIDER ELECTRIC", AB901*1.136, IF(C901="WWT", AB901*1.2, AC901)))+AB901</f>
        <v>643.44864000000007</v>
      </c>
      <c r="AD901" s="129">
        <f>AC901-AB901</f>
        <v>342.20864000000006</v>
      </c>
      <c r="AE901" s="213">
        <v>3972.8</v>
      </c>
      <c r="AF901" s="232">
        <f>AB901/U901</f>
        <v>301.24</v>
      </c>
      <c r="AG901" s="232">
        <f>AB901/V901</f>
        <v>37.655000000000001</v>
      </c>
      <c r="AH901" s="247">
        <f>AB901/S901</f>
        <v>0.42608203677510609</v>
      </c>
      <c r="AI901" s="124">
        <v>1060</v>
      </c>
      <c r="AJ901" s="124" t="s">
        <v>343</v>
      </c>
      <c r="AK901"/>
      <c r="AM901" s="80"/>
    </row>
    <row r="902" spans="1:39" ht="28.5" customHeight="1">
      <c r="A902" s="113" t="s">
        <v>73</v>
      </c>
      <c r="B902" s="114" t="s">
        <v>74</v>
      </c>
      <c r="C902" s="113" t="s">
        <v>36</v>
      </c>
      <c r="D902" s="124" t="s">
        <v>75</v>
      </c>
      <c r="E902" s="260" t="s">
        <v>380</v>
      </c>
      <c r="F902" s="96" t="s">
        <v>370</v>
      </c>
      <c r="G902" s="76" t="s">
        <v>3168</v>
      </c>
      <c r="H902" s="90">
        <v>46290</v>
      </c>
      <c r="I902" s="82" t="s">
        <v>79</v>
      </c>
      <c r="J902" s="151">
        <v>557726024</v>
      </c>
      <c r="K902" s="90">
        <v>46281</v>
      </c>
      <c r="L902" s="82" t="s">
        <v>81</v>
      </c>
      <c r="M902" s="90">
        <v>46283</v>
      </c>
      <c r="N902" s="131">
        <v>46286</v>
      </c>
      <c r="O902" s="216">
        <f>NETWORKDAYS.INTL(K902,N902,1,$AM$2:$AM$10)-1</f>
        <v>3</v>
      </c>
      <c r="P902" s="101" t="s">
        <v>81</v>
      </c>
      <c r="Q902" s="114" t="s">
        <v>79</v>
      </c>
      <c r="R902" s="114"/>
      <c r="S902" s="212">
        <v>768</v>
      </c>
      <c r="T902" s="114" t="s">
        <v>3169</v>
      </c>
      <c r="U902" s="212">
        <v>2</v>
      </c>
      <c r="V902" s="212">
        <v>16</v>
      </c>
      <c r="W902" s="212">
        <v>1312</v>
      </c>
      <c r="X902" s="114" t="s">
        <v>84</v>
      </c>
      <c r="Y902" s="124" t="s">
        <v>85</v>
      </c>
      <c r="Z902" s="175" t="s">
        <v>86</v>
      </c>
      <c r="AA902" s="114" t="s">
        <v>87</v>
      </c>
      <c r="AB902" s="213">
        <v>378</v>
      </c>
      <c r="AC902" s="122">
        <f>IF(C902="DENALI", AB902*0.495, IF(C902="SCHNEIDER ELECTRIC", AB902*1.136, IF(C902="WWT", AB902*1.2, AC902)))+AB902</f>
        <v>807.4079999999999</v>
      </c>
      <c r="AD902" s="129">
        <f>AC902-AB902</f>
        <v>429.4079999999999</v>
      </c>
      <c r="AE902" s="213">
        <v>7945.6</v>
      </c>
      <c r="AF902" s="232">
        <f>AB902/U902</f>
        <v>189</v>
      </c>
      <c r="AG902" s="232">
        <f>AB902/V902</f>
        <v>23.625</v>
      </c>
      <c r="AH902" s="247">
        <f>AB902/S902</f>
        <v>0.4921875</v>
      </c>
      <c r="AI902" s="124">
        <v>1391</v>
      </c>
      <c r="AJ902" s="124" t="s">
        <v>349</v>
      </c>
      <c r="AK902"/>
      <c r="AM902" s="80"/>
    </row>
    <row r="903" spans="1:39" ht="28.5" customHeight="1">
      <c r="A903" s="113" t="s">
        <v>73</v>
      </c>
      <c r="B903" s="114" t="s">
        <v>74</v>
      </c>
      <c r="C903" s="113" t="s">
        <v>36</v>
      </c>
      <c r="D903" s="124" t="s">
        <v>75</v>
      </c>
      <c r="E903" s="260" t="s">
        <v>3170</v>
      </c>
      <c r="F903" s="96" t="s">
        <v>75</v>
      </c>
      <c r="G903" s="81" t="s">
        <v>3171</v>
      </c>
      <c r="H903" s="270">
        <v>46290</v>
      </c>
      <c r="I903" s="271" t="s">
        <v>79</v>
      </c>
      <c r="J903" s="229">
        <v>5057002621</v>
      </c>
      <c r="K903" s="272">
        <v>46281</v>
      </c>
      <c r="L903" s="207" t="s">
        <v>81</v>
      </c>
      <c r="M903" s="269">
        <v>46282</v>
      </c>
      <c r="N903" s="273">
        <v>46282</v>
      </c>
      <c r="O903" s="274">
        <f>NETWORKDAYS.INTL(K903,N903,1,$AM$2:$AM$10)-1</f>
        <v>1</v>
      </c>
      <c r="P903" s="114" t="s">
        <v>81</v>
      </c>
      <c r="Q903" s="114" t="s">
        <v>79</v>
      </c>
      <c r="R903" s="114"/>
      <c r="S903" s="212">
        <v>55</v>
      </c>
      <c r="T903" s="114" t="s">
        <v>3172</v>
      </c>
      <c r="U903" s="212">
        <v>1</v>
      </c>
      <c r="V903" s="212">
        <v>15</v>
      </c>
      <c r="W903" s="212">
        <v>1195</v>
      </c>
      <c r="X903" s="114" t="s">
        <v>84</v>
      </c>
      <c r="Y903" s="124" t="s">
        <v>85</v>
      </c>
      <c r="Z903" s="115" t="s">
        <v>2312</v>
      </c>
      <c r="AA903" s="114" t="s">
        <v>87</v>
      </c>
      <c r="AB903" s="213">
        <v>176.52</v>
      </c>
      <c r="AC903" s="122">
        <f>IF(C903="DENALI", AB903*0.495, IF(C903="SCHNEIDER ELECTRIC", AB903*1.136, IF(C903="WWT", AB903*1.2, AC903)))+AB903</f>
        <v>377.04671999999999</v>
      </c>
      <c r="AD903" s="129">
        <f>AC903-AB903</f>
        <v>200.52671999999998</v>
      </c>
      <c r="AE903" s="213">
        <v>7449</v>
      </c>
      <c r="AF903" s="232">
        <f>AB903/U903</f>
        <v>176.52</v>
      </c>
      <c r="AG903" s="232">
        <f>AB903/V903</f>
        <v>11.768000000000001</v>
      </c>
      <c r="AH903" s="247">
        <f>AB903/S903</f>
        <v>3.2094545454545456</v>
      </c>
      <c r="AI903" s="124">
        <v>1290</v>
      </c>
      <c r="AJ903" s="124" t="s">
        <v>2267</v>
      </c>
      <c r="AK903"/>
      <c r="AM903" s="80"/>
    </row>
    <row r="904" spans="1:39" ht="28.5" customHeight="1">
      <c r="A904" s="113" t="s">
        <v>73</v>
      </c>
      <c r="B904" s="114" t="s">
        <v>74</v>
      </c>
      <c r="C904" s="113" t="s">
        <v>227</v>
      </c>
      <c r="D904" s="124" t="s">
        <v>228</v>
      </c>
      <c r="E904" s="260" t="s">
        <v>141</v>
      </c>
      <c r="F904" s="96" t="s">
        <v>142</v>
      </c>
      <c r="G904" s="76" t="s">
        <v>3173</v>
      </c>
      <c r="H904" s="90">
        <v>46291</v>
      </c>
      <c r="I904" s="82" t="s">
        <v>79</v>
      </c>
      <c r="J904" s="151">
        <v>59739013379</v>
      </c>
      <c r="K904" s="90">
        <v>46282</v>
      </c>
      <c r="L904" s="82" t="s">
        <v>81</v>
      </c>
      <c r="M904" s="90">
        <v>46283</v>
      </c>
      <c r="N904" s="131">
        <v>46286</v>
      </c>
      <c r="O904" s="216">
        <f>NETWORKDAYS.INTL(K904,N904,1,$AM$2:$AM$10)-1</f>
        <v>2</v>
      </c>
      <c r="P904" s="101" t="s">
        <v>81</v>
      </c>
      <c r="Q904" s="114" t="s">
        <v>79</v>
      </c>
      <c r="R904" s="114"/>
      <c r="S904" s="212">
        <v>327</v>
      </c>
      <c r="T904" s="114" t="s">
        <v>3174</v>
      </c>
      <c r="U904" s="212">
        <v>2</v>
      </c>
      <c r="V904" s="212">
        <v>28</v>
      </c>
      <c r="W904" s="212">
        <v>3405</v>
      </c>
      <c r="X904" s="114" t="s">
        <v>84</v>
      </c>
      <c r="Y904" s="124" t="s">
        <v>85</v>
      </c>
      <c r="Z904" s="115" t="s">
        <v>3175</v>
      </c>
      <c r="AA904" s="114" t="s">
        <v>87</v>
      </c>
      <c r="AB904" s="213">
        <v>585.48</v>
      </c>
      <c r="AC904" s="122">
        <f>IF(C904="DENALI", AB904*0.495, IF(C904="SCHNEIDER ELECTRIC", AB904*1.136, IF(C904="WWT", AB904*1.2, AC904)))+AB904</f>
        <v>1288.056</v>
      </c>
      <c r="AD904" s="129">
        <f>AC904-AB904</f>
        <v>702.57600000000002</v>
      </c>
      <c r="AE904" s="213">
        <v>96860.85</v>
      </c>
      <c r="AF904" s="232">
        <f>AB904/U904</f>
        <v>292.74</v>
      </c>
      <c r="AG904" s="232">
        <f>AB904/V904</f>
        <v>20.91</v>
      </c>
      <c r="AH904" s="247">
        <f>AB904/S904</f>
        <v>1.7904587155963303</v>
      </c>
      <c r="AI904" s="124">
        <v>1172</v>
      </c>
      <c r="AJ904" s="124" t="s">
        <v>89</v>
      </c>
      <c r="AK904"/>
      <c r="AM904" s="80"/>
    </row>
    <row r="905" spans="1:39" ht="28.5" customHeight="1">
      <c r="A905" s="113" t="s">
        <v>73</v>
      </c>
      <c r="B905" s="114" t="s">
        <v>74</v>
      </c>
      <c r="C905" s="113" t="s">
        <v>35</v>
      </c>
      <c r="D905" s="124" t="s">
        <v>218</v>
      </c>
      <c r="E905" s="124" t="s">
        <v>1885</v>
      </c>
      <c r="F905" s="267" t="s">
        <v>77</v>
      </c>
      <c r="G905" s="76" t="s">
        <v>3176</v>
      </c>
      <c r="H905" s="90">
        <v>46290</v>
      </c>
      <c r="I905" s="82" t="s">
        <v>79</v>
      </c>
      <c r="J905" s="254">
        <v>5057002793</v>
      </c>
      <c r="K905" s="90">
        <v>46282</v>
      </c>
      <c r="L905" s="82" t="s">
        <v>81</v>
      </c>
      <c r="M905" s="90">
        <v>46283</v>
      </c>
      <c r="N905" s="131">
        <v>46286</v>
      </c>
      <c r="O905" s="216">
        <f>NETWORKDAYS.INTL(K905,N905,1,$AM$2:$AM$10)-1</f>
        <v>2</v>
      </c>
      <c r="P905" s="101" t="s">
        <v>81</v>
      </c>
      <c r="Q905" s="114" t="s">
        <v>79</v>
      </c>
      <c r="R905" s="114"/>
      <c r="S905" s="212">
        <v>613.20000000000005</v>
      </c>
      <c r="T905" s="114" t="s">
        <v>3177</v>
      </c>
      <c r="U905" s="212">
        <v>2</v>
      </c>
      <c r="V905" s="212">
        <v>1141</v>
      </c>
      <c r="W905" s="212">
        <v>1275</v>
      </c>
      <c r="X905" s="114" t="s">
        <v>84</v>
      </c>
      <c r="Y905" s="124" t="s">
        <v>85</v>
      </c>
      <c r="Z905" s="115" t="s">
        <v>2312</v>
      </c>
      <c r="AA905" s="114" t="s">
        <v>87</v>
      </c>
      <c r="AB905" s="213">
        <v>302.8</v>
      </c>
      <c r="AC905" s="122">
        <f>IF(C905="DENALI", AB905*0.495, IF(C905="SCHNEIDER ELECTRIC", AB905*1.136, IF(C905="WWT", AB905*1.2, AC905)))+AB905</f>
        <v>452.68600000000004</v>
      </c>
      <c r="AD905" s="129">
        <f>AC905-AB905</f>
        <v>149.88600000000002</v>
      </c>
      <c r="AE905" s="213">
        <v>115541.32</v>
      </c>
      <c r="AF905" s="232">
        <f>AB905/U905</f>
        <v>151.4</v>
      </c>
      <c r="AG905" s="232">
        <f>AB905/V905</f>
        <v>0.26538124452234885</v>
      </c>
      <c r="AH905" s="247">
        <f>AB905/S905</f>
        <v>0.49380300065231569</v>
      </c>
      <c r="AI905" s="124">
        <v>1060</v>
      </c>
      <c r="AJ905" s="124" t="s">
        <v>343</v>
      </c>
      <c r="AK905"/>
      <c r="AM905" s="80"/>
    </row>
    <row r="906" spans="1:39" ht="28.5" customHeight="1">
      <c r="A906" s="113" t="s">
        <v>73</v>
      </c>
      <c r="B906" s="114" t="s">
        <v>74</v>
      </c>
      <c r="C906" s="113" t="s">
        <v>35</v>
      </c>
      <c r="D906" s="124" t="s">
        <v>218</v>
      </c>
      <c r="E906" s="124" t="s">
        <v>1616</v>
      </c>
      <c r="F906" s="260" t="s">
        <v>228</v>
      </c>
      <c r="G906" s="76" t="s">
        <v>3178</v>
      </c>
      <c r="H906" s="90">
        <v>46290</v>
      </c>
      <c r="I906" s="82" t="s">
        <v>79</v>
      </c>
      <c r="J906" s="151">
        <v>82261989</v>
      </c>
      <c r="K906" s="90">
        <v>46282</v>
      </c>
      <c r="L906" s="82" t="s">
        <v>79</v>
      </c>
      <c r="M906" s="90">
        <v>46283</v>
      </c>
      <c r="N906" s="131">
        <v>46286</v>
      </c>
      <c r="O906" s="216">
        <f>NETWORKDAYS.INTL(K906,N906,1,$AM$2:$AM$10)-1</f>
        <v>2</v>
      </c>
      <c r="P906" s="101" t="s">
        <v>81</v>
      </c>
      <c r="Q906" s="114" t="s">
        <v>79</v>
      </c>
      <c r="R906" s="114" t="s">
        <v>3179</v>
      </c>
      <c r="S906" s="212">
        <v>181</v>
      </c>
      <c r="T906" s="114" t="s">
        <v>3180</v>
      </c>
      <c r="U906" s="212">
        <v>3</v>
      </c>
      <c r="V906" s="212">
        <v>1172</v>
      </c>
      <c r="W906" s="212">
        <v>1795</v>
      </c>
      <c r="X906" s="114" t="s">
        <v>84</v>
      </c>
      <c r="Y906" s="124" t="s">
        <v>85</v>
      </c>
      <c r="Z906" s="115" t="s">
        <v>2909</v>
      </c>
      <c r="AA906" s="114" t="s">
        <v>87</v>
      </c>
      <c r="AB906" s="213">
        <v>260.52999999999997</v>
      </c>
      <c r="AC906" s="122">
        <f>IF(C906="DENALI", AB906*0.495, IF(C906="SCHNEIDER ELECTRIC", AB906*1.136, IF(C906="WWT", AB906*1.2, AC906)))+AB906</f>
        <v>389.49234999999999</v>
      </c>
      <c r="AD906" s="129">
        <f>AC906-AB906</f>
        <v>128.96235000000001</v>
      </c>
      <c r="AE906" s="213">
        <v>117329.04</v>
      </c>
      <c r="AF906" s="232">
        <f>AB906/U906</f>
        <v>86.84333333333332</v>
      </c>
      <c r="AG906" s="232">
        <f>AB906/V906</f>
        <v>0.22229522184300338</v>
      </c>
      <c r="AH906" s="247">
        <f>AB906/S906</f>
        <v>1.4393922651933699</v>
      </c>
      <c r="AI906" s="124">
        <v>1060</v>
      </c>
      <c r="AJ906" s="124" t="s">
        <v>343</v>
      </c>
      <c r="AK906"/>
      <c r="AM906" s="80"/>
    </row>
    <row r="907" spans="1:39" ht="28.5" customHeight="1">
      <c r="A907" s="113" t="s">
        <v>73</v>
      </c>
      <c r="B907" s="114" t="s">
        <v>74</v>
      </c>
      <c r="C907" s="113" t="s">
        <v>35</v>
      </c>
      <c r="D907" s="124" t="s">
        <v>218</v>
      </c>
      <c r="E907" s="124" t="s">
        <v>3181</v>
      </c>
      <c r="F907" s="260" t="s">
        <v>92</v>
      </c>
      <c r="G907" s="76" t="s">
        <v>3182</v>
      </c>
      <c r="H907" s="90">
        <v>46290</v>
      </c>
      <c r="I907" s="82" t="s">
        <v>79</v>
      </c>
      <c r="J907" s="254">
        <v>557730051</v>
      </c>
      <c r="K907" s="90">
        <v>46282</v>
      </c>
      <c r="L907" s="82" t="s">
        <v>81</v>
      </c>
      <c r="M907" s="90">
        <v>46287</v>
      </c>
      <c r="N907" s="131">
        <v>46287</v>
      </c>
      <c r="O907" s="216">
        <f>NETWORKDAYS.INTL(K907,N907,1,$AM$2:$AM$10)-1</f>
        <v>3</v>
      </c>
      <c r="P907" s="101" t="s">
        <v>81</v>
      </c>
      <c r="Q907" s="114" t="s">
        <v>79</v>
      </c>
      <c r="R907" s="114"/>
      <c r="S907" s="212">
        <v>1512.3</v>
      </c>
      <c r="T907" s="114" t="s">
        <v>3183</v>
      </c>
      <c r="U907" s="212">
        <v>1</v>
      </c>
      <c r="V907" s="212">
        <v>107</v>
      </c>
      <c r="W907" s="212">
        <v>250</v>
      </c>
      <c r="X907" s="114" t="s">
        <v>84</v>
      </c>
      <c r="Y907" s="124" t="s">
        <v>85</v>
      </c>
      <c r="Z907" s="175" t="s">
        <v>86</v>
      </c>
      <c r="AA907" s="114" t="s">
        <v>87</v>
      </c>
      <c r="AB907" s="213">
        <v>247.28</v>
      </c>
      <c r="AC907" s="122">
        <f>IF(C907="DENALI", AB907*0.495, IF(C907="SCHNEIDER ELECTRIC", AB907*1.136, IF(C907="WWT", AB907*1.2, AC907)))+AB907</f>
        <v>369.68360000000001</v>
      </c>
      <c r="AD907" s="129">
        <f>AC907-AB907</f>
        <v>122.40360000000001</v>
      </c>
      <c r="AE907" s="213">
        <v>28057.11</v>
      </c>
      <c r="AF907" s="232">
        <f>AB907/U907</f>
        <v>247.28</v>
      </c>
      <c r="AG907" s="232">
        <f>AB907/V907</f>
        <v>2.3110280373831777</v>
      </c>
      <c r="AH907" s="247">
        <f>AB907/S907</f>
        <v>0.16351253058255638</v>
      </c>
      <c r="AI907" s="124">
        <v>1347</v>
      </c>
      <c r="AJ907" s="124" t="s">
        <v>2057</v>
      </c>
      <c r="AK907"/>
      <c r="AM907" s="80"/>
    </row>
    <row r="908" spans="1:39" ht="28.5" customHeight="1">
      <c r="A908" s="113" t="s">
        <v>73</v>
      </c>
      <c r="B908" s="114" t="s">
        <v>74</v>
      </c>
      <c r="C908" s="113" t="s">
        <v>35</v>
      </c>
      <c r="D908" s="124" t="s">
        <v>218</v>
      </c>
      <c r="E908" s="124" t="s">
        <v>141</v>
      </c>
      <c r="F908" s="260" t="s">
        <v>142</v>
      </c>
      <c r="G908" s="77" t="s">
        <v>3184</v>
      </c>
      <c r="H908" s="94">
        <v>46290</v>
      </c>
      <c r="I908" s="93" t="s">
        <v>79</v>
      </c>
      <c r="J908" s="162">
        <v>34914147</v>
      </c>
      <c r="K908" s="94">
        <v>46282</v>
      </c>
      <c r="L908" s="93" t="s">
        <v>81</v>
      </c>
      <c r="M908" s="90">
        <v>46283</v>
      </c>
      <c r="N908" s="131">
        <v>46286</v>
      </c>
      <c r="O908" s="216">
        <f>NETWORKDAYS.INTL(K908,N908,1,$AM$2:$AM$10)-1</f>
        <v>2</v>
      </c>
      <c r="P908" s="101" t="s">
        <v>81</v>
      </c>
      <c r="Q908" s="114" t="s">
        <v>79</v>
      </c>
      <c r="R908" s="114"/>
      <c r="S908" s="212">
        <v>436.2</v>
      </c>
      <c r="T908" s="114" t="s">
        <v>722</v>
      </c>
      <c r="U908" s="212">
        <v>1</v>
      </c>
      <c r="V908" s="212">
        <v>75000</v>
      </c>
      <c r="W908" s="212">
        <v>975</v>
      </c>
      <c r="X908" s="114" t="s">
        <v>84</v>
      </c>
      <c r="Y908" s="124" t="s">
        <v>85</v>
      </c>
      <c r="Z908" s="175" t="s">
        <v>2723</v>
      </c>
      <c r="AA908" s="114" t="s">
        <v>87</v>
      </c>
      <c r="AB908" s="213">
        <v>224.16</v>
      </c>
      <c r="AC908" s="122">
        <f>IF(C908="DENALI", AB908*0.495, IF(C908="SCHNEIDER ELECTRIC", AB908*1.136, IF(C908="WWT", AB908*1.2, AC908)))+AB908</f>
        <v>335.11919999999998</v>
      </c>
      <c r="AD908" s="129">
        <f>AC908-AB908</f>
        <v>110.95919999999998</v>
      </c>
      <c r="AE908" s="213">
        <v>153959.25</v>
      </c>
      <c r="AF908" s="232">
        <f>AB908/U908</f>
        <v>224.16</v>
      </c>
      <c r="AG908" s="232">
        <f>AB908/V908</f>
        <v>2.9887999999999998E-3</v>
      </c>
      <c r="AH908" s="247">
        <f>AB908/S908</f>
        <v>0.5138927097661623</v>
      </c>
      <c r="AI908" s="124">
        <v>1290</v>
      </c>
      <c r="AJ908" s="124" t="s">
        <v>349</v>
      </c>
      <c r="AK908"/>
      <c r="AM908" s="80"/>
    </row>
    <row r="909" spans="1:39" ht="28.5" customHeight="1">
      <c r="A909" s="113" t="s">
        <v>73</v>
      </c>
      <c r="B909" s="114" t="s">
        <v>74</v>
      </c>
      <c r="C909" s="113" t="s">
        <v>35</v>
      </c>
      <c r="D909" s="124" t="s">
        <v>218</v>
      </c>
      <c r="E909" s="124" t="s">
        <v>3185</v>
      </c>
      <c r="F909" s="96" t="s">
        <v>457</v>
      </c>
      <c r="G909" s="76" t="s">
        <v>3186</v>
      </c>
      <c r="H909" s="90">
        <v>46290</v>
      </c>
      <c r="I909" s="82" t="s">
        <v>79</v>
      </c>
      <c r="J909" s="151" t="s">
        <v>3187</v>
      </c>
      <c r="K909" s="90">
        <v>46282</v>
      </c>
      <c r="L909" s="82" t="s">
        <v>81</v>
      </c>
      <c r="M909" s="165">
        <v>46287</v>
      </c>
      <c r="N909" s="131">
        <v>46287</v>
      </c>
      <c r="O909" s="216">
        <f>NETWORKDAYS.INTL(K909,N909,1,$AM$2:$AM$10)-1</f>
        <v>3</v>
      </c>
      <c r="P909" s="101" t="s">
        <v>81</v>
      </c>
      <c r="Q909" s="114" t="s">
        <v>79</v>
      </c>
      <c r="R909" s="114"/>
      <c r="S909" s="212">
        <v>403.3</v>
      </c>
      <c r="T909" s="114" t="s">
        <v>3188</v>
      </c>
      <c r="U909" s="212">
        <v>1</v>
      </c>
      <c r="V909" s="212">
        <v>28</v>
      </c>
      <c r="W909" s="212">
        <v>590</v>
      </c>
      <c r="X909" s="114" t="s">
        <v>84</v>
      </c>
      <c r="Y909" s="124" t="s">
        <v>85</v>
      </c>
      <c r="Z909" s="115" t="s">
        <v>474</v>
      </c>
      <c r="AA909" s="114" t="s">
        <v>87</v>
      </c>
      <c r="AB909" s="213">
        <v>295.69</v>
      </c>
      <c r="AC909" s="122">
        <f>IF(C909="DENALI", AB909*0.495, IF(C909="SCHNEIDER ELECTRIC", AB909*1.136, IF(C909="WWT", AB909*1.2, AC909)))+AB909</f>
        <v>442.05655000000002</v>
      </c>
      <c r="AD909" s="129">
        <f>AC909-AB909</f>
        <v>146.36655000000002</v>
      </c>
      <c r="AE909" s="213">
        <v>54021.52</v>
      </c>
      <c r="AF909" s="232">
        <f>AB909/U909</f>
        <v>295.69</v>
      </c>
      <c r="AG909" s="232">
        <f>AB909/V909</f>
        <v>10.560357142857143</v>
      </c>
      <c r="AH909" s="247">
        <f>AB909/S909</f>
        <v>0.73317629556161668</v>
      </c>
      <c r="AI909" s="124">
        <v>1290</v>
      </c>
      <c r="AJ909" s="124" t="s">
        <v>349</v>
      </c>
      <c r="AK909"/>
      <c r="AM909" s="80"/>
    </row>
    <row r="910" spans="1:39" ht="28.5" customHeight="1">
      <c r="A910" s="113" t="s">
        <v>73</v>
      </c>
      <c r="B910" s="114" t="s">
        <v>74</v>
      </c>
      <c r="C910" s="113" t="s">
        <v>35</v>
      </c>
      <c r="D910" s="124" t="s">
        <v>218</v>
      </c>
      <c r="E910" s="124" t="s">
        <v>456</v>
      </c>
      <c r="F910" s="96" t="s">
        <v>457</v>
      </c>
      <c r="G910" s="76" t="s">
        <v>3189</v>
      </c>
      <c r="H910" s="90">
        <v>46290</v>
      </c>
      <c r="I910" s="82" t="s">
        <v>79</v>
      </c>
      <c r="J910" s="151" t="s">
        <v>3190</v>
      </c>
      <c r="K910" s="90">
        <v>46282</v>
      </c>
      <c r="L910" s="82" t="s">
        <v>81</v>
      </c>
      <c r="M910" s="165">
        <v>46286</v>
      </c>
      <c r="N910" s="131">
        <v>46287</v>
      </c>
      <c r="O910" s="216">
        <f>NETWORKDAYS.INTL(K910,N910,1,$AM$2:$AM$10)-1</f>
        <v>3</v>
      </c>
      <c r="P910" s="101" t="s">
        <v>81</v>
      </c>
      <c r="Q910" s="114" t="s">
        <v>79</v>
      </c>
      <c r="R910" s="114"/>
      <c r="S910" s="212">
        <v>665.6</v>
      </c>
      <c r="T910" s="114" t="s">
        <v>3191</v>
      </c>
      <c r="U910" s="212">
        <v>1</v>
      </c>
      <c r="V910" s="212">
        <v>30</v>
      </c>
      <c r="W910" s="212">
        <v>235</v>
      </c>
      <c r="X910" s="114" t="s">
        <v>84</v>
      </c>
      <c r="Y910" s="124" t="s">
        <v>85</v>
      </c>
      <c r="Z910" s="175" t="s">
        <v>86</v>
      </c>
      <c r="AA910" s="114" t="s">
        <v>87</v>
      </c>
      <c r="AB910" s="213">
        <v>286.33999999999997</v>
      </c>
      <c r="AC910" s="122">
        <f>IF(C910="DENALI", AB910*0.495, IF(C910="SCHNEIDER ELECTRIC", AB910*1.136, IF(C910="WWT", AB910*1.2, AC910)))+AB910</f>
        <v>428.07829999999996</v>
      </c>
      <c r="AD910" s="129">
        <f>AC910-AB910</f>
        <v>141.73829999999998</v>
      </c>
      <c r="AE910" s="213">
        <v>10659.9</v>
      </c>
      <c r="AF910" s="232">
        <f>AB910/U910</f>
        <v>286.33999999999997</v>
      </c>
      <c r="AG910" s="232">
        <f>AB910/V910</f>
        <v>9.5446666666666662</v>
      </c>
      <c r="AH910" s="247">
        <f>AB910/S910</f>
        <v>0.43019831730769226</v>
      </c>
      <c r="AI910" s="124">
        <v>1290</v>
      </c>
      <c r="AJ910" s="124" t="s">
        <v>3191</v>
      </c>
      <c r="AK910"/>
      <c r="AM910" s="80"/>
    </row>
    <row r="911" spans="1:39" ht="28.5" customHeight="1">
      <c r="A911" s="113" t="s">
        <v>73</v>
      </c>
      <c r="B911" s="114" t="s">
        <v>74</v>
      </c>
      <c r="C911" s="113" t="s">
        <v>35</v>
      </c>
      <c r="D911" s="124" t="s">
        <v>218</v>
      </c>
      <c r="E911" s="124" t="s">
        <v>832</v>
      </c>
      <c r="F911" s="260" t="s">
        <v>833</v>
      </c>
      <c r="G911" s="76" t="s">
        <v>3192</v>
      </c>
      <c r="H911" s="94">
        <v>46290</v>
      </c>
      <c r="I911" s="93" t="s">
        <v>79</v>
      </c>
      <c r="J911" s="282">
        <v>557729071</v>
      </c>
      <c r="K911" s="94">
        <v>46282</v>
      </c>
      <c r="L911" s="93" t="s">
        <v>81</v>
      </c>
      <c r="M911" s="166">
        <v>46286</v>
      </c>
      <c r="N911" s="131">
        <v>46286</v>
      </c>
      <c r="O911" s="216">
        <f>NETWORKDAYS.INTL(K911,N911,1,$AM$2:$AM$10)-1</f>
        <v>2</v>
      </c>
      <c r="P911" s="101" t="s">
        <v>81</v>
      </c>
      <c r="Q911" s="114" t="s">
        <v>79</v>
      </c>
      <c r="R911" s="114"/>
      <c r="S911" s="212">
        <v>727.7</v>
      </c>
      <c r="T911" s="114" t="s">
        <v>1609</v>
      </c>
      <c r="U911" s="212">
        <v>1</v>
      </c>
      <c r="V911" s="212">
        <v>624</v>
      </c>
      <c r="W911" s="212">
        <v>510</v>
      </c>
      <c r="X911" s="114" t="s">
        <v>84</v>
      </c>
      <c r="Y911" s="124" t="s">
        <v>85</v>
      </c>
      <c r="Z911" s="175" t="s">
        <v>86</v>
      </c>
      <c r="AA911" s="114" t="s">
        <v>87</v>
      </c>
      <c r="AB911" s="213">
        <v>234.95</v>
      </c>
      <c r="AC911" s="122">
        <f>IF(C911="DENALI", AB911*0.495, IF(C911="SCHNEIDER ELECTRIC", AB911*1.136, IF(C911="WWT", AB911*1.2, AC911)))+AB911</f>
        <v>351.25024999999999</v>
      </c>
      <c r="AD911" s="129">
        <f>AC911-AB911</f>
        <v>116.30025000000001</v>
      </c>
      <c r="AE911" s="213">
        <v>116875.2</v>
      </c>
      <c r="AF911" s="232">
        <f>AB911/U911</f>
        <v>234.95</v>
      </c>
      <c r="AG911" s="232">
        <f>AB911/V911</f>
        <v>0.37652243589743589</v>
      </c>
      <c r="AH911" s="247">
        <f>AB911/S911</f>
        <v>0.32286656589253809</v>
      </c>
      <c r="AI911" s="124">
        <v>1290</v>
      </c>
      <c r="AJ911" s="124" t="s">
        <v>349</v>
      </c>
      <c r="AK911"/>
      <c r="AM911" s="80"/>
    </row>
    <row r="912" spans="1:39" ht="28.5" customHeight="1">
      <c r="A912" s="113" t="s">
        <v>73</v>
      </c>
      <c r="B912" s="114" t="s">
        <v>74</v>
      </c>
      <c r="C912" s="113" t="s">
        <v>35</v>
      </c>
      <c r="D912" s="124" t="s">
        <v>218</v>
      </c>
      <c r="E912" s="124" t="s">
        <v>1460</v>
      </c>
      <c r="F912" s="260" t="s">
        <v>585</v>
      </c>
      <c r="G912" s="96" t="s">
        <v>3193</v>
      </c>
      <c r="H912" s="90">
        <v>46290</v>
      </c>
      <c r="I912" s="170" t="s">
        <v>79</v>
      </c>
      <c r="J912" s="228">
        <v>557732523</v>
      </c>
      <c r="K912" s="165">
        <v>46283</v>
      </c>
      <c r="L912" s="82" t="s">
        <v>81</v>
      </c>
      <c r="M912" s="90">
        <v>46289</v>
      </c>
      <c r="N912" s="263">
        <v>46288</v>
      </c>
      <c r="O912" s="216">
        <f>NETWORKDAYS.INTL(K912,N912,1,$AM$2:$AM$10)-1</f>
        <v>3</v>
      </c>
      <c r="P912" s="101" t="s">
        <v>81</v>
      </c>
      <c r="Q912" s="114" t="s">
        <v>79</v>
      </c>
      <c r="R912" s="114"/>
      <c r="S912" s="212">
        <v>1832.5</v>
      </c>
      <c r="T912" s="114" t="s">
        <v>3194</v>
      </c>
      <c r="U912" s="212">
        <v>3</v>
      </c>
      <c r="V912" s="212">
        <v>1151</v>
      </c>
      <c r="W912" s="212">
        <v>2310</v>
      </c>
      <c r="X912" s="114" t="s">
        <v>84</v>
      </c>
      <c r="Y912" s="124" t="s">
        <v>85</v>
      </c>
      <c r="Z912" s="175" t="s">
        <v>86</v>
      </c>
      <c r="AA912" s="114" t="s">
        <v>87</v>
      </c>
      <c r="AB912" s="213">
        <v>873.46</v>
      </c>
      <c r="AC912" s="122">
        <f>IF(C912="DENALI", AB912*0.495, IF(C912="SCHNEIDER ELECTRIC", AB912*1.136, IF(C912="WWT", AB912*1.2, AC912)))+AB912</f>
        <v>1305.8227000000002</v>
      </c>
      <c r="AD912" s="129">
        <f>AC912-AB912</f>
        <v>432.36270000000013</v>
      </c>
      <c r="AE912" s="213">
        <v>117042.44</v>
      </c>
      <c r="AF912" s="232">
        <f>AB912/U912</f>
        <v>291.15333333333336</v>
      </c>
      <c r="AG912" s="232">
        <f>AB912/V912</f>
        <v>0.75887054735013038</v>
      </c>
      <c r="AH912" s="247">
        <f>AB912/S912</f>
        <v>0.4766493860845839</v>
      </c>
      <c r="AI912" s="124">
        <v>1060</v>
      </c>
      <c r="AJ912" s="124" t="s">
        <v>343</v>
      </c>
      <c r="AK912"/>
      <c r="AM912" s="80"/>
    </row>
    <row r="913" spans="1:39" ht="28.5" customHeight="1">
      <c r="A913" s="113" t="s">
        <v>73</v>
      </c>
      <c r="B913" s="114" t="s">
        <v>74</v>
      </c>
      <c r="C913" s="113" t="s">
        <v>227</v>
      </c>
      <c r="D913" s="124" t="s">
        <v>228</v>
      </c>
      <c r="E913" s="260" t="s">
        <v>141</v>
      </c>
      <c r="F913" s="96" t="s">
        <v>142</v>
      </c>
      <c r="G913" s="96" t="s">
        <v>3195</v>
      </c>
      <c r="H913" s="90">
        <v>46294</v>
      </c>
      <c r="I913" s="170" t="s">
        <v>79</v>
      </c>
      <c r="J913" s="151">
        <v>34914171</v>
      </c>
      <c r="K913" s="165">
        <v>46286</v>
      </c>
      <c r="L913" s="82" t="s">
        <v>81</v>
      </c>
      <c r="M913" s="90">
        <v>46287</v>
      </c>
      <c r="N913" s="263">
        <v>46288</v>
      </c>
      <c r="O913" s="216">
        <f>NETWORKDAYS.INTL(K913,N913,1,$AM$2:$AM$10)-1</f>
        <v>2</v>
      </c>
      <c r="P913" s="101" t="s">
        <v>81</v>
      </c>
      <c r="Q913" s="114" t="s">
        <v>79</v>
      </c>
      <c r="R913" s="114"/>
      <c r="S913" s="212">
        <v>326.10000000000002</v>
      </c>
      <c r="T913" s="114" t="s">
        <v>3196</v>
      </c>
      <c r="U913" s="212">
        <v>1</v>
      </c>
      <c r="V913" s="212">
        <v>42</v>
      </c>
      <c r="W913" s="212">
        <v>397</v>
      </c>
      <c r="X913" s="114" t="s">
        <v>84</v>
      </c>
      <c r="Y913" s="124" t="s">
        <v>85</v>
      </c>
      <c r="Z913" s="115" t="s">
        <v>2723</v>
      </c>
      <c r="AA913" s="114" t="s">
        <v>87</v>
      </c>
      <c r="AB913" s="213">
        <v>230.63</v>
      </c>
      <c r="AC913" s="122">
        <f>IF(C913="DENALI", AB913*0.495, IF(C913="SCHNEIDER ELECTRIC", AB913*1.136, IF(C913="WWT", AB913*1.2, AC913)))+AB913</f>
        <v>507.38599999999997</v>
      </c>
      <c r="AD913" s="129">
        <f>AC913-AB913</f>
        <v>276.75599999999997</v>
      </c>
      <c r="AE913" s="213">
        <v>347475</v>
      </c>
      <c r="AF913" s="232">
        <f>AB913/U913</f>
        <v>230.63</v>
      </c>
      <c r="AG913" s="232">
        <f>AB913/V913</f>
        <v>5.491190476190476</v>
      </c>
      <c r="AH913" s="247">
        <f>AB913/S913</f>
        <v>0.70723704385157926</v>
      </c>
      <c r="AI913" s="124">
        <v>1084</v>
      </c>
      <c r="AJ913" s="124" t="s">
        <v>379</v>
      </c>
      <c r="AK913"/>
      <c r="AM913" s="80"/>
    </row>
    <row r="914" spans="1:39" ht="28.5" customHeight="1">
      <c r="A914" s="113" t="s">
        <v>73</v>
      </c>
      <c r="B914" s="114" t="s">
        <v>74</v>
      </c>
      <c r="C914" s="113" t="s">
        <v>36</v>
      </c>
      <c r="D914" s="124" t="s">
        <v>75</v>
      </c>
      <c r="E914" s="124" t="s">
        <v>3165</v>
      </c>
      <c r="F914" s="260" t="s">
        <v>370</v>
      </c>
      <c r="G914" s="96" t="s">
        <v>3197</v>
      </c>
      <c r="H914" s="90">
        <v>46293</v>
      </c>
      <c r="I914" s="170" t="s">
        <v>79</v>
      </c>
      <c r="J914" s="228">
        <v>557731403</v>
      </c>
      <c r="K914" s="165">
        <v>46283</v>
      </c>
      <c r="L914" s="82" t="s">
        <v>81</v>
      </c>
      <c r="M914" s="90">
        <v>46287</v>
      </c>
      <c r="N914" s="264">
        <v>46288</v>
      </c>
      <c r="O914" s="275">
        <f>NETWORKDAYS.INTL(K914,N914,1,$AM$2:$AM$10)-1</f>
        <v>3</v>
      </c>
      <c r="P914" s="114" t="s">
        <v>81</v>
      </c>
      <c r="Q914" s="114" t="s">
        <v>79</v>
      </c>
      <c r="R914" s="114"/>
      <c r="S914" s="212">
        <v>706.8</v>
      </c>
      <c r="T914" s="114" t="s">
        <v>3198</v>
      </c>
      <c r="U914" s="212">
        <v>1</v>
      </c>
      <c r="V914" s="212">
        <v>10</v>
      </c>
      <c r="W914" s="212">
        <v>427</v>
      </c>
      <c r="X914" s="114" t="s">
        <v>84</v>
      </c>
      <c r="Y914" s="124" t="s">
        <v>85</v>
      </c>
      <c r="Z914" s="175" t="s">
        <v>86</v>
      </c>
      <c r="AA914" s="114" t="s">
        <v>87</v>
      </c>
      <c r="AB914" s="213">
        <v>259.62</v>
      </c>
      <c r="AC914" s="122">
        <f>IF(C914="DENALI", AB914*0.495, IF(C914="SCHNEIDER ELECTRIC", AB914*1.136, IF(C914="WWT", AB914*1.2, AC914)))+AB914</f>
        <v>554.54831999999999</v>
      </c>
      <c r="AD914" s="129">
        <f>AC914-AB914</f>
        <v>294.92831999999999</v>
      </c>
      <c r="AE914" s="213">
        <v>3930.55</v>
      </c>
      <c r="AF914" s="232">
        <f>AB914/U914</f>
        <v>259.62</v>
      </c>
      <c r="AG914" s="232">
        <f>AB914/V914</f>
        <v>25.962</v>
      </c>
      <c r="AH914" s="247">
        <f>AB914/S914</f>
        <v>0.3673174872665535</v>
      </c>
      <c r="AI914" s="124">
        <v>1060</v>
      </c>
      <c r="AJ914" s="124" t="s">
        <v>343</v>
      </c>
      <c r="AK914"/>
      <c r="AM914" s="80"/>
    </row>
    <row r="915" spans="1:39" ht="28.5" customHeight="1">
      <c r="A915" s="113" t="s">
        <v>73</v>
      </c>
      <c r="B915" s="114" t="s">
        <v>140</v>
      </c>
      <c r="C915" s="113" t="s">
        <v>227</v>
      </c>
      <c r="D915" s="124" t="s">
        <v>228</v>
      </c>
      <c r="E915" s="124" t="s">
        <v>141</v>
      </c>
      <c r="F915" s="260" t="s">
        <v>142</v>
      </c>
      <c r="G915" s="96" t="s">
        <v>3199</v>
      </c>
      <c r="H915" s="90">
        <v>46293</v>
      </c>
      <c r="I915" s="170" t="s">
        <v>79</v>
      </c>
      <c r="J915" s="151">
        <v>34914176</v>
      </c>
      <c r="K915" s="165">
        <v>46286</v>
      </c>
      <c r="L915" s="82" t="s">
        <v>81</v>
      </c>
      <c r="M915" s="90">
        <v>46287</v>
      </c>
      <c r="N915" s="255">
        <v>46288</v>
      </c>
      <c r="O915" s="275">
        <f>NETWORKDAYS.INTL(K915,N915,1,$AM$2:$AM$10)-1</f>
        <v>2</v>
      </c>
      <c r="P915" s="114" t="s">
        <v>81</v>
      </c>
      <c r="Q915" s="114" t="s">
        <v>79</v>
      </c>
      <c r="R915" s="114"/>
      <c r="S915" s="212">
        <v>326.10000000000002</v>
      </c>
      <c r="T915" s="114" t="s">
        <v>3200</v>
      </c>
      <c r="U915" s="212">
        <v>1</v>
      </c>
      <c r="V915" s="212">
        <v>34</v>
      </c>
      <c r="W915" s="212">
        <v>442</v>
      </c>
      <c r="X915" s="114" t="s">
        <v>84</v>
      </c>
      <c r="Y915" s="124" t="s">
        <v>85</v>
      </c>
      <c r="Z915" s="115" t="s">
        <v>2723</v>
      </c>
      <c r="AA915" s="114" t="s">
        <v>87</v>
      </c>
      <c r="AB915" s="213">
        <v>227.4</v>
      </c>
      <c r="AC915" s="122">
        <f>IF(C915="DENALI", AB915*0.495, IF(C915="SCHNEIDER ELECTRIC", AB915*1.136, IF(C915="WWT", AB915*1.2, AC915)))+AB915</f>
        <v>500.28</v>
      </c>
      <c r="AD915" s="129">
        <f>AC915-AB915</f>
        <v>272.88</v>
      </c>
      <c r="AE915" s="213">
        <v>277980</v>
      </c>
      <c r="AF915" s="232">
        <f>AB915/U915</f>
        <v>227.4</v>
      </c>
      <c r="AG915" s="232">
        <f>AB915/V915</f>
        <v>6.6882352941176473</v>
      </c>
      <c r="AH915" s="247">
        <f>AB915/S915</f>
        <v>0.69733210671573131</v>
      </c>
      <c r="AI915" s="124">
        <v>1172</v>
      </c>
      <c r="AJ915" s="124" t="s">
        <v>89</v>
      </c>
      <c r="AK915"/>
      <c r="AM915" s="80"/>
    </row>
    <row r="916" spans="1:39" ht="28.5" customHeight="1">
      <c r="A916" s="113" t="s">
        <v>73</v>
      </c>
      <c r="B916" s="114" t="s">
        <v>74</v>
      </c>
      <c r="C916" s="113" t="s">
        <v>227</v>
      </c>
      <c r="D916" s="124" t="s">
        <v>228</v>
      </c>
      <c r="E916" s="124" t="s">
        <v>3201</v>
      </c>
      <c r="F916" s="260" t="s">
        <v>2196</v>
      </c>
      <c r="G916" s="96" t="s">
        <v>3202</v>
      </c>
      <c r="H916" s="90">
        <v>46293</v>
      </c>
      <c r="I916" s="170" t="s">
        <v>79</v>
      </c>
      <c r="J916" s="151">
        <v>557734752</v>
      </c>
      <c r="K916" s="165">
        <v>46286</v>
      </c>
      <c r="L916" s="82" t="s">
        <v>81</v>
      </c>
      <c r="M916" s="90">
        <v>46289</v>
      </c>
      <c r="N916" s="255">
        <v>46294</v>
      </c>
      <c r="O916" s="275">
        <f>NETWORKDAYS.INTL(K916,N916,1,$AM$2:$AM$10)-1</f>
        <v>6</v>
      </c>
      <c r="P916" s="114" t="s">
        <v>81</v>
      </c>
      <c r="Q916" s="114" t="s">
        <v>79</v>
      </c>
      <c r="R916" s="114"/>
      <c r="S916" s="212">
        <v>1252.2</v>
      </c>
      <c r="T916" s="114" t="s">
        <v>3203</v>
      </c>
      <c r="U916" s="212">
        <v>1</v>
      </c>
      <c r="V916" s="212">
        <v>20</v>
      </c>
      <c r="W916" s="212">
        <v>262</v>
      </c>
      <c r="X916" s="114" t="s">
        <v>84</v>
      </c>
      <c r="Y916" s="124" t="s">
        <v>85</v>
      </c>
      <c r="Z916" s="115" t="s">
        <v>86</v>
      </c>
      <c r="AA916" s="114" t="s">
        <v>87</v>
      </c>
      <c r="AB916" s="213">
        <v>531.92999999999995</v>
      </c>
      <c r="AC916" s="122">
        <f>IF(C916="DENALI", AB916*0.495, IF(C916="SCHNEIDER ELECTRIC", AB916*1.136, IF(C916="WWT", AB916*1.2, AC916)))+AB916</f>
        <v>1170.2459999999999</v>
      </c>
      <c r="AD916" s="129">
        <f>AC916-AB916</f>
        <v>638.31599999999992</v>
      </c>
      <c r="AE916" s="213">
        <v>90996.46</v>
      </c>
      <c r="AF916" s="232">
        <f>AB916/U916</f>
        <v>531.92999999999995</v>
      </c>
      <c r="AG916" s="232">
        <f>AB916/V916</f>
        <v>26.596499999999999</v>
      </c>
      <c r="AH916" s="247">
        <f>AB916/S916</f>
        <v>0.42479635840919977</v>
      </c>
      <c r="AI916" s="124">
        <v>1084</v>
      </c>
      <c r="AJ916" s="124" t="s">
        <v>379</v>
      </c>
      <c r="AK916"/>
      <c r="AM916" s="80"/>
    </row>
    <row r="917" spans="1:39" ht="28.5" customHeight="1">
      <c r="A917" s="113" t="s">
        <v>73</v>
      </c>
      <c r="B917" s="114" t="s">
        <v>74</v>
      </c>
      <c r="C917" s="113" t="s">
        <v>36</v>
      </c>
      <c r="D917" s="124" t="s">
        <v>75</v>
      </c>
      <c r="E917" s="124" t="s">
        <v>3204</v>
      </c>
      <c r="F917" s="124" t="s">
        <v>142</v>
      </c>
      <c r="G917" s="267" t="s">
        <v>3205</v>
      </c>
      <c r="H917" s="90">
        <v>46293</v>
      </c>
      <c r="I917" s="170" t="s">
        <v>79</v>
      </c>
      <c r="J917" s="228">
        <v>557734041</v>
      </c>
      <c r="K917" s="165">
        <v>46286</v>
      </c>
      <c r="L917" s="82" t="s">
        <v>81</v>
      </c>
      <c r="M917" s="90">
        <v>46288</v>
      </c>
      <c r="N917" s="255">
        <v>46290</v>
      </c>
      <c r="O917" s="275">
        <f t="shared" ref="O917:O923" si="0">NETWORKDAYS.INTL(K917,N917,1,$AM$2:$AM$10)-1</f>
        <v>4</v>
      </c>
      <c r="P917" s="114" t="s">
        <v>81</v>
      </c>
      <c r="Q917" s="114" t="s">
        <v>79</v>
      </c>
      <c r="R917" s="114"/>
      <c r="S917" s="212">
        <v>938</v>
      </c>
      <c r="T917" s="114" t="s">
        <v>3206</v>
      </c>
      <c r="U917" s="212">
        <v>1</v>
      </c>
      <c r="V917" s="212">
        <v>6</v>
      </c>
      <c r="W917" s="212">
        <v>502</v>
      </c>
      <c r="X917" s="114" t="s">
        <v>84</v>
      </c>
      <c r="Y917" s="124" t="s">
        <v>85</v>
      </c>
      <c r="Z917" s="115" t="s">
        <v>86</v>
      </c>
      <c r="AA917" s="114" t="s">
        <v>87</v>
      </c>
      <c r="AB917" s="213">
        <v>224.52</v>
      </c>
      <c r="AC917" s="122">
        <f>IF(C917="DENALI", AB917*0.495, IF(C917="SCHNEIDER ELECTRIC", AB917*1.136, IF(C917="WWT", AB917*1.2, AC917)))+AB917</f>
        <v>479.57471999999996</v>
      </c>
      <c r="AD917" s="129">
        <f t="shared" ref="AD917:AD918" si="1">AC917-AB917</f>
        <v>255.05471999999995</v>
      </c>
      <c r="AE917" s="213">
        <v>2921.16</v>
      </c>
      <c r="AF917" s="232">
        <f t="shared" ref="AF917:AF918" si="2">AB917/U917</f>
        <v>224.52</v>
      </c>
      <c r="AG917" s="232">
        <f t="shared" ref="AG917:AG918" si="3">AB917/V917</f>
        <v>37.42</v>
      </c>
      <c r="AH917" s="247">
        <f t="shared" ref="AH917:AH918" si="4">AB917/S917</f>
        <v>0.23936034115138594</v>
      </c>
      <c r="AI917" s="124">
        <v>1173</v>
      </c>
      <c r="AJ917" s="124" t="s">
        <v>2353</v>
      </c>
      <c r="AK917"/>
      <c r="AM917" s="80"/>
    </row>
    <row r="918" spans="1:39" ht="28.5" customHeight="1">
      <c r="A918" s="113" t="s">
        <v>73</v>
      </c>
      <c r="B918" s="114" t="s">
        <v>74</v>
      </c>
      <c r="C918" s="113" t="s">
        <v>36</v>
      </c>
      <c r="D918" s="124" t="s">
        <v>75</v>
      </c>
      <c r="E918" s="124" t="s">
        <v>3207</v>
      </c>
      <c r="F918" s="124" t="s">
        <v>77</v>
      </c>
      <c r="G918" s="260" t="s">
        <v>3208</v>
      </c>
      <c r="H918" s="90">
        <v>46293</v>
      </c>
      <c r="I918" s="170" t="s">
        <v>79</v>
      </c>
      <c r="J918" s="151">
        <v>5057002785</v>
      </c>
      <c r="K918" s="165">
        <v>46286</v>
      </c>
      <c r="L918" s="82" t="s">
        <v>81</v>
      </c>
      <c r="M918" s="90">
        <v>46287</v>
      </c>
      <c r="N918" s="255">
        <v>46290</v>
      </c>
      <c r="O918" s="275">
        <f t="shared" si="0"/>
        <v>4</v>
      </c>
      <c r="P918" s="114" t="s">
        <v>81</v>
      </c>
      <c r="Q918" s="114" t="s">
        <v>79</v>
      </c>
      <c r="R918" s="114"/>
      <c r="S918" s="212">
        <v>164.6</v>
      </c>
      <c r="T918" s="114" t="s">
        <v>3209</v>
      </c>
      <c r="U918" s="212">
        <v>1</v>
      </c>
      <c r="V918" s="212">
        <v>8</v>
      </c>
      <c r="W918" s="212">
        <v>614</v>
      </c>
      <c r="X918" s="114" t="s">
        <v>84</v>
      </c>
      <c r="Y918" s="124" t="s">
        <v>85</v>
      </c>
      <c r="Z918" s="175" t="s">
        <v>3031</v>
      </c>
      <c r="AA918" s="114" t="s">
        <v>87</v>
      </c>
      <c r="AB918" s="213">
        <v>184.13</v>
      </c>
      <c r="AC918" s="122">
        <f>IF(C918="DENALI", AB918*0.495, IF(C918="SCHNEIDER ELECTRIC", AB918*1.136, IF(C918="WWT", AB918*1.2, AC918)))+AB918</f>
        <v>393.30167999999998</v>
      </c>
      <c r="AD918" s="129">
        <f t="shared" si="1"/>
        <v>209.17167999999998</v>
      </c>
      <c r="AE918" s="213">
        <v>16491.61</v>
      </c>
      <c r="AF918" s="232">
        <f t="shared" si="2"/>
        <v>184.13</v>
      </c>
      <c r="AG918" s="232">
        <f t="shared" si="3"/>
        <v>23.016249999999999</v>
      </c>
      <c r="AH918" s="247">
        <f t="shared" si="4"/>
        <v>1.1186512758201701</v>
      </c>
      <c r="AI918" s="124">
        <v>1172</v>
      </c>
      <c r="AJ918" s="124" t="s">
        <v>2272</v>
      </c>
      <c r="AK918"/>
      <c r="AM918" s="80"/>
    </row>
    <row r="919" spans="1:39" ht="28.5" customHeight="1">
      <c r="A919" s="113" t="s">
        <v>73</v>
      </c>
      <c r="B919" s="114" t="s">
        <v>140</v>
      </c>
      <c r="C919" s="113" t="s">
        <v>35</v>
      </c>
      <c r="D919" s="124" t="s">
        <v>99</v>
      </c>
      <c r="E919" s="124" t="s">
        <v>141</v>
      </c>
      <c r="F919" s="124" t="s">
        <v>142</v>
      </c>
      <c r="G919" s="124" t="s">
        <v>3210</v>
      </c>
      <c r="H919" s="253">
        <v>46293</v>
      </c>
      <c r="I919" s="239" t="s">
        <v>79</v>
      </c>
      <c r="J919" s="151">
        <v>557736561</v>
      </c>
      <c r="K919" s="293">
        <v>46287</v>
      </c>
      <c r="L919" s="174" t="s">
        <v>81</v>
      </c>
      <c r="M919" s="253">
        <v>46287</v>
      </c>
      <c r="N919" s="211">
        <v>46294</v>
      </c>
      <c r="O919" s="275">
        <f t="shared" si="0"/>
        <v>5</v>
      </c>
      <c r="P919" s="114" t="s">
        <v>81</v>
      </c>
      <c r="Q919" s="114" t="s">
        <v>79</v>
      </c>
      <c r="R919" s="114"/>
      <c r="S919" s="212">
        <v>2435</v>
      </c>
      <c r="T919" s="114" t="s">
        <v>3211</v>
      </c>
      <c r="U919" s="212">
        <v>2</v>
      </c>
      <c r="V919" s="212">
        <v>82</v>
      </c>
      <c r="W919" s="212">
        <v>1270</v>
      </c>
      <c r="X919" s="114" t="s">
        <v>84</v>
      </c>
      <c r="Y919" s="124" t="s">
        <v>85</v>
      </c>
      <c r="Z919" s="115" t="s">
        <v>86</v>
      </c>
      <c r="AA919" s="114" t="s">
        <v>87</v>
      </c>
      <c r="AB919" s="213">
        <v>714.96</v>
      </c>
      <c r="AC919" s="122">
        <f>IF(C919="DENALI", AB919*0.495, IF(C919="SCHNEIDER ELECTRIC", AB919*1.136, IF(C919="WWT", AB919*1.2, AC919)))+AB919</f>
        <v>1068.8652000000002</v>
      </c>
      <c r="AD919" s="129">
        <f t="shared" ref="AD919" si="5">AC919-AB919</f>
        <v>353.90520000000015</v>
      </c>
      <c r="AE919" s="213">
        <v>119293.6</v>
      </c>
      <c r="AF919" s="232">
        <f t="shared" ref="AF919" si="6">AB919/U919</f>
        <v>357.48</v>
      </c>
      <c r="AG919" s="232">
        <f t="shared" ref="AG919" si="7">AB919/V919</f>
        <v>8.7190243902439022</v>
      </c>
      <c r="AH919" s="247">
        <f t="shared" ref="AH919" si="8">AB919/S919</f>
        <v>0.29361806981519506</v>
      </c>
      <c r="AI919" s="124">
        <v>1060</v>
      </c>
      <c r="AJ919" s="124" t="s">
        <v>343</v>
      </c>
      <c r="AK919"/>
      <c r="AM919" s="80"/>
    </row>
    <row r="920" spans="1:39" ht="28.5" customHeight="1">
      <c r="A920" s="113" t="s">
        <v>73</v>
      </c>
      <c r="B920" s="114" t="s">
        <v>74</v>
      </c>
      <c r="C920" s="113" t="s">
        <v>35</v>
      </c>
      <c r="D920" s="124" t="s">
        <v>218</v>
      </c>
      <c r="E920" s="124" t="s">
        <v>405</v>
      </c>
      <c r="F920" s="124" t="s">
        <v>109</v>
      </c>
      <c r="G920" s="124" t="s">
        <v>3212</v>
      </c>
      <c r="H920" s="209">
        <v>46295</v>
      </c>
      <c r="I920" s="167" t="s">
        <v>79</v>
      </c>
      <c r="J920" s="228">
        <v>557737342</v>
      </c>
      <c r="K920" s="250">
        <v>46287</v>
      </c>
      <c r="L920" s="114" t="s">
        <v>81</v>
      </c>
      <c r="M920" s="209">
        <v>46290</v>
      </c>
      <c r="N920" s="211">
        <v>46289</v>
      </c>
      <c r="O920" s="275">
        <f t="shared" si="0"/>
        <v>2</v>
      </c>
      <c r="P920" s="114" t="s">
        <v>81</v>
      </c>
      <c r="Q920" s="114" t="s">
        <v>79</v>
      </c>
      <c r="R920" s="114"/>
      <c r="S920" s="212">
        <v>1036</v>
      </c>
      <c r="T920" s="114" t="s">
        <v>3213</v>
      </c>
      <c r="U920" s="286">
        <v>1</v>
      </c>
      <c r="V920" s="286">
        <v>36</v>
      </c>
      <c r="W920" s="286">
        <v>580</v>
      </c>
      <c r="X920" s="114" t="s">
        <v>84</v>
      </c>
      <c r="Y920" s="124" t="s">
        <v>85</v>
      </c>
      <c r="Z920" s="115" t="s">
        <v>86</v>
      </c>
      <c r="AA920" s="114" t="s">
        <v>87</v>
      </c>
      <c r="AB920" s="213">
        <v>358.06</v>
      </c>
      <c r="AC920" s="122">
        <f>IF(C920="DENALI", AB920*0.495, IF(C920="SCHNEIDER ELECTRIC", AB920*1.136, IF(C920="WWT", AB920*1.2, AC920)))+AB920</f>
        <v>535.29970000000003</v>
      </c>
      <c r="AD920" s="129">
        <f>AC920-AB920</f>
        <v>177.23970000000003</v>
      </c>
      <c r="AE920" s="213">
        <v>52372.800000000003</v>
      </c>
      <c r="AF920" s="232">
        <f t="shared" ref="AF920" si="9">AB920/U920</f>
        <v>358.06</v>
      </c>
      <c r="AG920" s="232">
        <f t="shared" ref="AG920" si="10">AB920/V920</f>
        <v>9.9461111111111116</v>
      </c>
      <c r="AH920" s="247">
        <f t="shared" ref="AH920" si="11">AB920/S920</f>
        <v>0.34561776061776062</v>
      </c>
      <c r="AI920" s="124">
        <v>1060</v>
      </c>
      <c r="AJ920" s="124" t="s">
        <v>343</v>
      </c>
      <c r="AK920"/>
      <c r="AM920" s="80"/>
    </row>
    <row r="921" spans="1:39" ht="28.5" customHeight="1">
      <c r="A921" s="113" t="s">
        <v>73</v>
      </c>
      <c r="B921" s="114" t="s">
        <v>74</v>
      </c>
      <c r="C921" s="113" t="s">
        <v>35</v>
      </c>
      <c r="D921" s="124" t="s">
        <v>218</v>
      </c>
      <c r="E921" s="124" t="s">
        <v>992</v>
      </c>
      <c r="F921" s="124" t="s">
        <v>75</v>
      </c>
      <c r="G921" s="124" t="s">
        <v>3214</v>
      </c>
      <c r="H921" s="209">
        <v>46295</v>
      </c>
      <c r="I921" s="167" t="s">
        <v>79</v>
      </c>
      <c r="J921" s="162">
        <v>557735006</v>
      </c>
      <c r="K921" s="250">
        <v>46287</v>
      </c>
      <c r="L921" s="114" t="s">
        <v>81</v>
      </c>
      <c r="M921" s="209">
        <v>46289</v>
      </c>
      <c r="N921" s="211">
        <v>46289</v>
      </c>
      <c r="O921" s="275">
        <f t="shared" si="0"/>
        <v>2</v>
      </c>
      <c r="P921" s="114" t="s">
        <v>81</v>
      </c>
      <c r="Q921" s="114" t="s">
        <v>79</v>
      </c>
      <c r="R921" s="114"/>
      <c r="S921" s="212">
        <v>534</v>
      </c>
      <c r="T921" s="167" t="s">
        <v>3215</v>
      </c>
      <c r="U921" s="258">
        <v>2</v>
      </c>
      <c r="V921" s="258">
        <v>1869</v>
      </c>
      <c r="W921" s="258">
        <v>1520</v>
      </c>
      <c r="X921" s="101" t="s">
        <v>84</v>
      </c>
      <c r="Y921" s="124" t="s">
        <v>85</v>
      </c>
      <c r="Z921" s="115" t="s">
        <v>86</v>
      </c>
      <c r="AA921" s="114" t="s">
        <v>87</v>
      </c>
      <c r="AB921" s="213">
        <v>457.67</v>
      </c>
      <c r="AC921" s="122">
        <f>IF(C921="DENALI", AB921*0.495, IF(C921="SCHNEIDER ELECTRIC", AB921*1.136, IF(C921="WWT", AB921*1.2, AC921)))+AB921</f>
        <v>684.21665000000007</v>
      </c>
      <c r="AD921" s="129">
        <f>AC921-AB921</f>
        <v>226.54665000000006</v>
      </c>
      <c r="AE921" s="213">
        <v>33417.72</v>
      </c>
      <c r="AF921" s="232">
        <f t="shared" ref="AF921" si="12">AB921/U921</f>
        <v>228.83500000000001</v>
      </c>
      <c r="AG921" s="232">
        <f t="shared" ref="AG921" si="13">AB921/V921</f>
        <v>0.24487426431246656</v>
      </c>
      <c r="AH921" s="247">
        <f t="shared" ref="AH921" si="14">AB921/S921</f>
        <v>0.85705992509363293</v>
      </c>
      <c r="AI921" s="124">
        <v>1290</v>
      </c>
      <c r="AJ921" s="124" t="s">
        <v>349</v>
      </c>
      <c r="AK921"/>
      <c r="AM921" s="80"/>
    </row>
    <row r="922" spans="1:39" ht="28.5" customHeight="1">
      <c r="A922" s="113" t="s">
        <v>73</v>
      </c>
      <c r="B922" s="114" t="s">
        <v>74</v>
      </c>
      <c r="C922" s="113" t="s">
        <v>35</v>
      </c>
      <c r="D922" s="124" t="s">
        <v>218</v>
      </c>
      <c r="E922" s="124" t="s">
        <v>1788</v>
      </c>
      <c r="F922" s="124" t="s">
        <v>77</v>
      </c>
      <c r="G922" s="124" t="s">
        <v>3216</v>
      </c>
      <c r="H922" s="209">
        <v>46295</v>
      </c>
      <c r="I922" s="167" t="s">
        <v>79</v>
      </c>
      <c r="J922" s="249">
        <v>5057002799</v>
      </c>
      <c r="K922" s="250">
        <v>46287</v>
      </c>
      <c r="L922" s="114" t="s">
        <v>81</v>
      </c>
      <c r="M922" s="209">
        <v>46288</v>
      </c>
      <c r="N922" s="211">
        <v>46288</v>
      </c>
      <c r="O922" s="275">
        <f t="shared" si="0"/>
        <v>1</v>
      </c>
      <c r="P922" s="114" t="s">
        <v>81</v>
      </c>
      <c r="Q922" s="114" t="s">
        <v>79</v>
      </c>
      <c r="R922" s="114"/>
      <c r="S922" s="212">
        <v>647</v>
      </c>
      <c r="T922" s="167" t="s">
        <v>3217</v>
      </c>
      <c r="U922" s="258">
        <v>6</v>
      </c>
      <c r="V922" s="258">
        <v>149</v>
      </c>
      <c r="W922" s="258">
        <v>3515</v>
      </c>
      <c r="X922" s="101" t="s">
        <v>84</v>
      </c>
      <c r="Y922" s="124" t="s">
        <v>85</v>
      </c>
      <c r="Z922" s="175" t="s">
        <v>3031</v>
      </c>
      <c r="AA922" s="114" t="s">
        <v>87</v>
      </c>
      <c r="AB922" s="213">
        <v>713.53</v>
      </c>
      <c r="AC922" s="122">
        <f>IF(C922="DENALI", AB922*0.495, IF(C922="SCHNEIDER ELECTRIC", AB922*1.136, IF(C922="WWT", AB922*1.2, AC922)))+AB922</f>
        <v>1066.7273499999999</v>
      </c>
      <c r="AD922" s="129">
        <f t="shared" ref="AD922:AD924" si="15">AC922-AB922</f>
        <v>353.19734999999991</v>
      </c>
      <c r="AE922" s="213">
        <v>72161.06</v>
      </c>
      <c r="AF922" s="232">
        <f t="shared" ref="AF922:AF924" si="16">AB922/U922</f>
        <v>118.92166666666667</v>
      </c>
      <c r="AG922" s="232">
        <f t="shared" ref="AG922:AG927" si="17">AB922/V922</f>
        <v>4.7887919463087245</v>
      </c>
      <c r="AH922" s="247">
        <f t="shared" ref="AH922:AH924" si="18">AB922/S922</f>
        <v>1.1028284389489953</v>
      </c>
      <c r="AI922" s="124">
        <v>1060</v>
      </c>
      <c r="AJ922" s="124" t="s">
        <v>343</v>
      </c>
      <c r="AK922"/>
      <c r="AM922" s="80"/>
    </row>
    <row r="923" spans="1:39" ht="28.5" customHeight="1">
      <c r="A923" s="113" t="s">
        <v>73</v>
      </c>
      <c r="B923" s="114" t="s">
        <v>74</v>
      </c>
      <c r="C923" s="202" t="s">
        <v>35</v>
      </c>
      <c r="D923" s="237" t="s">
        <v>218</v>
      </c>
      <c r="E923" s="237" t="s">
        <v>384</v>
      </c>
      <c r="F923" s="237" t="s">
        <v>370</v>
      </c>
      <c r="G923" s="237" t="s">
        <v>3218</v>
      </c>
      <c r="H923" s="294">
        <v>46295</v>
      </c>
      <c r="I923" s="248" t="s">
        <v>79</v>
      </c>
      <c r="J923" s="162">
        <v>557735920</v>
      </c>
      <c r="K923" s="257">
        <v>46287</v>
      </c>
      <c r="L923" s="83" t="s">
        <v>81</v>
      </c>
      <c r="M923" s="294">
        <v>46289</v>
      </c>
      <c r="N923" s="211">
        <v>46289</v>
      </c>
      <c r="O923" s="275">
        <f t="shared" si="0"/>
        <v>2</v>
      </c>
      <c r="P923" s="114" t="s">
        <v>81</v>
      </c>
      <c r="Q923" s="114" t="s">
        <v>79</v>
      </c>
      <c r="R923" s="114"/>
      <c r="S923" s="212">
        <v>688</v>
      </c>
      <c r="T923" s="248" t="s">
        <v>3219</v>
      </c>
      <c r="U923" s="258">
        <v>2</v>
      </c>
      <c r="V923" s="258">
        <v>300</v>
      </c>
      <c r="W923" s="258">
        <v>1420</v>
      </c>
      <c r="X923" s="177" t="s">
        <v>84</v>
      </c>
      <c r="Y923" s="237" t="s">
        <v>85</v>
      </c>
      <c r="Z923" s="169" t="s">
        <v>86</v>
      </c>
      <c r="AA923" s="83" t="s">
        <v>87</v>
      </c>
      <c r="AB923" s="287">
        <v>333.33</v>
      </c>
      <c r="AC923" s="179">
        <f>IF(C923="DENALI", AB923*0.495, IF(C923="SCHNEIDER ELECTRIC", AB923*1.136, IF(C923="WWT", AB923*1.2, AC923)))+AB923</f>
        <v>498.32835</v>
      </c>
      <c r="AD923" s="288">
        <f t="shared" si="15"/>
        <v>164.99835000000002</v>
      </c>
      <c r="AE923" s="287">
        <v>209310</v>
      </c>
      <c r="AF923" s="289">
        <f t="shared" si="16"/>
        <v>166.66499999999999</v>
      </c>
      <c r="AG923" s="289">
        <f t="shared" si="17"/>
        <v>1.1111</v>
      </c>
      <c r="AH923" s="290">
        <f t="shared" si="18"/>
        <v>0.48449127906976741</v>
      </c>
      <c r="AI923" s="237">
        <v>1290</v>
      </c>
      <c r="AJ923" s="237" t="s">
        <v>349</v>
      </c>
      <c r="AK923"/>
      <c r="AM923" s="80"/>
    </row>
    <row r="924" spans="1:39" ht="28.5" customHeight="1">
      <c r="A924" s="113" t="s">
        <v>73</v>
      </c>
      <c r="B924" s="167" t="s">
        <v>74</v>
      </c>
      <c r="C924" s="148" t="s">
        <v>35</v>
      </c>
      <c r="D924" s="76" t="s">
        <v>218</v>
      </c>
      <c r="E924" s="76" t="s">
        <v>2825</v>
      </c>
      <c r="F924" s="76" t="s">
        <v>131</v>
      </c>
      <c r="G924" s="76" t="s">
        <v>3220</v>
      </c>
      <c r="H924" s="164">
        <v>46295</v>
      </c>
      <c r="I924" s="82" t="s">
        <v>79</v>
      </c>
      <c r="J924" s="151">
        <v>557736631</v>
      </c>
      <c r="K924" s="90">
        <v>46287</v>
      </c>
      <c r="L924" s="82" t="s">
        <v>81</v>
      </c>
      <c r="M924" s="90">
        <v>46289</v>
      </c>
      <c r="N924" s="261">
        <v>46289</v>
      </c>
      <c r="O924" s="274">
        <f>NETWORKDAYS.INTL(K924,N924,1,$AM$2:$AM$10)-1</f>
        <v>2</v>
      </c>
      <c r="P924" s="114" t="s">
        <v>81</v>
      </c>
      <c r="Q924" s="114" t="s">
        <v>79</v>
      </c>
      <c r="R924" s="114"/>
      <c r="S924" s="285">
        <v>862.3</v>
      </c>
      <c r="T924" s="230" t="s">
        <v>3221</v>
      </c>
      <c r="U924" s="258">
        <v>1</v>
      </c>
      <c r="V924" s="258">
        <v>155</v>
      </c>
      <c r="W924" s="258">
        <v>920</v>
      </c>
      <c r="X924" s="97" t="s">
        <v>84</v>
      </c>
      <c r="Y924" s="77" t="s">
        <v>85</v>
      </c>
      <c r="Z924" s="208" t="s">
        <v>86</v>
      </c>
      <c r="AA924" s="93" t="s">
        <v>87</v>
      </c>
      <c r="AB924" s="178">
        <v>309.57</v>
      </c>
      <c r="AC924" s="296">
        <f>IF(C924="DENALI", AB924*0.495, IF(C924="SCHNEIDER ELECTRIC", AB924*1.136, IF(C924="WWT", AB924*1.2, AC924)))+AB924</f>
        <v>462.80714999999998</v>
      </c>
      <c r="AD924" s="297">
        <f t="shared" si="15"/>
        <v>153.23714999999999</v>
      </c>
      <c r="AE924" s="178">
        <v>215132.9</v>
      </c>
      <c r="AF924" s="289">
        <f t="shared" si="16"/>
        <v>309.57</v>
      </c>
      <c r="AG924" s="289">
        <f t="shared" si="17"/>
        <v>1.9972258064516129</v>
      </c>
      <c r="AH924" s="246">
        <f t="shared" si="18"/>
        <v>0.35900498666357417</v>
      </c>
      <c r="AI924" s="77">
        <v>5766</v>
      </c>
      <c r="AJ924" s="77" t="s">
        <v>2353</v>
      </c>
      <c r="AK924"/>
      <c r="AM924" s="80"/>
    </row>
    <row r="925" spans="1:39" ht="28.5" customHeight="1">
      <c r="A925" s="113" t="s">
        <v>73</v>
      </c>
      <c r="B925" s="167" t="s">
        <v>74</v>
      </c>
      <c r="C925" s="148" t="s">
        <v>35</v>
      </c>
      <c r="D925" s="76" t="s">
        <v>218</v>
      </c>
      <c r="E925" s="154" t="s">
        <v>866</v>
      </c>
      <c r="F925" s="154" t="s">
        <v>90</v>
      </c>
      <c r="G925" s="154">
        <v>24203263</v>
      </c>
      <c r="H925" s="300">
        <v>46295</v>
      </c>
      <c r="I925" s="82" t="s">
        <v>79</v>
      </c>
      <c r="J925" s="151">
        <v>24203263</v>
      </c>
      <c r="K925" s="90">
        <v>46287</v>
      </c>
      <c r="L925" s="82" t="s">
        <v>81</v>
      </c>
      <c r="M925" s="90">
        <v>46290</v>
      </c>
      <c r="N925" s="263">
        <v>46289</v>
      </c>
      <c r="O925" s="216">
        <f>NETWORKDAYS.INTL(K925,N925,1,$AM$2:$AM$10)-1</f>
        <v>2</v>
      </c>
      <c r="P925" s="101" t="s">
        <v>81</v>
      </c>
      <c r="Q925" s="114" t="s">
        <v>79</v>
      </c>
      <c r="R925" s="114"/>
      <c r="S925" s="285">
        <v>1372</v>
      </c>
      <c r="T925" s="170" t="s">
        <v>2052</v>
      </c>
      <c r="U925" s="258">
        <v>3</v>
      </c>
      <c r="V925" s="258">
        <v>600</v>
      </c>
      <c r="W925" s="258">
        <v>1500</v>
      </c>
      <c r="X925" s="259" t="s">
        <v>113</v>
      </c>
      <c r="Y925" s="76" t="s">
        <v>85</v>
      </c>
      <c r="Z925" s="175" t="s">
        <v>2294</v>
      </c>
      <c r="AA925" s="82" t="s">
        <v>87</v>
      </c>
      <c r="AB925" s="88">
        <v>5796.96</v>
      </c>
      <c r="AC925" s="283">
        <f>IF(C925="DENALI", AB925*0.495, IF(C925="SCHNEIDER ELECTRIC", AB925*1.136, IF(C925="WWT", AB925*1.2, AC925)))+AB925</f>
        <v>8666.4552000000003</v>
      </c>
      <c r="AD925" s="284">
        <f>AC925-AB925</f>
        <v>2869.4952000000003</v>
      </c>
      <c r="AE925" s="88">
        <v>373135</v>
      </c>
      <c r="AF925" s="232">
        <f>AB925/U925</f>
        <v>1932.32</v>
      </c>
      <c r="AG925" s="289">
        <f t="shared" si="17"/>
        <v>9.6616</v>
      </c>
      <c r="AH925" s="233">
        <f>AB925/S925</f>
        <v>4.2251895043731782</v>
      </c>
      <c r="AI925" s="76">
        <v>1290</v>
      </c>
      <c r="AJ925" s="76" t="s">
        <v>349</v>
      </c>
      <c r="AK925"/>
      <c r="AM925" s="80"/>
    </row>
    <row r="926" spans="1:39" ht="28.5" customHeight="1">
      <c r="A926" s="113" t="s">
        <v>73</v>
      </c>
      <c r="B926" s="167" t="s">
        <v>74</v>
      </c>
      <c r="C926" s="148" t="s">
        <v>35</v>
      </c>
      <c r="D926" s="76" t="s">
        <v>218</v>
      </c>
      <c r="E926" s="154" t="s">
        <v>1162</v>
      </c>
      <c r="F926" s="154" t="s">
        <v>218</v>
      </c>
      <c r="G926" s="237">
        <v>24201674</v>
      </c>
      <c r="H926" s="301">
        <v>46295</v>
      </c>
      <c r="I926" s="82" t="s">
        <v>79</v>
      </c>
      <c r="J926" s="151">
        <v>24201674</v>
      </c>
      <c r="K926" s="90">
        <v>46287</v>
      </c>
      <c r="L926" s="82" t="s">
        <v>81</v>
      </c>
      <c r="M926" s="90">
        <v>46293</v>
      </c>
      <c r="N926" s="263">
        <v>46290</v>
      </c>
      <c r="O926" s="216">
        <f>NETWORKDAYS.INTL(K926,N926,1,$AM$2:$AM$10)-1</f>
        <v>3</v>
      </c>
      <c r="P926" s="101" t="s">
        <v>81</v>
      </c>
      <c r="Q926" s="114" t="s">
        <v>79</v>
      </c>
      <c r="R926" s="114"/>
      <c r="S926" s="212">
        <v>2115</v>
      </c>
      <c r="T926" s="239" t="s">
        <v>3222</v>
      </c>
      <c r="U926" s="258">
        <v>1</v>
      </c>
      <c r="V926" s="258">
        <v>1</v>
      </c>
      <c r="W926" s="258">
        <v>710</v>
      </c>
      <c r="X926" s="259" t="s">
        <v>113</v>
      </c>
      <c r="Y926" s="76" t="s">
        <v>85</v>
      </c>
      <c r="Z926" s="176" t="s">
        <v>2004</v>
      </c>
      <c r="AA926" s="82" t="s">
        <v>87</v>
      </c>
      <c r="AB926" s="292">
        <v>4120.79</v>
      </c>
      <c r="AC926" s="298">
        <f>IF(C926="DENALI", AB926*0.495, IF(C926="SCHNEIDER ELECTRIC", AB926*1.136, IF(C926="WWT", AB926*1.2, AC926)))+AB926</f>
        <v>6160.5810499999998</v>
      </c>
      <c r="AD926" s="299">
        <f>AC926-AB926</f>
        <v>2039.7910499999998</v>
      </c>
      <c r="AE926" s="292">
        <v>9407.68</v>
      </c>
      <c r="AF926" s="295">
        <f>AB926/U926</f>
        <v>4120.79</v>
      </c>
      <c r="AG926" s="289">
        <f t="shared" si="17"/>
        <v>4120.79</v>
      </c>
      <c r="AH926" s="247">
        <f>AB926/S926</f>
        <v>1.9483640661938535</v>
      </c>
      <c r="AI926" s="76">
        <v>1290</v>
      </c>
      <c r="AJ926" s="76" t="s">
        <v>349</v>
      </c>
      <c r="AK926"/>
      <c r="AM926" s="80"/>
    </row>
    <row r="927" spans="1:39" ht="28.5" customHeight="1">
      <c r="A927" s="113" t="s">
        <v>73</v>
      </c>
      <c r="B927" s="167" t="s">
        <v>74</v>
      </c>
      <c r="C927" s="148" t="s">
        <v>35</v>
      </c>
      <c r="D927" s="76" t="s">
        <v>99</v>
      </c>
      <c r="E927" s="154" t="s">
        <v>861</v>
      </c>
      <c r="F927" s="267" t="s">
        <v>162</v>
      </c>
      <c r="G927" s="76" t="s">
        <v>3223</v>
      </c>
      <c r="H927" s="164">
        <v>46295</v>
      </c>
      <c r="I927" s="82" t="s">
        <v>79</v>
      </c>
      <c r="J927" s="277">
        <v>557735942</v>
      </c>
      <c r="K927" s="90">
        <v>46287</v>
      </c>
      <c r="L927" s="82" t="s">
        <v>81</v>
      </c>
      <c r="M927" s="90">
        <v>46288</v>
      </c>
      <c r="N927" s="263">
        <v>46288</v>
      </c>
      <c r="O927" s="216">
        <f t="shared" ref="O927:O929" si="19">NETWORKDAYS.INTL(K927,N927,1,$AM$2:$AM$10)-1</f>
        <v>1</v>
      </c>
      <c r="P927" s="101" t="s">
        <v>81</v>
      </c>
      <c r="Q927" s="114" t="s">
        <v>79</v>
      </c>
      <c r="R927" s="114"/>
      <c r="S927" s="212">
        <v>264</v>
      </c>
      <c r="T927" s="167" t="s">
        <v>3224</v>
      </c>
      <c r="U927" s="258">
        <v>2</v>
      </c>
      <c r="V927" s="258">
        <v>10</v>
      </c>
      <c r="W927" s="258">
        <v>1577</v>
      </c>
      <c r="X927" s="97" t="s">
        <v>84</v>
      </c>
      <c r="Y927" s="77" t="s">
        <v>85</v>
      </c>
      <c r="Z927" s="208" t="s">
        <v>86</v>
      </c>
      <c r="AA927" s="82" t="s">
        <v>87</v>
      </c>
      <c r="AB927" s="213">
        <v>354.34</v>
      </c>
      <c r="AC927" s="298">
        <f>IF(C927="DENALI", AB927*0.495, IF(C927="SCHNEIDER ELECTRIC", AB927*1.136, IF(C927="WWT", AB927*1.2, AC927)))+AB927</f>
        <v>529.73829999999998</v>
      </c>
      <c r="AD927" s="299">
        <f>AC927-AB927</f>
        <v>175.39830000000001</v>
      </c>
      <c r="AE927" s="213">
        <v>41170.5</v>
      </c>
      <c r="AF927" s="295">
        <f>AB927/U927</f>
        <v>177.17</v>
      </c>
      <c r="AG927" s="289">
        <f t="shared" si="17"/>
        <v>35.433999999999997</v>
      </c>
      <c r="AH927" s="247">
        <f>AB927/S927</f>
        <v>1.3421969696969696</v>
      </c>
      <c r="AI927" s="124">
        <v>1290</v>
      </c>
      <c r="AJ927" s="124" t="s">
        <v>3224</v>
      </c>
      <c r="AK927"/>
      <c r="AM927" s="80"/>
    </row>
    <row r="928" spans="1:39" ht="28.5" customHeight="1">
      <c r="A928" s="113" t="s">
        <v>73</v>
      </c>
      <c r="B928" s="114" t="s">
        <v>74</v>
      </c>
      <c r="C928" s="113" t="s">
        <v>36</v>
      </c>
      <c r="D928" s="124" t="s">
        <v>90</v>
      </c>
      <c r="E928" s="124" t="s">
        <v>617</v>
      </c>
      <c r="F928" s="260" t="s">
        <v>92</v>
      </c>
      <c r="G928" s="76">
        <v>24203263</v>
      </c>
      <c r="H928" s="164">
        <v>46295</v>
      </c>
      <c r="I928" s="82" t="s">
        <v>79</v>
      </c>
      <c r="J928" s="249">
        <v>24203263</v>
      </c>
      <c r="K928" s="90">
        <v>46287</v>
      </c>
      <c r="L928" s="82" t="s">
        <v>81</v>
      </c>
      <c r="M928" s="90">
        <v>46290</v>
      </c>
      <c r="N928" s="263">
        <v>46289</v>
      </c>
      <c r="O928" s="216">
        <f t="shared" si="19"/>
        <v>2</v>
      </c>
      <c r="P928" s="101" t="s">
        <v>81</v>
      </c>
      <c r="Q928" s="114" t="s">
        <v>79</v>
      </c>
      <c r="R928" s="114"/>
      <c r="S928" s="212">
        <v>1372</v>
      </c>
      <c r="T928" s="167" t="s">
        <v>3225</v>
      </c>
      <c r="U928" s="258">
        <v>7</v>
      </c>
      <c r="V928" s="258">
        <v>7</v>
      </c>
      <c r="W928" s="258">
        <v>6118</v>
      </c>
      <c r="X928" s="97" t="s">
        <v>113</v>
      </c>
      <c r="Y928" s="77" t="s">
        <v>85</v>
      </c>
      <c r="Z928" s="208" t="s">
        <v>86</v>
      </c>
      <c r="AA928" s="82" t="s">
        <v>87</v>
      </c>
      <c r="AB928" s="213">
        <v>5388.79</v>
      </c>
      <c r="AC928" s="298">
        <f>IF(C928="DENALI", AB928*0.495, IF(C928="SCHNEIDER ELECTRIC", AB928*1.136, IF(C928="WWT", AB928*1.2, AC928)))+AB928</f>
        <v>11510.45544</v>
      </c>
      <c r="AD928" s="299">
        <f t="shared" ref="AD928:AD929" si="20">AC928-AB928</f>
        <v>6121.6654399999998</v>
      </c>
      <c r="AE928" s="213">
        <v>160564.95000000001</v>
      </c>
      <c r="AF928" s="295">
        <f t="shared" ref="AF928:AF929" si="21">AB928/U928</f>
        <v>769.8271428571428</v>
      </c>
      <c r="AG928" s="289">
        <f t="shared" ref="AG928:AG929" si="22">AB928/V928</f>
        <v>769.8271428571428</v>
      </c>
      <c r="AH928" s="247">
        <f t="shared" ref="AH928:AH929" si="23">AB928/S928</f>
        <v>3.9276895043731779</v>
      </c>
      <c r="AI928" s="124">
        <v>1290</v>
      </c>
      <c r="AJ928" s="124" t="s">
        <v>2267</v>
      </c>
      <c r="AK928"/>
      <c r="AM928" s="80"/>
    </row>
    <row r="929" spans="1:39" ht="28.5" customHeight="1">
      <c r="A929" s="113" t="s">
        <v>73</v>
      </c>
      <c r="B929" s="114" t="s">
        <v>74</v>
      </c>
      <c r="C929" s="113" t="s">
        <v>36</v>
      </c>
      <c r="D929" s="124" t="s">
        <v>90</v>
      </c>
      <c r="E929" s="124" t="s">
        <v>3226</v>
      </c>
      <c r="F929" s="260" t="s">
        <v>585</v>
      </c>
      <c r="G929" s="76" t="s">
        <v>3227</v>
      </c>
      <c r="H929" s="164">
        <v>46295</v>
      </c>
      <c r="I929" s="82" t="s">
        <v>79</v>
      </c>
      <c r="J929" s="151">
        <v>557735953</v>
      </c>
      <c r="K929" s="90">
        <v>46287</v>
      </c>
      <c r="L929" s="82" t="s">
        <v>81</v>
      </c>
      <c r="M929" s="90">
        <v>46288</v>
      </c>
      <c r="N929" s="263">
        <v>46288</v>
      </c>
      <c r="O929" s="216">
        <f t="shared" si="19"/>
        <v>1</v>
      </c>
      <c r="P929" s="101" t="s">
        <v>81</v>
      </c>
      <c r="Q929" s="114" t="s">
        <v>79</v>
      </c>
      <c r="R929" s="114"/>
      <c r="S929" s="212">
        <v>346</v>
      </c>
      <c r="T929" s="167" t="s">
        <v>3228</v>
      </c>
      <c r="U929" s="258">
        <v>3</v>
      </c>
      <c r="V929" s="258">
        <v>16</v>
      </c>
      <c r="W929" s="258">
        <v>2437</v>
      </c>
      <c r="X929" s="97" t="s">
        <v>84</v>
      </c>
      <c r="Y929" s="77" t="s">
        <v>85</v>
      </c>
      <c r="Z929" s="208" t="s">
        <v>86</v>
      </c>
      <c r="AA929" s="82" t="s">
        <v>87</v>
      </c>
      <c r="AB929" s="213">
        <v>320.83999999999997</v>
      </c>
      <c r="AC929" s="298">
        <f>IF(C929="DENALI", AB929*0.495, IF(C929="SCHNEIDER ELECTRIC", AB929*1.136, IF(C929="WWT", AB929*1.2, AC929)))+AB929</f>
        <v>685.31423999999993</v>
      </c>
      <c r="AD929" s="299">
        <f t="shared" si="20"/>
        <v>364.47423999999995</v>
      </c>
      <c r="AE929" s="213">
        <v>62987.93</v>
      </c>
      <c r="AF929" s="295">
        <f t="shared" si="21"/>
        <v>106.94666666666666</v>
      </c>
      <c r="AG929" s="289">
        <f t="shared" si="22"/>
        <v>20.052499999999998</v>
      </c>
      <c r="AH929" s="247">
        <f t="shared" si="23"/>
        <v>0.92728323699421955</v>
      </c>
      <c r="AI929" s="124">
        <v>1290</v>
      </c>
      <c r="AJ929" s="124" t="s">
        <v>3224</v>
      </c>
      <c r="AK929"/>
      <c r="AM929" s="80"/>
    </row>
    <row r="930" spans="1:39" ht="28.5" customHeight="1">
      <c r="A930" s="113" t="s">
        <v>73</v>
      </c>
      <c r="B930" s="114" t="s">
        <v>74</v>
      </c>
      <c r="C930" s="113" t="s">
        <v>36</v>
      </c>
      <c r="D930" s="124" t="s">
        <v>90</v>
      </c>
      <c r="E930" s="124" t="s">
        <v>3229</v>
      </c>
      <c r="F930" s="260" t="s">
        <v>90</v>
      </c>
      <c r="G930" s="77" t="s">
        <v>3230</v>
      </c>
      <c r="H930" s="157">
        <v>46295</v>
      </c>
      <c r="I930" s="82" t="s">
        <v>79</v>
      </c>
      <c r="J930" s="251">
        <v>557737526</v>
      </c>
      <c r="K930" s="90">
        <v>46287</v>
      </c>
      <c r="L930" s="82" t="s">
        <v>81</v>
      </c>
      <c r="M930" s="90">
        <v>46289</v>
      </c>
      <c r="N930" s="263">
        <v>46288</v>
      </c>
      <c r="O930" s="216">
        <f>NETWORKDAYS.INTL(K930,N930,1,$AM$2:$AM$10)-1</f>
        <v>1</v>
      </c>
      <c r="P930" s="101" t="s">
        <v>81</v>
      </c>
      <c r="Q930" s="114" t="s">
        <v>79</v>
      </c>
      <c r="R930" s="114"/>
      <c r="S930" s="212">
        <v>19</v>
      </c>
      <c r="T930" s="167" t="s">
        <v>3231</v>
      </c>
      <c r="U930" s="258">
        <v>3</v>
      </c>
      <c r="V930" s="258">
        <v>1</v>
      </c>
      <c r="W930" s="258">
        <v>376</v>
      </c>
      <c r="X930" s="101" t="s">
        <v>84</v>
      </c>
      <c r="Y930" s="124" t="s">
        <v>85</v>
      </c>
      <c r="Z930" s="208" t="s">
        <v>86</v>
      </c>
      <c r="AA930" s="114" t="s">
        <v>87</v>
      </c>
      <c r="AB930" s="213">
        <v>200.69</v>
      </c>
      <c r="AC930" s="298">
        <f>IF(C930="DENALI", AB930*0.495, IF(C930="SCHNEIDER ELECTRIC", AB930*1.136, IF(C930="WWT", AB930*1.2, AC930)))+AB930</f>
        <v>428.67383999999998</v>
      </c>
      <c r="AD930" s="299">
        <f>AC930-AB930</f>
        <v>227.98383999999999</v>
      </c>
      <c r="AE930" s="213">
        <v>9106.2900000000009</v>
      </c>
      <c r="AF930" s="295">
        <f>AB930/U930</f>
        <v>66.896666666666661</v>
      </c>
      <c r="AG930" s="289">
        <f>AB930/V930</f>
        <v>200.69</v>
      </c>
      <c r="AH930" s="247">
        <f>AB930/S930</f>
        <v>10.562631578947368</v>
      </c>
      <c r="AI930" s="124">
        <v>1172</v>
      </c>
      <c r="AJ930" s="124" t="s">
        <v>2272</v>
      </c>
      <c r="AK930"/>
      <c r="AM930" s="80"/>
    </row>
    <row r="931" spans="1:39" ht="28.5" customHeight="1">
      <c r="A931" s="113" t="s">
        <v>73</v>
      </c>
      <c r="B931" s="114" t="s">
        <v>74</v>
      </c>
      <c r="C931" s="113" t="s">
        <v>36</v>
      </c>
      <c r="D931" s="124" t="s">
        <v>90</v>
      </c>
      <c r="E931" s="124" t="s">
        <v>3232</v>
      </c>
      <c r="F931" s="260" t="s">
        <v>189</v>
      </c>
      <c r="G931" s="76" t="s">
        <v>3233</v>
      </c>
      <c r="H931" s="164">
        <v>46295</v>
      </c>
      <c r="I931" s="170" t="s">
        <v>79</v>
      </c>
      <c r="J931" s="162">
        <v>557737423</v>
      </c>
      <c r="K931" s="165">
        <v>46287</v>
      </c>
      <c r="L931" s="82" t="s">
        <v>81</v>
      </c>
      <c r="M931" s="90">
        <v>46289</v>
      </c>
      <c r="N931" s="264">
        <v>46289</v>
      </c>
      <c r="O931" s="275">
        <f>NETWORKDAYS.INTL(K931,N931,1,$AM$2:$AM$10)-1</f>
        <v>2</v>
      </c>
      <c r="P931" s="114" t="s">
        <v>81</v>
      </c>
      <c r="Q931" s="114" t="s">
        <v>79</v>
      </c>
      <c r="R931" s="114"/>
      <c r="S931" s="212">
        <v>686</v>
      </c>
      <c r="T931" s="114" t="s">
        <v>3234</v>
      </c>
      <c r="U931" s="291">
        <v>4</v>
      </c>
      <c r="V931" s="291">
        <v>21</v>
      </c>
      <c r="W931" s="291">
        <v>3304</v>
      </c>
      <c r="X931" s="114" t="s">
        <v>84</v>
      </c>
      <c r="Y931" s="124" t="s">
        <v>85</v>
      </c>
      <c r="Z931" s="115" t="s">
        <v>86</v>
      </c>
      <c r="AA931" s="114" t="s">
        <v>87</v>
      </c>
      <c r="AB931" s="213">
        <v>603.67999999999995</v>
      </c>
      <c r="AC931" s="298">
        <f>IF(C931="DENALI", AB931*0.495, IF(C931="SCHNEIDER ELECTRIC", AB931*1.136, IF(C931="WWT", AB931*1.2, AC931)))+AB931</f>
        <v>1289.4604799999997</v>
      </c>
      <c r="AD931" s="299">
        <f>AC931-AB931</f>
        <v>685.78047999999978</v>
      </c>
      <c r="AE931" s="213">
        <v>86458.05</v>
      </c>
      <c r="AF931" s="295">
        <f>AB931/U931</f>
        <v>150.91999999999999</v>
      </c>
      <c r="AG931" s="289">
        <f>AB931/V931</f>
        <v>28.746666666666663</v>
      </c>
      <c r="AH931" s="247">
        <f>AB931/S931</f>
        <v>0.87999999999999989</v>
      </c>
      <c r="AI931" s="124">
        <v>1290</v>
      </c>
      <c r="AJ931" s="124" t="s">
        <v>2267</v>
      </c>
      <c r="AK931"/>
      <c r="AM931" s="80"/>
    </row>
    <row r="932" spans="1:39" ht="28.5" customHeight="1">
      <c r="A932" s="113" t="s">
        <v>73</v>
      </c>
      <c r="B932" s="114" t="s">
        <v>74</v>
      </c>
      <c r="C932" s="113" t="s">
        <v>36</v>
      </c>
      <c r="D932" s="124" t="s">
        <v>90</v>
      </c>
      <c r="E932" s="124" t="s">
        <v>3235</v>
      </c>
      <c r="F932" s="260" t="s">
        <v>92</v>
      </c>
      <c r="G932" s="76" t="s">
        <v>3236</v>
      </c>
      <c r="H932" s="164">
        <v>46295</v>
      </c>
      <c r="I932" s="170" t="s">
        <v>79</v>
      </c>
      <c r="J932" s="228">
        <v>557737445</v>
      </c>
      <c r="K932" s="165">
        <v>46287</v>
      </c>
      <c r="L932" s="82" t="s">
        <v>81</v>
      </c>
      <c r="M932" s="90">
        <v>46290</v>
      </c>
      <c r="N932" s="255">
        <v>46290</v>
      </c>
      <c r="O932" s="275">
        <f>NETWORKDAYS.INTL(K932,N932,1,$AM$2:$AM$10)-1</f>
        <v>3</v>
      </c>
      <c r="P932" s="114" t="s">
        <v>81</v>
      </c>
      <c r="Q932" s="114" t="s">
        <v>79</v>
      </c>
      <c r="R932" s="114"/>
      <c r="S932" s="212">
        <v>1373.8</v>
      </c>
      <c r="T932" s="114" t="s">
        <v>3237</v>
      </c>
      <c r="U932" s="212">
        <v>5</v>
      </c>
      <c r="V932" s="212">
        <v>31</v>
      </c>
      <c r="W932" s="212">
        <v>4841</v>
      </c>
      <c r="X932" s="114" t="s">
        <v>84</v>
      </c>
      <c r="Y932" s="124" t="s">
        <v>85</v>
      </c>
      <c r="Z932" s="115" t="s">
        <v>86</v>
      </c>
      <c r="AA932" s="114" t="s">
        <v>87</v>
      </c>
      <c r="AB932" s="213">
        <v>1103.8499999999999</v>
      </c>
      <c r="AC932" s="298">
        <f>IF(C932="DENALI", AB932*0.495, IF(C932="SCHNEIDER ELECTRIC", AB932*1.136, IF(C932="WWT", AB932*1.2, AC932)))+AB932</f>
        <v>2357.8235999999997</v>
      </c>
      <c r="AD932" s="299">
        <f>AC932-AB932</f>
        <v>1253.9735999999998</v>
      </c>
      <c r="AE932" s="213">
        <v>209969.55</v>
      </c>
      <c r="AF932" s="295">
        <f>AB932/U932</f>
        <v>220.76999999999998</v>
      </c>
      <c r="AG932" s="289">
        <f>AB932/V932</f>
        <v>35.608064516129026</v>
      </c>
      <c r="AH932" s="247">
        <f>AB932/S932</f>
        <v>0.80350123744358715</v>
      </c>
      <c r="AI932" s="124">
        <v>1290</v>
      </c>
      <c r="AJ932" s="124" t="s">
        <v>2267</v>
      </c>
      <c r="AK932"/>
      <c r="AM932" s="80"/>
    </row>
    <row r="933" spans="1:39" ht="28.5" customHeight="1">
      <c r="A933" s="113" t="s">
        <v>73</v>
      </c>
      <c r="B933" s="114" t="s">
        <v>74</v>
      </c>
      <c r="C933" s="113" t="s">
        <v>36</v>
      </c>
      <c r="D933" s="124" t="s">
        <v>90</v>
      </c>
      <c r="E933" s="124" t="s">
        <v>3238</v>
      </c>
      <c r="F933" s="266" t="s">
        <v>585</v>
      </c>
      <c r="G933" s="77" t="s">
        <v>3239</v>
      </c>
      <c r="H933" s="94">
        <v>46295</v>
      </c>
      <c r="I933" s="271" t="s">
        <v>79</v>
      </c>
      <c r="J933" s="151">
        <v>557739081</v>
      </c>
      <c r="K933" s="272">
        <v>46287</v>
      </c>
      <c r="L933" s="207" t="s">
        <v>81</v>
      </c>
      <c r="M933" s="270">
        <v>46288</v>
      </c>
      <c r="N933" s="255">
        <v>46288</v>
      </c>
      <c r="O933" s="275">
        <f>NETWORKDAYS.INTL(K933,N933,1,$AM$2:$AM$10)-1</f>
        <v>1</v>
      </c>
      <c r="P933" s="114" t="s">
        <v>81</v>
      </c>
      <c r="Q933" s="114" t="s">
        <v>79</v>
      </c>
      <c r="R933" s="114"/>
      <c r="S933" s="212">
        <v>329</v>
      </c>
      <c r="T933" s="114" t="s">
        <v>3240</v>
      </c>
      <c r="U933" s="212">
        <v>2</v>
      </c>
      <c r="V933" s="212">
        <v>9</v>
      </c>
      <c r="W933" s="212">
        <v>1428</v>
      </c>
      <c r="X933" s="114" t="s">
        <v>84</v>
      </c>
      <c r="Y933" s="124" t="s">
        <v>85</v>
      </c>
      <c r="Z933" s="115" t="s">
        <v>86</v>
      </c>
      <c r="AA933" s="114" t="s">
        <v>87</v>
      </c>
      <c r="AB933" s="213">
        <v>298.83</v>
      </c>
      <c r="AC933" s="298">
        <f>IF(C933="DENALI", AB933*0.495, IF(C933="SCHNEIDER ELECTRIC", AB933*1.136, IF(C933="WWT", AB933*1.2, AC933)))+AB933</f>
        <v>638.30088000000001</v>
      </c>
      <c r="AD933" s="299">
        <f>AC933-AB933</f>
        <v>339.47088000000002</v>
      </c>
      <c r="AE933" s="213">
        <v>38600.269999999997</v>
      </c>
      <c r="AF933" s="295">
        <f>AB933/U933</f>
        <v>149.41499999999999</v>
      </c>
      <c r="AG933" s="289">
        <f>AB933/V933</f>
        <v>33.203333333333333</v>
      </c>
      <c r="AH933" s="247">
        <f>AB933/S933</f>
        <v>0.90829787234042547</v>
      </c>
      <c r="AI933" s="124">
        <v>1085</v>
      </c>
      <c r="AJ933" s="124" t="s">
        <v>2249</v>
      </c>
      <c r="AK933"/>
      <c r="AM933" s="80"/>
    </row>
    <row r="934" spans="1:39" ht="28.5" customHeight="1">
      <c r="A934" s="113" t="s">
        <v>73</v>
      </c>
      <c r="B934" s="114" t="s">
        <v>74</v>
      </c>
      <c r="C934" s="113" t="s">
        <v>36</v>
      </c>
      <c r="D934" s="124" t="s">
        <v>90</v>
      </c>
      <c r="E934" s="260" t="s">
        <v>3241</v>
      </c>
      <c r="F934" s="76" t="s">
        <v>90</v>
      </c>
      <c r="G934" s="76" t="s">
        <v>3242</v>
      </c>
      <c r="H934" s="90">
        <v>46295</v>
      </c>
      <c r="I934" s="82" t="s">
        <v>79</v>
      </c>
      <c r="J934" s="302">
        <v>557739070</v>
      </c>
      <c r="K934" s="90">
        <v>46287</v>
      </c>
      <c r="L934" s="82" t="s">
        <v>81</v>
      </c>
      <c r="M934" s="90">
        <v>46288</v>
      </c>
      <c r="N934" s="255">
        <v>46288</v>
      </c>
      <c r="O934" s="275">
        <f>NETWORKDAYS.INTL(K934,N934,1,$AM$2:$AM$10)-1</f>
        <v>1</v>
      </c>
      <c r="P934" s="114" t="s">
        <v>81</v>
      </c>
      <c r="Q934" s="114" t="s">
        <v>79</v>
      </c>
      <c r="R934" s="114"/>
      <c r="S934" s="212">
        <v>24</v>
      </c>
      <c r="T934" s="114" t="s">
        <v>3243</v>
      </c>
      <c r="U934" s="212">
        <v>1</v>
      </c>
      <c r="V934" s="212">
        <v>6</v>
      </c>
      <c r="W934" s="212">
        <v>551</v>
      </c>
      <c r="X934" s="114" t="s">
        <v>84</v>
      </c>
      <c r="Y934" s="124" t="s">
        <v>85</v>
      </c>
      <c r="Z934" s="115" t="s">
        <v>86</v>
      </c>
      <c r="AA934" s="114" t="s">
        <v>87</v>
      </c>
      <c r="AB934" s="213">
        <v>196.86</v>
      </c>
      <c r="AC934" s="298">
        <f>IF(C934="DENALI", AB934*0.495, IF(C934="SCHNEIDER ELECTRIC", AB934*1.136, IF(C934="WWT", AB934*1.2, AC934)))+AB934</f>
        <v>420.49296000000004</v>
      </c>
      <c r="AD934" s="299">
        <f>AC934-AB934</f>
        <v>223.63296000000003</v>
      </c>
      <c r="AE934" s="213">
        <v>127295.98</v>
      </c>
      <c r="AF934" s="295">
        <f>AB934/U934</f>
        <v>196.86</v>
      </c>
      <c r="AG934" s="289">
        <f>AB934/V934</f>
        <v>32.81</v>
      </c>
      <c r="AH934" s="247">
        <f>AB934/S934</f>
        <v>8.2025000000000006</v>
      </c>
      <c r="AI934" s="124">
        <v>1290</v>
      </c>
      <c r="AJ934" s="124" t="s">
        <v>2267</v>
      </c>
      <c r="AK934"/>
      <c r="AM934" s="80"/>
    </row>
    <row r="935" spans="1:39" ht="28.5" customHeight="1">
      <c r="A935" s="113" t="s">
        <v>73</v>
      </c>
      <c r="B935" s="114" t="s">
        <v>74</v>
      </c>
      <c r="C935" s="113" t="s">
        <v>36</v>
      </c>
      <c r="D935" s="124" t="s">
        <v>90</v>
      </c>
      <c r="E935" s="260" t="s">
        <v>3121</v>
      </c>
      <c r="F935" s="76" t="s">
        <v>90</v>
      </c>
      <c r="G935" s="76">
        <v>24204493</v>
      </c>
      <c r="H935" s="90">
        <v>46295</v>
      </c>
      <c r="I935" s="170" t="s">
        <v>79</v>
      </c>
      <c r="J935" s="151">
        <v>24204493</v>
      </c>
      <c r="K935" s="165">
        <v>46288</v>
      </c>
      <c r="L935" s="82" t="s">
        <v>81</v>
      </c>
      <c r="M935" s="90">
        <v>46289</v>
      </c>
      <c r="N935" s="255">
        <v>46289</v>
      </c>
      <c r="O935" s="275">
        <f>NETWORKDAYS.INTL(K935,N935,1,$AM$2:$AM$10)-1</f>
        <v>1</v>
      </c>
      <c r="P935" s="114" t="s">
        <v>81</v>
      </c>
      <c r="Q935" s="114" t="s">
        <v>79</v>
      </c>
      <c r="R935" s="114"/>
      <c r="S935" s="212">
        <v>363</v>
      </c>
      <c r="T935" s="114" t="s">
        <v>3244</v>
      </c>
      <c r="U935" s="212">
        <v>7</v>
      </c>
      <c r="V935" s="212">
        <v>40</v>
      </c>
      <c r="W935" s="212">
        <v>6190</v>
      </c>
      <c r="X935" s="93" t="s">
        <v>113</v>
      </c>
      <c r="Y935" s="77" t="s">
        <v>85</v>
      </c>
      <c r="Z935" s="115" t="s">
        <v>86</v>
      </c>
      <c r="AA935" s="114" t="s">
        <v>87</v>
      </c>
      <c r="AB935" s="213">
        <v>1999.19</v>
      </c>
      <c r="AC935" s="298">
        <f>IF(C935="DENALI", AB935*0.495, IF(C935="SCHNEIDER ELECTRIC", AB935*1.136, IF(C935="WWT", AB935*1.2, AC935)))+AB935</f>
        <v>4270.2698399999999</v>
      </c>
      <c r="AD935" s="299">
        <f>AC935-AB935</f>
        <v>2271.0798399999999</v>
      </c>
      <c r="AE935" s="81">
        <v>161797.13</v>
      </c>
      <c r="AF935" s="295">
        <f>AB935/U935</f>
        <v>285.59857142857146</v>
      </c>
      <c r="AG935" s="289">
        <f>AB935/V935</f>
        <v>49.979750000000003</v>
      </c>
      <c r="AH935" s="247">
        <f>AB935/S935</f>
        <v>5.5074104683195593</v>
      </c>
      <c r="AI935" s="124">
        <v>1173</v>
      </c>
      <c r="AJ935" s="124" t="s">
        <v>2353</v>
      </c>
      <c r="AK935"/>
      <c r="AM935" s="80"/>
    </row>
    <row r="936" spans="1:39" ht="28.5" customHeight="1">
      <c r="A936" s="113" t="s">
        <v>73</v>
      </c>
      <c r="B936" s="114" t="s">
        <v>74</v>
      </c>
      <c r="C936" s="113" t="s">
        <v>36</v>
      </c>
      <c r="D936" s="124" t="s">
        <v>90</v>
      </c>
      <c r="E936" s="260" t="s">
        <v>3245</v>
      </c>
      <c r="F936" s="76" t="s">
        <v>92</v>
      </c>
      <c r="G936" s="76" t="s">
        <v>3246</v>
      </c>
      <c r="H936" s="90">
        <v>46295</v>
      </c>
      <c r="I936" s="170" t="s">
        <v>79</v>
      </c>
      <c r="J936" s="151">
        <v>557738300</v>
      </c>
      <c r="K936" s="165">
        <v>46288</v>
      </c>
      <c r="L936" s="82" t="s">
        <v>81</v>
      </c>
      <c r="M936" s="90">
        <v>46293</v>
      </c>
      <c r="N936" s="255">
        <v>46290</v>
      </c>
      <c r="O936" s="275">
        <f>NETWORKDAYS.INTL(K936,N936,1,$AM$2:$AM$10)-1</f>
        <v>2</v>
      </c>
      <c r="P936" s="114" t="s">
        <v>81</v>
      </c>
      <c r="Q936" s="114" t="s">
        <v>79</v>
      </c>
      <c r="R936" s="114"/>
      <c r="S936" s="212">
        <v>1366</v>
      </c>
      <c r="T936" s="114" t="s">
        <v>3247</v>
      </c>
      <c r="U936" s="212">
        <v>3</v>
      </c>
      <c r="V936" s="212">
        <v>40</v>
      </c>
      <c r="W936" s="212">
        <v>2288</v>
      </c>
      <c r="X936" s="114" t="s">
        <v>84</v>
      </c>
      <c r="Y936" s="124" t="s">
        <v>85</v>
      </c>
      <c r="Z936" s="115" t="s">
        <v>86</v>
      </c>
      <c r="AA936" s="114" t="s">
        <v>87</v>
      </c>
      <c r="AB936" s="213">
        <v>659.99</v>
      </c>
      <c r="AC936" s="298">
        <f>IF(C936="DENALI", AB936*0.495, IF(C936="SCHNEIDER ELECTRIC", AB936*1.136, IF(C936="WWT", AB936*1.2, AC936)))+AB936</f>
        <v>1409.73864</v>
      </c>
      <c r="AD936" s="299">
        <f>AC936-AB936</f>
        <v>749.74864000000002</v>
      </c>
      <c r="AE936" s="213">
        <v>161797.13</v>
      </c>
      <c r="AF936" s="295">
        <f>AB936/U936</f>
        <v>219.99666666666667</v>
      </c>
      <c r="AG936" s="289">
        <f>AB936/V936</f>
        <v>16.499749999999999</v>
      </c>
      <c r="AH936" s="247">
        <f>AB936/S936</f>
        <v>0.48315519765739384</v>
      </c>
      <c r="AI936" s="124">
        <v>1173</v>
      </c>
      <c r="AJ936" s="124" t="s">
        <v>2353</v>
      </c>
      <c r="AK936"/>
      <c r="AM936" s="80"/>
    </row>
    <row r="937" spans="1:39" ht="28.5" customHeight="1">
      <c r="A937" s="113" t="s">
        <v>73</v>
      </c>
      <c r="B937" s="114" t="s">
        <v>74</v>
      </c>
      <c r="C937" s="113" t="s">
        <v>36</v>
      </c>
      <c r="D937" s="124" t="s">
        <v>90</v>
      </c>
      <c r="E937" s="260" t="s">
        <v>3248</v>
      </c>
      <c r="F937" s="76" t="s">
        <v>162</v>
      </c>
      <c r="G937" s="76" t="s">
        <v>3249</v>
      </c>
      <c r="H937" s="90">
        <v>46295</v>
      </c>
      <c r="I937" s="170" t="s">
        <v>79</v>
      </c>
      <c r="J937" s="228">
        <v>557738322</v>
      </c>
      <c r="K937" s="165">
        <v>46288</v>
      </c>
      <c r="L937" s="82" t="s">
        <v>81</v>
      </c>
      <c r="M937" s="90">
        <v>46289</v>
      </c>
      <c r="N937" s="255">
        <v>46288</v>
      </c>
      <c r="O937" s="275">
        <f>NETWORKDAYS.INTL(K937,N937,1,$AM$2:$AM$10)-1</f>
        <v>0</v>
      </c>
      <c r="P937" s="114" t="s">
        <v>81</v>
      </c>
      <c r="Q937" s="114" t="s">
        <v>79</v>
      </c>
      <c r="R937" s="114"/>
      <c r="S937" s="212">
        <v>559</v>
      </c>
      <c r="T937" s="114" t="s">
        <v>3250</v>
      </c>
      <c r="U937" s="212">
        <v>1</v>
      </c>
      <c r="V937" s="212">
        <v>4</v>
      </c>
      <c r="W937" s="212">
        <v>415</v>
      </c>
      <c r="X937" s="114" t="s">
        <v>84</v>
      </c>
      <c r="Y937" s="124" t="s">
        <v>85</v>
      </c>
      <c r="Z937" s="115" t="s">
        <v>86</v>
      </c>
      <c r="AA937" s="114" t="s">
        <v>87</v>
      </c>
      <c r="AB937" s="213">
        <v>269.68</v>
      </c>
      <c r="AC937" s="298">
        <f>IF(C937="DENALI", AB937*0.495, IF(C937="SCHNEIDER ELECTRIC", AB937*1.136, IF(C937="WWT", AB937*1.2, AC937)))+AB937</f>
        <v>576.03647999999998</v>
      </c>
      <c r="AD937" s="299">
        <f>AC937-AB937</f>
        <v>306.35647999999998</v>
      </c>
      <c r="AE937" s="213">
        <v>15418.46</v>
      </c>
      <c r="AF937" s="295">
        <f>AB937/U937</f>
        <v>269.68</v>
      </c>
      <c r="AG937" s="289">
        <f>AB937/V937</f>
        <v>67.42</v>
      </c>
      <c r="AH937" s="247">
        <f>AB937/S937</f>
        <v>0.48243291592128801</v>
      </c>
      <c r="AI937" s="124">
        <v>1172</v>
      </c>
      <c r="AJ937" s="124" t="s">
        <v>2272</v>
      </c>
      <c r="AK937"/>
      <c r="AM937" s="80"/>
    </row>
    <row r="938" spans="1:39" ht="28.5" customHeight="1">
      <c r="A938" s="113" t="s">
        <v>73</v>
      </c>
      <c r="B938" s="114" t="s">
        <v>140</v>
      </c>
      <c r="C938" s="113" t="s">
        <v>35</v>
      </c>
      <c r="D938" s="124" t="s">
        <v>99</v>
      </c>
      <c r="E938" s="260" t="s">
        <v>141</v>
      </c>
      <c r="F938" s="76" t="s">
        <v>142</v>
      </c>
      <c r="G938" s="76">
        <v>24210298</v>
      </c>
      <c r="H938" s="90">
        <v>46295</v>
      </c>
      <c r="I938" s="170" t="s">
        <v>79</v>
      </c>
      <c r="J938" s="151">
        <v>24210298</v>
      </c>
      <c r="K938" s="165">
        <v>46288</v>
      </c>
      <c r="L938" s="82" t="s">
        <v>81</v>
      </c>
      <c r="M938" s="90">
        <v>46267</v>
      </c>
      <c r="N938" s="255">
        <v>46293</v>
      </c>
      <c r="O938" s="275">
        <f>NETWORKDAYS.INTL(K938,N938,1,$AM$2:$AM$10)-1</f>
        <v>3</v>
      </c>
      <c r="P938" s="114" t="s">
        <v>81</v>
      </c>
      <c r="Q938" s="114" t="s">
        <v>79</v>
      </c>
      <c r="R938" s="114"/>
      <c r="S938" s="212">
        <v>2432</v>
      </c>
      <c r="T938" s="114" t="s">
        <v>3251</v>
      </c>
      <c r="U938" s="212">
        <v>6</v>
      </c>
      <c r="V938" s="212">
        <v>6</v>
      </c>
      <c r="W938" s="212">
        <v>3000</v>
      </c>
      <c r="X938" s="114" t="s">
        <v>113</v>
      </c>
      <c r="Y938" s="124" t="s">
        <v>85</v>
      </c>
      <c r="Z938" s="115" t="s">
        <v>3252</v>
      </c>
      <c r="AA938" s="114" t="s">
        <v>87</v>
      </c>
      <c r="AB938" s="213">
        <v>6211.28</v>
      </c>
      <c r="AC938" s="298">
        <f>IF(C938="DENALI", AB938*0.495, IF(C938="SCHNEIDER ELECTRIC", AB938*1.136, IF(C938="WWT", AB938*1.2, AC938)))+AB938</f>
        <v>9285.8636000000006</v>
      </c>
      <c r="AD938" s="299">
        <f>AC938-AB938</f>
        <v>3074.5836000000008</v>
      </c>
      <c r="AE938" s="213">
        <v>13914.96</v>
      </c>
      <c r="AF938" s="295">
        <f>AB938/U938</f>
        <v>1035.2133333333334</v>
      </c>
      <c r="AG938" s="289">
        <f>AB938/V938</f>
        <v>1035.2133333333334</v>
      </c>
      <c r="AH938" s="247">
        <f>AB938/S938</f>
        <v>2.5539802631578947</v>
      </c>
      <c r="AI938" s="124">
        <v>1084</v>
      </c>
      <c r="AJ938" s="124" t="s">
        <v>379</v>
      </c>
      <c r="AK938"/>
      <c r="AM938" s="80"/>
    </row>
    <row r="939" spans="1:39" ht="28.5" customHeight="1">
      <c r="A939" s="113" t="s">
        <v>73</v>
      </c>
      <c r="B939" s="114" t="s">
        <v>74</v>
      </c>
      <c r="C939" s="113" t="s">
        <v>36</v>
      </c>
      <c r="D939" s="124" t="s">
        <v>90</v>
      </c>
      <c r="E939" s="124" t="s">
        <v>438</v>
      </c>
      <c r="F939" s="154" t="s">
        <v>92</v>
      </c>
      <c r="G939" s="81" t="s">
        <v>3253</v>
      </c>
      <c r="H939" s="303">
        <v>46295</v>
      </c>
      <c r="I939" s="304" t="s">
        <v>79</v>
      </c>
      <c r="J939" s="162">
        <v>557740610</v>
      </c>
      <c r="K939" s="293">
        <v>46288</v>
      </c>
      <c r="L939" s="174" t="s">
        <v>79</v>
      </c>
      <c r="M939" s="253">
        <v>46294</v>
      </c>
      <c r="N939" s="211">
        <v>46294</v>
      </c>
      <c r="O939" s="275">
        <f>NETWORKDAYS.INTL(K939,N939,1,$AM$2:$AM$10)-1</f>
        <v>4</v>
      </c>
      <c r="P939" s="114" t="s">
        <v>81</v>
      </c>
      <c r="Q939" s="114" t="s">
        <v>79</v>
      </c>
      <c r="R939" s="114" t="s">
        <v>3254</v>
      </c>
      <c r="S939" s="212">
        <v>1571</v>
      </c>
      <c r="T939" s="114" t="s">
        <v>3255</v>
      </c>
      <c r="U939" s="212">
        <v>4</v>
      </c>
      <c r="V939" s="212">
        <v>29</v>
      </c>
      <c r="W939" s="212">
        <v>3249</v>
      </c>
      <c r="X939" s="114" t="s">
        <v>84</v>
      </c>
      <c r="Y939" s="124" t="s">
        <v>85</v>
      </c>
      <c r="Z939" s="115" t="s">
        <v>86</v>
      </c>
      <c r="AA939" s="114" t="s">
        <v>87</v>
      </c>
      <c r="AB939" s="213">
        <v>708.58</v>
      </c>
      <c r="AC939" s="298">
        <f>IF(C939="DENALI", AB939*0.495, IF(C939="SCHNEIDER ELECTRIC", AB939*1.136, IF(C939="WWT", AB939*1.2, AC939)))+AB939</f>
        <v>1513.5268799999999</v>
      </c>
      <c r="AD939" s="299">
        <f>AC939-AB939</f>
        <v>804.94687999999985</v>
      </c>
      <c r="AE939" s="213">
        <v>72489.64</v>
      </c>
      <c r="AF939" s="295">
        <f>AB939/U939</f>
        <v>177.14500000000001</v>
      </c>
      <c r="AG939" s="289">
        <f>AB939/V939</f>
        <v>24.433793103448277</v>
      </c>
      <c r="AH939" s="247">
        <f>AB939/S939</f>
        <v>0.45103755569700832</v>
      </c>
      <c r="AI939" s="124">
        <v>1290</v>
      </c>
      <c r="AJ939" s="124" t="s">
        <v>2267</v>
      </c>
      <c r="AK939"/>
      <c r="AM939" s="80"/>
    </row>
    <row r="940" spans="1:39" ht="28.5" customHeight="1">
      <c r="A940" s="113" t="s">
        <v>73</v>
      </c>
      <c r="B940" s="114" t="s">
        <v>74</v>
      </c>
      <c r="C940" s="113" t="s">
        <v>36</v>
      </c>
      <c r="D940" s="124" t="s">
        <v>90</v>
      </c>
      <c r="E940" s="124" t="s">
        <v>3256</v>
      </c>
      <c r="F940" s="124" t="s">
        <v>92</v>
      </c>
      <c r="G940" s="260" t="s">
        <v>3257</v>
      </c>
      <c r="H940" s="90">
        <v>46295</v>
      </c>
      <c r="I940" s="82" t="s">
        <v>79</v>
      </c>
      <c r="J940" s="151">
        <v>557740750</v>
      </c>
      <c r="K940" s="250">
        <v>46288</v>
      </c>
      <c r="L940" s="114" t="s">
        <v>81</v>
      </c>
      <c r="M940" s="209">
        <v>46293</v>
      </c>
      <c r="N940" s="211">
        <v>46293</v>
      </c>
      <c r="O940" s="275">
        <f t="shared" ref="O940:O945" si="24">NETWORKDAYS.INTL(K940,N940,1,$AM$2:$AM$10)-1</f>
        <v>3</v>
      </c>
      <c r="P940" s="114" t="s">
        <v>81</v>
      </c>
      <c r="Q940" s="114" t="s">
        <v>79</v>
      </c>
      <c r="R940" s="114"/>
      <c r="S940" s="212">
        <v>1229</v>
      </c>
      <c r="T940" s="114" t="s">
        <v>3258</v>
      </c>
      <c r="U940" s="212">
        <v>1</v>
      </c>
      <c r="V940" s="212">
        <v>5</v>
      </c>
      <c r="W940" s="212">
        <v>486</v>
      </c>
      <c r="X940" s="114" t="s">
        <v>84</v>
      </c>
      <c r="Y940" s="124" t="s">
        <v>85</v>
      </c>
      <c r="Z940" s="115" t="s">
        <v>86</v>
      </c>
      <c r="AA940" s="114" t="s">
        <v>87</v>
      </c>
      <c r="AB940" s="213">
        <v>329.02</v>
      </c>
      <c r="AC940" s="298">
        <f>IF(C940="DENALI", AB940*0.495, IF(C940="SCHNEIDER ELECTRIC", AB940*1.136, IF(C940="WWT", AB940*1.2, AC940)))+AB940</f>
        <v>702.78671999999995</v>
      </c>
      <c r="AD940" s="299">
        <f t="shared" ref="AD940:AD943" si="25">AC940-AB940</f>
        <v>373.76671999999996</v>
      </c>
      <c r="AE940" s="213">
        <v>9809.44</v>
      </c>
      <c r="AF940" s="295">
        <f t="shared" ref="AF940:AF943" si="26">AB940/U940</f>
        <v>329.02</v>
      </c>
      <c r="AG940" s="289">
        <f t="shared" ref="AG940:AG943" si="27">AB940/V940</f>
        <v>65.804000000000002</v>
      </c>
      <c r="AH940" s="247">
        <f t="shared" ref="AH940:AH943" si="28">AB940/S940</f>
        <v>0.267713588283157</v>
      </c>
      <c r="AI940" s="124">
        <v>1061</v>
      </c>
      <c r="AJ940" s="124" t="s">
        <v>2272</v>
      </c>
      <c r="AK940"/>
      <c r="AM940" s="80"/>
    </row>
    <row r="941" spans="1:39" ht="28.5" customHeight="1">
      <c r="A941" s="113" t="s">
        <v>73</v>
      </c>
      <c r="B941" s="114" t="s">
        <v>74</v>
      </c>
      <c r="C941" s="113" t="s">
        <v>36</v>
      </c>
      <c r="D941" s="124" t="s">
        <v>90</v>
      </c>
      <c r="E941" s="124" t="s">
        <v>528</v>
      </c>
      <c r="F941" s="124" t="s">
        <v>292</v>
      </c>
      <c r="G941" s="260" t="s">
        <v>3259</v>
      </c>
      <c r="H941" s="90">
        <v>46295</v>
      </c>
      <c r="I941" s="82" t="s">
        <v>79</v>
      </c>
      <c r="J941" s="151">
        <v>557740470</v>
      </c>
      <c r="K941" s="250">
        <v>46288</v>
      </c>
      <c r="L941" s="114" t="s">
        <v>81</v>
      </c>
      <c r="M941" s="209">
        <v>46290</v>
      </c>
      <c r="N941" s="211">
        <v>46290</v>
      </c>
      <c r="O941" s="275">
        <f t="shared" si="24"/>
        <v>2</v>
      </c>
      <c r="P941" s="114" t="s">
        <v>81</v>
      </c>
      <c r="Q941" s="114" t="s">
        <v>79</v>
      </c>
      <c r="R941" s="114"/>
      <c r="S941" s="212">
        <v>1004</v>
      </c>
      <c r="T941" s="114" t="s">
        <v>3260</v>
      </c>
      <c r="U941" s="212">
        <v>1</v>
      </c>
      <c r="V941" s="212">
        <v>6</v>
      </c>
      <c r="W941" s="212">
        <v>502</v>
      </c>
      <c r="X941" s="114" t="s">
        <v>84</v>
      </c>
      <c r="Y941" s="124" t="s">
        <v>85</v>
      </c>
      <c r="Z941" s="115" t="s">
        <v>86</v>
      </c>
      <c r="AA941" s="114" t="s">
        <v>87</v>
      </c>
      <c r="AB941" s="213">
        <v>278.62</v>
      </c>
      <c r="AC941" s="298">
        <f>IF(C941="DENALI", AB941*0.495, IF(C941="SCHNEIDER ELECTRIC", AB941*1.136, IF(C941="WWT", AB941*1.2, AC941)))+AB941</f>
        <v>595.13231999999994</v>
      </c>
      <c r="AD941" s="299">
        <f t="shared" si="25"/>
        <v>316.51231999999993</v>
      </c>
      <c r="AE941" s="213">
        <v>2979.6</v>
      </c>
      <c r="AF941" s="295">
        <f t="shared" si="26"/>
        <v>278.62</v>
      </c>
      <c r="AG941" s="289">
        <f t="shared" si="27"/>
        <v>46.436666666666667</v>
      </c>
      <c r="AH941" s="247">
        <f t="shared" si="28"/>
        <v>0.27750996015936258</v>
      </c>
      <c r="AI941" s="124">
        <v>1085</v>
      </c>
      <c r="AJ941" s="124" t="s">
        <v>2249</v>
      </c>
      <c r="AK941"/>
      <c r="AM941" s="80"/>
    </row>
    <row r="942" spans="1:39" ht="28.5" customHeight="1">
      <c r="A942" s="113" t="s">
        <v>73</v>
      </c>
      <c r="B942" s="114" t="s">
        <v>74</v>
      </c>
      <c r="C942" s="113" t="s">
        <v>36</v>
      </c>
      <c r="D942" s="124" t="s">
        <v>90</v>
      </c>
      <c r="E942" s="124" t="s">
        <v>3261</v>
      </c>
      <c r="F942" s="124" t="s">
        <v>99</v>
      </c>
      <c r="G942" s="260" t="s">
        <v>3262</v>
      </c>
      <c r="H942" s="94">
        <v>46295</v>
      </c>
      <c r="I942" s="93" t="s">
        <v>79</v>
      </c>
      <c r="J942" s="162">
        <v>557740256</v>
      </c>
      <c r="K942" s="257">
        <v>46288</v>
      </c>
      <c r="L942" s="83" t="s">
        <v>81</v>
      </c>
      <c r="M942" s="209">
        <v>46290</v>
      </c>
      <c r="N942" s="211">
        <v>46295</v>
      </c>
      <c r="O942" s="275">
        <f t="shared" si="24"/>
        <v>5</v>
      </c>
      <c r="P942" s="114" t="s">
        <v>81</v>
      </c>
      <c r="Q942" s="114" t="s">
        <v>79</v>
      </c>
      <c r="R942" s="114"/>
      <c r="S942" s="212">
        <v>1126</v>
      </c>
      <c r="T942" s="114" t="s">
        <v>3263</v>
      </c>
      <c r="U942" s="212">
        <v>1</v>
      </c>
      <c r="V942" s="212">
        <v>3</v>
      </c>
      <c r="W942" s="212">
        <v>239</v>
      </c>
      <c r="X942" s="114" t="s">
        <v>84</v>
      </c>
      <c r="Y942" s="124" t="s">
        <v>85</v>
      </c>
      <c r="Z942" s="115" t="s">
        <v>86</v>
      </c>
      <c r="AA942" s="114" t="s">
        <v>87</v>
      </c>
      <c r="AB942" s="213">
        <v>316.95</v>
      </c>
      <c r="AC942" s="298">
        <f>IF(C942="DENALI", AB942*0.495, IF(C942="SCHNEIDER ELECTRIC", AB942*1.136, IF(C942="WWT", AB942*1.2, AC942)))+AB942</f>
        <v>677.00519999999995</v>
      </c>
      <c r="AD942" s="299">
        <f t="shared" si="25"/>
        <v>360.05519999999996</v>
      </c>
      <c r="AE942" s="213">
        <v>4646.63</v>
      </c>
      <c r="AF942" s="295">
        <f t="shared" si="26"/>
        <v>316.95</v>
      </c>
      <c r="AG942" s="289">
        <f t="shared" si="27"/>
        <v>105.64999999999999</v>
      </c>
      <c r="AH942" s="247">
        <f t="shared" si="28"/>
        <v>0.28148312611012433</v>
      </c>
      <c r="AI942" s="124">
        <v>1290</v>
      </c>
      <c r="AJ942" s="124" t="s">
        <v>2267</v>
      </c>
      <c r="AK942"/>
      <c r="AM942" s="80"/>
    </row>
    <row r="943" spans="1:39" ht="28.5" customHeight="1">
      <c r="A943" s="113" t="s">
        <v>73</v>
      </c>
      <c r="B943" s="114" t="s">
        <v>74</v>
      </c>
      <c r="C943" s="113" t="s">
        <v>35</v>
      </c>
      <c r="D943" s="124" t="s">
        <v>99</v>
      </c>
      <c r="E943" s="124" t="s">
        <v>736</v>
      </c>
      <c r="F943" s="124" t="s">
        <v>109</v>
      </c>
      <c r="G943" s="260" t="s">
        <v>3264</v>
      </c>
      <c r="H943" s="90">
        <v>46295</v>
      </c>
      <c r="I943" s="170" t="s">
        <v>79</v>
      </c>
      <c r="J943" s="151">
        <v>557740912</v>
      </c>
      <c r="K943" s="165">
        <v>46288</v>
      </c>
      <c r="L943" s="82" t="s">
        <v>81</v>
      </c>
      <c r="M943" s="250">
        <v>46296</v>
      </c>
      <c r="N943" s="211">
        <v>46295</v>
      </c>
      <c r="O943" s="275">
        <f t="shared" si="24"/>
        <v>5</v>
      </c>
      <c r="P943" s="114" t="s">
        <v>81</v>
      </c>
      <c r="Q943" s="114" t="s">
        <v>79</v>
      </c>
      <c r="R943" s="114"/>
      <c r="S943" s="212">
        <v>3244</v>
      </c>
      <c r="T943" s="114" t="s">
        <v>3265</v>
      </c>
      <c r="U943" s="212">
        <v>1</v>
      </c>
      <c r="V943" s="212">
        <v>15</v>
      </c>
      <c r="W943" s="212">
        <v>495</v>
      </c>
      <c r="X943" s="114" t="s">
        <v>84</v>
      </c>
      <c r="Y943" s="124" t="s">
        <v>85</v>
      </c>
      <c r="Z943" s="115" t="s">
        <v>86</v>
      </c>
      <c r="AA943" s="114" t="s">
        <v>87</v>
      </c>
      <c r="AB943" s="213">
        <v>420.13</v>
      </c>
      <c r="AC943" s="298">
        <f>IF(C943="DENALI", AB943*0.495, IF(C943="SCHNEIDER ELECTRIC", AB943*1.136, IF(C943="WWT", AB943*1.2, AC943)))+AB943</f>
        <v>628.09434999999996</v>
      </c>
      <c r="AD943" s="299">
        <f t="shared" si="25"/>
        <v>207.96434999999997</v>
      </c>
      <c r="AE943" s="213">
        <v>40041.300000000003</v>
      </c>
      <c r="AF943" s="295">
        <f t="shared" si="26"/>
        <v>420.13</v>
      </c>
      <c r="AG943" s="289">
        <f t="shared" si="27"/>
        <v>28.008666666666667</v>
      </c>
      <c r="AH943" s="247">
        <f t="shared" si="28"/>
        <v>0.12950986436498149</v>
      </c>
      <c r="AI943" s="124">
        <v>1290</v>
      </c>
      <c r="AJ943" s="124" t="s">
        <v>349</v>
      </c>
      <c r="AK943"/>
      <c r="AM943" s="80"/>
    </row>
    <row r="944" spans="1:39" ht="28.5" customHeight="1">
      <c r="A944" s="113" t="s">
        <v>73</v>
      </c>
      <c r="B944" s="114" t="s">
        <v>74</v>
      </c>
      <c r="C944" s="113" t="s">
        <v>36</v>
      </c>
      <c r="D944" s="124" t="s">
        <v>90</v>
      </c>
      <c r="E944" s="124" t="s">
        <v>3266</v>
      </c>
      <c r="F944" s="124" t="s">
        <v>3267</v>
      </c>
      <c r="G944" s="260" t="s">
        <v>3268</v>
      </c>
      <c r="H944" s="90">
        <v>46295</v>
      </c>
      <c r="I944" s="170" t="s">
        <v>79</v>
      </c>
      <c r="J944" s="229">
        <v>557740260</v>
      </c>
      <c r="K944" s="165">
        <v>46288</v>
      </c>
      <c r="L944" s="82" t="s">
        <v>81</v>
      </c>
      <c r="M944" s="250">
        <v>46290</v>
      </c>
      <c r="N944" s="211">
        <v>46290</v>
      </c>
      <c r="O944" s="275">
        <f t="shared" si="24"/>
        <v>2</v>
      </c>
      <c r="P944" s="114" t="s">
        <v>81</v>
      </c>
      <c r="Q944" s="114" t="s">
        <v>79</v>
      </c>
      <c r="R944" s="114"/>
      <c r="S944" s="212">
        <v>752</v>
      </c>
      <c r="T944" s="114" t="s">
        <v>3269</v>
      </c>
      <c r="U944" s="212">
        <v>1</v>
      </c>
      <c r="V944" s="212">
        <v>3</v>
      </c>
      <c r="W944" s="212">
        <v>376</v>
      </c>
      <c r="X944" s="114" t="s">
        <v>84</v>
      </c>
      <c r="Y944" s="124" t="s">
        <v>85</v>
      </c>
      <c r="Z944" s="115" t="s">
        <v>86</v>
      </c>
      <c r="AA944" s="114" t="s">
        <v>87</v>
      </c>
      <c r="AB944" s="213">
        <v>305.45</v>
      </c>
      <c r="AC944" s="298">
        <f>IF(C944="DENALI", AB944*0.495, IF(C944="SCHNEIDER ELECTRIC", AB944*1.136, IF(C944="WWT", AB944*1.2, AC944)))+AB944</f>
        <v>652.44119999999998</v>
      </c>
      <c r="AD944" s="299">
        <f t="shared" ref="AD944:AD947" si="29">AC944-AB944</f>
        <v>346.99119999999999</v>
      </c>
      <c r="AE944" s="213">
        <v>8060.53</v>
      </c>
      <c r="AF944" s="295">
        <f t="shared" ref="AF944:AF947" si="30">AB944/U944</f>
        <v>305.45</v>
      </c>
      <c r="AG944" s="289">
        <f t="shared" ref="AG944:AG947" si="31">AB944/V944</f>
        <v>101.81666666666666</v>
      </c>
      <c r="AH944" s="247">
        <f t="shared" ref="AH944:AH947" si="32">AB944/S944</f>
        <v>0.40618351063829788</v>
      </c>
      <c r="AI944" s="124">
        <v>1061</v>
      </c>
      <c r="AJ944" s="124" t="s">
        <v>2272</v>
      </c>
      <c r="AK944"/>
      <c r="AM944" s="80"/>
    </row>
    <row r="945" spans="1:39" ht="28.5" customHeight="1">
      <c r="A945" s="113" t="s">
        <v>73</v>
      </c>
      <c r="B945" s="114" t="s">
        <v>74</v>
      </c>
      <c r="C945" s="113" t="s">
        <v>36</v>
      </c>
      <c r="D945" s="237" t="s">
        <v>90</v>
      </c>
      <c r="E945" s="237" t="s">
        <v>3270</v>
      </c>
      <c r="F945" s="237" t="s">
        <v>92</v>
      </c>
      <c r="G945" s="266" t="s">
        <v>3271</v>
      </c>
      <c r="H945" s="94">
        <v>46295</v>
      </c>
      <c r="I945" s="230" t="s">
        <v>79</v>
      </c>
      <c r="J945" s="151">
        <v>557741192</v>
      </c>
      <c r="K945" s="166">
        <v>46288</v>
      </c>
      <c r="L945" s="93" t="s">
        <v>81</v>
      </c>
      <c r="M945" s="250">
        <v>46293</v>
      </c>
      <c r="N945" s="211">
        <v>46293</v>
      </c>
      <c r="O945" s="275">
        <f t="shared" si="24"/>
        <v>3</v>
      </c>
      <c r="P945" s="114" t="s">
        <v>81</v>
      </c>
      <c r="Q945" s="114" t="s">
        <v>79</v>
      </c>
      <c r="R945" s="114"/>
      <c r="S945" s="212">
        <v>1449</v>
      </c>
      <c r="T945" s="114" t="s">
        <v>3272</v>
      </c>
      <c r="U945" s="212">
        <v>1</v>
      </c>
      <c r="V945" s="212">
        <v>5</v>
      </c>
      <c r="W945" s="212">
        <v>562</v>
      </c>
      <c r="X945" s="114" t="s">
        <v>84</v>
      </c>
      <c r="Y945" s="124" t="s">
        <v>85</v>
      </c>
      <c r="Z945" s="115" t="s">
        <v>86</v>
      </c>
      <c r="AA945" s="114" t="s">
        <v>87</v>
      </c>
      <c r="AB945" s="213">
        <v>332.28</v>
      </c>
      <c r="AC945" s="298">
        <f>IF(C945="DENALI", AB945*0.495, IF(C945="SCHNEIDER ELECTRIC", AB945*1.136, IF(C945="WWT", AB945*1.2, AC945)))+AB945</f>
        <v>709.75007999999991</v>
      </c>
      <c r="AD945" s="299">
        <f t="shared" si="29"/>
        <v>377.47007999999994</v>
      </c>
      <c r="AE945" s="213">
        <v>8060.53</v>
      </c>
      <c r="AF945" s="295">
        <f t="shared" si="30"/>
        <v>332.28</v>
      </c>
      <c r="AG945" s="289">
        <f t="shared" si="31"/>
        <v>66.455999999999989</v>
      </c>
      <c r="AH945" s="247">
        <f t="shared" si="32"/>
        <v>0.22931677018633539</v>
      </c>
      <c r="AI945" s="124">
        <v>1172</v>
      </c>
      <c r="AJ945" s="124" t="s">
        <v>2272</v>
      </c>
      <c r="AK945"/>
      <c r="AM945" s="80"/>
    </row>
    <row r="946" spans="1:39" ht="28.5" customHeight="1">
      <c r="A946" s="113" t="s">
        <v>73</v>
      </c>
      <c r="B946" s="114" t="s">
        <v>74</v>
      </c>
      <c r="C946" s="160" t="s">
        <v>36</v>
      </c>
      <c r="D946" s="76" t="s">
        <v>90</v>
      </c>
      <c r="E946" s="76" t="s">
        <v>3273</v>
      </c>
      <c r="F946" s="76" t="s">
        <v>90</v>
      </c>
      <c r="G946" s="76" t="s">
        <v>3274</v>
      </c>
      <c r="H946" s="90">
        <v>46295</v>
      </c>
      <c r="I946" s="170" t="s">
        <v>79</v>
      </c>
      <c r="J946" s="151">
        <v>557740794</v>
      </c>
      <c r="K946" s="165">
        <v>46288</v>
      </c>
      <c r="L946" s="82" t="s">
        <v>79</v>
      </c>
      <c r="M946" s="250">
        <v>46289</v>
      </c>
      <c r="N946" s="211">
        <v>46293</v>
      </c>
      <c r="O946" s="275">
        <f>NETWORKDAYS.INTL(K946,N946,1,$AM$2:$AM$10)-1</f>
        <v>3</v>
      </c>
      <c r="P946" s="114" t="s">
        <v>81</v>
      </c>
      <c r="Q946" s="114" t="s">
        <v>79</v>
      </c>
      <c r="R946" s="114" t="s">
        <v>3254</v>
      </c>
      <c r="S946" s="212">
        <v>352</v>
      </c>
      <c r="T946" s="114" t="s">
        <v>3275</v>
      </c>
      <c r="U946" s="212">
        <v>3</v>
      </c>
      <c r="V946" s="212">
        <v>15</v>
      </c>
      <c r="W946" s="212">
        <v>2288</v>
      </c>
      <c r="X946" s="114" t="s">
        <v>84</v>
      </c>
      <c r="Y946" s="124" t="s">
        <v>85</v>
      </c>
      <c r="Z946" s="115" t="s">
        <v>86</v>
      </c>
      <c r="AA946" s="114" t="s">
        <v>87</v>
      </c>
      <c r="AB946" s="213">
        <v>524.29</v>
      </c>
      <c r="AC946" s="298">
        <f>IF(C946="DENALI", AB946*0.495, IF(C946="SCHNEIDER ELECTRIC", AB946*1.136, IF(C946="WWT", AB946*1.2, AC946)))+AB946</f>
        <v>1119.8834399999998</v>
      </c>
      <c r="AD946" s="299">
        <f t="shared" si="29"/>
        <v>595.59343999999987</v>
      </c>
      <c r="AE946" s="213">
        <v>58870.879999999997</v>
      </c>
      <c r="AF946" s="295">
        <f t="shared" si="30"/>
        <v>174.76333333333332</v>
      </c>
      <c r="AG946" s="289">
        <f t="shared" si="31"/>
        <v>34.952666666666666</v>
      </c>
      <c r="AH946" s="247">
        <f t="shared" si="32"/>
        <v>1.4894602272727271</v>
      </c>
      <c r="AI946" s="124">
        <v>1290</v>
      </c>
      <c r="AJ946" s="124" t="s">
        <v>2267</v>
      </c>
      <c r="AK946"/>
      <c r="AM946" s="80"/>
    </row>
    <row r="947" spans="1:39" ht="28.5" customHeight="1">
      <c r="A947" s="113" t="s">
        <v>73</v>
      </c>
      <c r="B947" s="114" t="s">
        <v>74</v>
      </c>
      <c r="C947" s="160" t="s">
        <v>36</v>
      </c>
      <c r="D947" s="76" t="s">
        <v>90</v>
      </c>
      <c r="E947" s="76" t="s">
        <v>188</v>
      </c>
      <c r="F947" s="76" t="s">
        <v>189</v>
      </c>
      <c r="G947" s="76" t="s">
        <v>3276</v>
      </c>
      <c r="H947" s="90">
        <v>46295</v>
      </c>
      <c r="I947" s="170" t="s">
        <v>79</v>
      </c>
      <c r="J947" s="151">
        <v>557740621</v>
      </c>
      <c r="K947" s="165">
        <v>46288</v>
      </c>
      <c r="L947" s="82" t="s">
        <v>79</v>
      </c>
      <c r="M947" s="250">
        <v>46290</v>
      </c>
      <c r="N947" s="211">
        <v>46293</v>
      </c>
      <c r="O947" s="275">
        <f>NETWORKDAYS.INTL(K947,N947,1,$AM$2:$AM$10)-1</f>
        <v>3</v>
      </c>
      <c r="P947" s="114" t="s">
        <v>81</v>
      </c>
      <c r="Q947" s="114" t="s">
        <v>79</v>
      </c>
      <c r="R947" s="114" t="s">
        <v>3254</v>
      </c>
      <c r="S947" s="212">
        <v>686</v>
      </c>
      <c r="T947" s="114" t="s">
        <v>3277</v>
      </c>
      <c r="U947" s="212">
        <v>2</v>
      </c>
      <c r="V947" s="212">
        <v>8</v>
      </c>
      <c r="W947" s="212">
        <v>1278</v>
      </c>
      <c r="X947" s="114" t="s">
        <v>84</v>
      </c>
      <c r="Y947" s="124" t="s">
        <v>85</v>
      </c>
      <c r="Z947" s="115" t="s">
        <v>86</v>
      </c>
      <c r="AA947" s="114" t="s">
        <v>87</v>
      </c>
      <c r="AB947" s="213">
        <v>373.17</v>
      </c>
      <c r="AC947" s="298">
        <f>IF(C947="DENALI", AB947*0.495, IF(C947="SCHNEIDER ELECTRIC", AB947*1.136, IF(C947="WWT", AB947*1.2, AC947)))+AB947</f>
        <v>797.09112000000005</v>
      </c>
      <c r="AD947" s="299">
        <f t="shared" si="29"/>
        <v>423.92112000000003</v>
      </c>
      <c r="AE947" s="213">
        <v>32936.400000000001</v>
      </c>
      <c r="AF947" s="295">
        <f t="shared" si="30"/>
        <v>186.58500000000001</v>
      </c>
      <c r="AG947" s="289">
        <f t="shared" si="31"/>
        <v>46.646250000000002</v>
      </c>
      <c r="AH947" s="247">
        <f t="shared" si="32"/>
        <v>0.54397959183673472</v>
      </c>
      <c r="AI947" s="124">
        <v>1290</v>
      </c>
      <c r="AJ947" s="124" t="s">
        <v>2267</v>
      </c>
      <c r="AK947"/>
      <c r="AM947" s="80"/>
    </row>
    <row r="948" spans="1:39" ht="28.5" customHeight="1">
      <c r="A948" s="113" t="s">
        <v>73</v>
      </c>
      <c r="B948" s="114" t="s">
        <v>74</v>
      </c>
      <c r="C948" s="160" t="s">
        <v>36</v>
      </c>
      <c r="D948" s="76" t="s">
        <v>90</v>
      </c>
      <c r="E948" s="76" t="s">
        <v>3278</v>
      </c>
      <c r="F948" s="76" t="s">
        <v>90</v>
      </c>
      <c r="G948" s="76" t="s">
        <v>3279</v>
      </c>
      <c r="H948" s="90">
        <v>46295</v>
      </c>
      <c r="I948" s="82" t="s">
        <v>79</v>
      </c>
      <c r="J948" s="181">
        <v>557740805</v>
      </c>
      <c r="K948" s="90">
        <v>46288</v>
      </c>
      <c r="L948" s="82" t="s">
        <v>81</v>
      </c>
      <c r="M948" s="250">
        <v>46289</v>
      </c>
      <c r="N948" s="211">
        <v>46289</v>
      </c>
      <c r="O948" s="275">
        <f>NETWORKDAYS.INTL(K948,N948,1,$AM$2:$AM$10)-1</f>
        <v>1</v>
      </c>
      <c r="P948" s="114" t="s">
        <v>81</v>
      </c>
      <c r="Q948" s="114" t="s">
        <v>79</v>
      </c>
      <c r="R948" s="114"/>
      <c r="S948" s="212">
        <v>24</v>
      </c>
      <c r="T948" s="114" t="s">
        <v>3280</v>
      </c>
      <c r="U948" s="212">
        <v>4</v>
      </c>
      <c r="V948" s="212">
        <v>19</v>
      </c>
      <c r="W948" s="212">
        <v>3005</v>
      </c>
      <c r="X948" s="114" t="s">
        <v>84</v>
      </c>
      <c r="Y948" s="124" t="s">
        <v>85</v>
      </c>
      <c r="Z948" s="115" t="s">
        <v>86</v>
      </c>
      <c r="AA948" s="114" t="s">
        <v>87</v>
      </c>
      <c r="AB948" s="213">
        <v>454.15</v>
      </c>
      <c r="AC948" s="298">
        <f>IF(C948="DENALI", AB948*0.495, IF(C948="SCHNEIDER ELECTRIC", AB948*1.136, IF(C948="WWT", AB948*1.2, AC948)))+AB948</f>
        <v>970.06439999999986</v>
      </c>
      <c r="AD948" s="299">
        <f>AC948-AB948</f>
        <v>515.91439999999989</v>
      </c>
      <c r="AE948" s="213">
        <v>78223.95</v>
      </c>
      <c r="AF948" s="295">
        <f>AB948/U948</f>
        <v>113.53749999999999</v>
      </c>
      <c r="AG948" s="289">
        <f>AB948/V948</f>
        <v>23.902631578947368</v>
      </c>
      <c r="AH948" s="247">
        <f>AB948/S948</f>
        <v>18.922916666666666</v>
      </c>
      <c r="AI948" s="124">
        <v>1290</v>
      </c>
      <c r="AJ948" s="124" t="s">
        <v>2267</v>
      </c>
      <c r="AK948"/>
      <c r="AM948" s="80"/>
    </row>
    <row r="949" spans="1:39" ht="28.5" customHeight="1">
      <c r="A949" s="113" t="s">
        <v>73</v>
      </c>
      <c r="B949" s="114" t="s">
        <v>74</v>
      </c>
      <c r="C949" s="160" t="s">
        <v>36</v>
      </c>
      <c r="D949" s="76" t="s">
        <v>90</v>
      </c>
      <c r="E949" s="76" t="s">
        <v>3281</v>
      </c>
      <c r="F949" s="76" t="s">
        <v>99</v>
      </c>
      <c r="G949" s="76" t="s">
        <v>3282</v>
      </c>
      <c r="H949" s="90">
        <v>46295</v>
      </c>
      <c r="I949" s="82" t="s">
        <v>79</v>
      </c>
      <c r="J949" s="162">
        <v>557740061</v>
      </c>
      <c r="K949" s="90">
        <v>46288</v>
      </c>
      <c r="L949" s="82" t="s">
        <v>81</v>
      </c>
      <c r="M949" s="250">
        <v>46290</v>
      </c>
      <c r="N949" s="211">
        <v>46290</v>
      </c>
      <c r="O949" s="275">
        <f>NETWORKDAYS.INTL(K949,N949,1,$AM$2:$AM$10)-1</f>
        <v>2</v>
      </c>
      <c r="P949" s="114" t="s">
        <v>81</v>
      </c>
      <c r="Q949" s="114" t="s">
        <v>79</v>
      </c>
      <c r="R949" s="114"/>
      <c r="S949" s="212">
        <v>1205</v>
      </c>
      <c r="T949" s="114" t="s">
        <v>3283</v>
      </c>
      <c r="U949" s="212">
        <v>1</v>
      </c>
      <c r="V949" s="212">
        <v>5</v>
      </c>
      <c r="W949" s="212">
        <v>562</v>
      </c>
      <c r="X949" s="114" t="s">
        <v>84</v>
      </c>
      <c r="Y949" s="124" t="s">
        <v>85</v>
      </c>
      <c r="Z949" s="115" t="s">
        <v>86</v>
      </c>
      <c r="AA949" s="114" t="s">
        <v>87</v>
      </c>
      <c r="AB949" s="213">
        <v>438.03</v>
      </c>
      <c r="AC949" s="298">
        <f>IF(C949="DENALI", AB949*0.495, IF(C949="SCHNEIDER ELECTRIC", AB949*1.136, IF(C949="WWT", AB949*1.2, AC949)))+AB949</f>
        <v>935.63207999999986</v>
      </c>
      <c r="AD949" s="299">
        <f>AC949-AB949</f>
        <v>497.60207999999989</v>
      </c>
      <c r="AE949" s="213">
        <v>12004.01</v>
      </c>
      <c r="AF949" s="295">
        <f>AB949/U949</f>
        <v>438.03</v>
      </c>
      <c r="AG949" s="289">
        <f>AB949/V949</f>
        <v>87.605999999999995</v>
      </c>
      <c r="AH949" s="247">
        <f>AB949/S949</f>
        <v>0.3635103734439834</v>
      </c>
      <c r="AI949" s="124">
        <v>1085</v>
      </c>
      <c r="AJ949" s="124" t="s">
        <v>2249</v>
      </c>
      <c r="AK949"/>
      <c r="AM949" s="80"/>
    </row>
    <row r="950" spans="1:39" ht="28.5" customHeight="1">
      <c r="A950" s="113" t="s">
        <v>73</v>
      </c>
      <c r="B950" s="114" t="s">
        <v>74</v>
      </c>
      <c r="C950" s="160" t="s">
        <v>36</v>
      </c>
      <c r="D950" s="76" t="s">
        <v>90</v>
      </c>
      <c r="E950" s="76" t="s">
        <v>3284</v>
      </c>
      <c r="F950" s="76" t="s">
        <v>92</v>
      </c>
      <c r="G950" s="76" t="s">
        <v>3285</v>
      </c>
      <c r="H950" s="90">
        <v>46295</v>
      </c>
      <c r="I950" s="170" t="s">
        <v>79</v>
      </c>
      <c r="J950" s="151">
        <v>557740724</v>
      </c>
      <c r="K950" s="165">
        <v>46288</v>
      </c>
      <c r="L950" s="82" t="s">
        <v>81</v>
      </c>
      <c r="M950" s="250">
        <v>46294</v>
      </c>
      <c r="N950" s="211">
        <v>46293</v>
      </c>
      <c r="O950" s="275">
        <f>NETWORKDAYS.INTL(K950,N950,1,$AM$2:$AM$10)-1</f>
        <v>3</v>
      </c>
      <c r="P950" s="114" t="s">
        <v>81</v>
      </c>
      <c r="Q950" s="114" t="s">
        <v>79</v>
      </c>
      <c r="R950" s="114"/>
      <c r="S950" s="212">
        <v>1527</v>
      </c>
      <c r="T950" s="114" t="s">
        <v>3286</v>
      </c>
      <c r="U950" s="212">
        <v>2</v>
      </c>
      <c r="V950" s="212">
        <v>8</v>
      </c>
      <c r="W950" s="212">
        <v>1278</v>
      </c>
      <c r="X950" s="114" t="s">
        <v>84</v>
      </c>
      <c r="Y950" s="124" t="s">
        <v>85</v>
      </c>
      <c r="Z950" s="115" t="s">
        <v>86</v>
      </c>
      <c r="AA950" s="114" t="s">
        <v>87</v>
      </c>
      <c r="AB950" s="213">
        <v>487.3</v>
      </c>
      <c r="AC950" s="298">
        <f>IF(C950="DENALI", AB950*0.495, IF(C950="SCHNEIDER ELECTRIC", AB950*1.136, IF(C950="WWT", AB950*1.2, AC950)))+AB950</f>
        <v>1040.8727999999999</v>
      </c>
      <c r="AD950" s="299">
        <f>AC950-AB950</f>
        <v>553.57279999999992</v>
      </c>
      <c r="AE950" s="213">
        <v>32936.400000000001</v>
      </c>
      <c r="AF950" s="295">
        <f>AB950/U950</f>
        <v>243.65</v>
      </c>
      <c r="AG950" s="289">
        <f>AB950/V950</f>
        <v>60.912500000000001</v>
      </c>
      <c r="AH950" s="247">
        <f>AB950/S950</f>
        <v>0.31912246234446628</v>
      </c>
      <c r="AI950" s="124">
        <v>1085</v>
      </c>
      <c r="AJ950" s="124" t="s">
        <v>2249</v>
      </c>
      <c r="AK950"/>
      <c r="AM950" s="80"/>
    </row>
    <row r="951" spans="1:39" ht="28.5" customHeight="1">
      <c r="A951" s="113" t="s">
        <v>73</v>
      </c>
      <c r="B951" s="114" t="s">
        <v>74</v>
      </c>
      <c r="C951" s="160" t="s">
        <v>36</v>
      </c>
      <c r="D951" s="76" t="s">
        <v>90</v>
      </c>
      <c r="E951" s="76" t="s">
        <v>958</v>
      </c>
      <c r="F951" s="76" t="s">
        <v>90</v>
      </c>
      <c r="G951" s="76" t="s">
        <v>3287</v>
      </c>
      <c r="H951" s="90">
        <v>46296</v>
      </c>
      <c r="I951" s="170" t="s">
        <v>79</v>
      </c>
      <c r="J951" s="151">
        <v>557741041</v>
      </c>
      <c r="K951" s="165">
        <v>46289</v>
      </c>
      <c r="L951" s="82" t="s">
        <v>81</v>
      </c>
      <c r="M951" s="250">
        <v>46290</v>
      </c>
      <c r="N951" s="211">
        <v>46293</v>
      </c>
      <c r="O951" s="275">
        <f>NETWORKDAYS.INTL(K951,N951,1,$AM$2:$AM$10)-1</f>
        <v>2</v>
      </c>
      <c r="P951" s="114" t="s">
        <v>81</v>
      </c>
      <c r="Q951" s="114" t="s">
        <v>81</v>
      </c>
      <c r="R951" s="114" t="s">
        <v>3288</v>
      </c>
      <c r="S951" s="212">
        <v>256</v>
      </c>
      <c r="T951" s="114" t="s">
        <v>3289</v>
      </c>
      <c r="U951" s="212">
        <v>1</v>
      </c>
      <c r="V951" s="212">
        <v>5</v>
      </c>
      <c r="W951" s="212">
        <v>789</v>
      </c>
      <c r="X951" s="114" t="s">
        <v>84</v>
      </c>
      <c r="Y951" s="124" t="s">
        <v>85</v>
      </c>
      <c r="Z951" s="115" t="s">
        <v>86</v>
      </c>
      <c r="AA951" s="114" t="s">
        <v>87</v>
      </c>
      <c r="AB951" s="213">
        <v>241.34</v>
      </c>
      <c r="AC951" s="298">
        <f>IF(C951="DENALI", AB951*0.495, IF(C951="SCHNEIDER ELECTRIC", AB951*1.136, IF(C951="WWT", AB951*1.2, AC951)))+AB951</f>
        <v>515.50224000000003</v>
      </c>
      <c r="AD951" s="299">
        <f>AC951-AB951</f>
        <v>274.16224</v>
      </c>
      <c r="AE951" s="213">
        <v>8883.25</v>
      </c>
      <c r="AF951" s="295">
        <f>AB951/U951</f>
        <v>241.34</v>
      </c>
      <c r="AG951" s="289">
        <f>AB951/V951</f>
        <v>48.268000000000001</v>
      </c>
      <c r="AH951" s="247">
        <f>AB951/S951</f>
        <v>0.94273437500000001</v>
      </c>
      <c r="AI951" s="124">
        <v>1290</v>
      </c>
      <c r="AJ951" s="124" t="s">
        <v>2267</v>
      </c>
      <c r="AK951"/>
      <c r="AM951" s="80"/>
    </row>
    <row r="952" spans="1:39" ht="28.5" customHeight="1">
      <c r="A952" s="113" t="s">
        <v>73</v>
      </c>
      <c r="B952" s="114" t="s">
        <v>74</v>
      </c>
      <c r="C952" s="160" t="s">
        <v>36</v>
      </c>
      <c r="D952" s="76" t="s">
        <v>75</v>
      </c>
      <c r="E952" s="77" t="s">
        <v>3290</v>
      </c>
      <c r="F952" s="77" t="s">
        <v>365</v>
      </c>
      <c r="G952" s="77" t="s">
        <v>3291</v>
      </c>
      <c r="H952" s="94">
        <v>46296</v>
      </c>
      <c r="I952" s="93" t="s">
        <v>79</v>
      </c>
      <c r="J952" s="162">
        <v>557741774</v>
      </c>
      <c r="K952" s="94">
        <v>46289</v>
      </c>
      <c r="L952" s="93" t="s">
        <v>81</v>
      </c>
      <c r="M952" s="257">
        <v>46290</v>
      </c>
      <c r="N952" s="306">
        <v>46293</v>
      </c>
      <c r="O952" s="274">
        <f t="shared" ref="O952" si="33">NETWORKDAYS.INTL(K952,N952,1,$AM$2:$AM$10)-1</f>
        <v>2</v>
      </c>
      <c r="P952" s="114" t="s">
        <v>81</v>
      </c>
      <c r="Q952" s="114" t="s">
        <v>79</v>
      </c>
      <c r="R952" s="114"/>
      <c r="S952" s="212">
        <v>304</v>
      </c>
      <c r="T952" s="114" t="s">
        <v>3292</v>
      </c>
      <c r="U952" s="212">
        <v>1</v>
      </c>
      <c r="V952" s="212">
        <v>5</v>
      </c>
      <c r="W952" s="212">
        <v>562</v>
      </c>
      <c r="X952" s="114" t="s">
        <v>84</v>
      </c>
      <c r="Y952" s="124" t="s">
        <v>85</v>
      </c>
      <c r="Z952" s="115" t="s">
        <v>86</v>
      </c>
      <c r="AA952" s="114" t="s">
        <v>87</v>
      </c>
      <c r="AB952" s="213">
        <v>218.83</v>
      </c>
      <c r="AC952" s="298">
        <f>IF(C952="DENALI", AB952*0.495, IF(C952="SCHNEIDER ELECTRIC", AB952*1.136, IF(C952="WWT", AB952*1.2, AC952)))+AB952</f>
        <v>467.42088000000001</v>
      </c>
      <c r="AD952" s="299">
        <f t="shared" ref="AD952:AD953" si="34">AC952-AB952</f>
        <v>248.59088</v>
      </c>
      <c r="AE952" s="213">
        <v>12004.01</v>
      </c>
      <c r="AF952" s="295">
        <f t="shared" ref="AF952:AF953" si="35">AB952/U952</f>
        <v>218.83</v>
      </c>
      <c r="AG952" s="289">
        <f t="shared" ref="AG952:AG953" si="36">AB952/V952</f>
        <v>43.766000000000005</v>
      </c>
      <c r="AH952" s="247">
        <f t="shared" ref="AH952:AH953" si="37">AB952/S952</f>
        <v>0.71983552631578951</v>
      </c>
      <c r="AI952" s="124">
        <v>1172</v>
      </c>
      <c r="AJ952" s="124" t="s">
        <v>2272</v>
      </c>
      <c r="AK952"/>
      <c r="AM952" s="80"/>
    </row>
    <row r="953" spans="1:39" ht="28.5" customHeight="1">
      <c r="A953" s="113" t="s">
        <v>73</v>
      </c>
      <c r="B953" s="114" t="s">
        <v>74</v>
      </c>
      <c r="C953" s="160" t="s">
        <v>36</v>
      </c>
      <c r="D953" s="96" t="s">
        <v>75</v>
      </c>
      <c r="E953" s="76" t="s">
        <v>3293</v>
      </c>
      <c r="F953" s="76" t="s">
        <v>370</v>
      </c>
      <c r="G953" s="76" t="s">
        <v>3294</v>
      </c>
      <c r="H953" s="90">
        <v>46296</v>
      </c>
      <c r="I953" s="82" t="s">
        <v>79</v>
      </c>
      <c r="J953" s="151">
        <v>557741984</v>
      </c>
      <c r="K953" s="90">
        <v>46289</v>
      </c>
      <c r="L953" s="82" t="s">
        <v>81</v>
      </c>
      <c r="M953" s="90">
        <v>46293</v>
      </c>
      <c r="N953" s="131">
        <v>46293</v>
      </c>
      <c r="O953" s="216">
        <f>NETWORKDAYS.INTL(K953,N953,1,$AM$2:$AM$10)-1</f>
        <v>2</v>
      </c>
      <c r="P953" s="101" t="s">
        <v>81</v>
      </c>
      <c r="Q953" s="114" t="s">
        <v>79</v>
      </c>
      <c r="R953" s="114"/>
      <c r="S953" s="212">
        <v>685</v>
      </c>
      <c r="T953" s="114" t="s">
        <v>3295</v>
      </c>
      <c r="U953" s="212">
        <v>1</v>
      </c>
      <c r="V953" s="212">
        <v>3</v>
      </c>
      <c r="W953" s="212">
        <v>490</v>
      </c>
      <c r="X953" s="114" t="s">
        <v>84</v>
      </c>
      <c r="Y953" s="124" t="s">
        <v>85</v>
      </c>
      <c r="Z953" s="115" t="s">
        <v>86</v>
      </c>
      <c r="AA953" s="114" t="s">
        <v>87</v>
      </c>
      <c r="AB953" s="213">
        <v>243.49</v>
      </c>
      <c r="AC953" s="298">
        <f>IF(C953="DENALI", AB953*0.495, IF(C953="SCHNEIDER ELECTRIC", AB953*1.136, IF(C953="WWT", AB953*1.2, AC953)))+AB953</f>
        <v>520.09464000000003</v>
      </c>
      <c r="AD953" s="299">
        <f t="shared" si="34"/>
        <v>276.60464000000002</v>
      </c>
      <c r="AE953" s="213">
        <v>13897.97</v>
      </c>
      <c r="AF953" s="295">
        <f t="shared" si="35"/>
        <v>243.49</v>
      </c>
      <c r="AG953" s="289">
        <f t="shared" si="36"/>
        <v>81.163333333333341</v>
      </c>
      <c r="AH953" s="247">
        <f t="shared" si="37"/>
        <v>0.35545985401459856</v>
      </c>
      <c r="AI953" s="124">
        <v>1173</v>
      </c>
      <c r="AJ953" s="124" t="s">
        <v>2353</v>
      </c>
      <c r="AK953"/>
      <c r="AM953" s="80"/>
    </row>
    <row r="954" spans="1:39" ht="28.5" customHeight="1">
      <c r="A954" s="113" t="s">
        <v>73</v>
      </c>
      <c r="B954" s="114" t="s">
        <v>74</v>
      </c>
      <c r="C954" s="113" t="s">
        <v>36</v>
      </c>
      <c r="D954" s="267" t="s">
        <v>75</v>
      </c>
      <c r="E954" s="76" t="s">
        <v>3296</v>
      </c>
      <c r="F954" s="76" t="s">
        <v>345</v>
      </c>
      <c r="G954" s="76" t="s">
        <v>3297</v>
      </c>
      <c r="H954" s="90">
        <v>46296</v>
      </c>
      <c r="I954" s="82" t="s">
        <v>79</v>
      </c>
      <c r="J954" s="276">
        <v>557743012</v>
      </c>
      <c r="K954" s="90">
        <v>46289</v>
      </c>
      <c r="L954" s="82" t="s">
        <v>81</v>
      </c>
      <c r="M954" s="90">
        <v>46290</v>
      </c>
      <c r="N954" s="131">
        <v>46293</v>
      </c>
      <c r="O954" s="216">
        <f t="shared" ref="O954:O956" si="38">NETWORKDAYS.INTL(K954,N954,1,$AM$2:$AM$10)-1</f>
        <v>2</v>
      </c>
      <c r="P954" s="101" t="s">
        <v>81</v>
      </c>
      <c r="Q954" s="114" t="s">
        <v>79</v>
      </c>
      <c r="R954" s="114"/>
      <c r="S954" s="212">
        <v>101</v>
      </c>
      <c r="T954" s="114" t="s">
        <v>3298</v>
      </c>
      <c r="U954" s="212">
        <v>3</v>
      </c>
      <c r="V954" s="212">
        <v>20</v>
      </c>
      <c r="W954" s="212">
        <v>2740</v>
      </c>
      <c r="X954" s="114" t="s">
        <v>84</v>
      </c>
      <c r="Y954" s="124" t="s">
        <v>85</v>
      </c>
      <c r="Z954" s="115" t="s">
        <v>86</v>
      </c>
      <c r="AA954" s="114" t="s">
        <v>87</v>
      </c>
      <c r="AB954" s="213">
        <v>416.32</v>
      </c>
      <c r="AC954" s="298">
        <f>IF(C954="DENALI", AB954*0.495, IF(C954="SCHNEIDER ELECTRIC", AB954*1.136, IF(C954="WWT", AB954*1.2, AC954)))+AB954</f>
        <v>889.25951999999995</v>
      </c>
      <c r="AD954" s="299">
        <f>AC954-AB954</f>
        <v>472.93951999999996</v>
      </c>
      <c r="AE954" s="213">
        <v>65709.94</v>
      </c>
      <c r="AF954" s="295">
        <f>AB954/U954</f>
        <v>138.77333333333334</v>
      </c>
      <c r="AG954" s="289">
        <f>AB954/V954</f>
        <v>20.815999999999999</v>
      </c>
      <c r="AH954" s="247">
        <f>AB954/S954</f>
        <v>4.1219801980198021</v>
      </c>
      <c r="AI954" s="124">
        <v>1017</v>
      </c>
      <c r="AJ954" s="124" t="s">
        <v>2413</v>
      </c>
      <c r="AK954"/>
      <c r="AM954" s="80"/>
    </row>
    <row r="955" spans="1:39" ht="28.5" customHeight="1">
      <c r="A955" s="113" t="s">
        <v>73</v>
      </c>
      <c r="B955" s="114" t="s">
        <v>74</v>
      </c>
      <c r="C955" s="305" t="s">
        <v>36</v>
      </c>
      <c r="D955" s="98" t="s">
        <v>75</v>
      </c>
      <c r="E955" s="76" t="s">
        <v>3299</v>
      </c>
      <c r="F955" s="76" t="s">
        <v>109</v>
      </c>
      <c r="G955" s="76" t="s">
        <v>3300</v>
      </c>
      <c r="H955" s="90">
        <v>46296</v>
      </c>
      <c r="I955" s="170" t="s">
        <v>79</v>
      </c>
      <c r="J955" s="151">
        <v>557742975</v>
      </c>
      <c r="K955" s="165">
        <v>46289</v>
      </c>
      <c r="L955" s="82" t="s">
        <v>81</v>
      </c>
      <c r="M955" s="90">
        <v>46294</v>
      </c>
      <c r="N955" s="131">
        <v>46293</v>
      </c>
      <c r="O955" s="216">
        <f t="shared" si="38"/>
        <v>2</v>
      </c>
      <c r="P955" s="177" t="s">
        <v>81</v>
      </c>
      <c r="Q955" s="83" t="s">
        <v>79</v>
      </c>
      <c r="R955" s="114"/>
      <c r="S955" s="212">
        <v>931</v>
      </c>
      <c r="T955" s="114" t="s">
        <v>3301</v>
      </c>
      <c r="U955" s="212">
        <v>1</v>
      </c>
      <c r="V955" s="212">
        <v>3</v>
      </c>
      <c r="W955" s="212">
        <v>490</v>
      </c>
      <c r="X955" s="114" t="s">
        <v>84</v>
      </c>
      <c r="Y955" s="124" t="s">
        <v>85</v>
      </c>
      <c r="Z955" s="115" t="s">
        <v>86</v>
      </c>
      <c r="AA955" s="114" t="s">
        <v>87</v>
      </c>
      <c r="AB955" s="213">
        <v>263.94</v>
      </c>
      <c r="AC955" s="298">
        <f>IF(C955="DENALI", AB955*0.495, IF(C955="SCHNEIDER ELECTRIC", AB955*1.136, IF(C955="WWT", AB955*1.2, AC955)))+AB955</f>
        <v>563.77584000000002</v>
      </c>
      <c r="AD955" s="299">
        <f>AC955-AB955</f>
        <v>299.83584000000002</v>
      </c>
      <c r="AE955" s="213">
        <v>12351.15</v>
      </c>
      <c r="AF955" s="295">
        <f>AB955/U955</f>
        <v>263.94</v>
      </c>
      <c r="AG955" s="289">
        <f>AB955/V955</f>
        <v>87.98</v>
      </c>
      <c r="AH955" s="247">
        <f>AB955/S955</f>
        <v>0.2835016111707841</v>
      </c>
      <c r="AI955" s="124">
        <v>1085</v>
      </c>
      <c r="AJ955" s="124" t="s">
        <v>2249</v>
      </c>
      <c r="AK955"/>
      <c r="AM955" s="80"/>
    </row>
    <row r="956" spans="1:39" ht="28.5" customHeight="1">
      <c r="A956" s="113" t="s">
        <v>73</v>
      </c>
      <c r="B956" s="167" t="s">
        <v>74</v>
      </c>
      <c r="C956" s="148" t="s">
        <v>36</v>
      </c>
      <c r="D956" s="96" t="s">
        <v>75</v>
      </c>
      <c r="E956" s="76" t="s">
        <v>3302</v>
      </c>
      <c r="F956" s="76" t="s">
        <v>77</v>
      </c>
      <c r="G956" s="76" t="s">
        <v>3303</v>
      </c>
      <c r="H956" s="90">
        <v>46296</v>
      </c>
      <c r="I956" s="170" t="s">
        <v>79</v>
      </c>
      <c r="J956" s="151">
        <v>557741870</v>
      </c>
      <c r="K956" s="165">
        <v>46289</v>
      </c>
      <c r="L956" s="82" t="s">
        <v>81</v>
      </c>
      <c r="M956" s="90">
        <v>46290</v>
      </c>
      <c r="N956" s="131">
        <v>46293</v>
      </c>
      <c r="O956" s="216">
        <f t="shared" si="38"/>
        <v>2</v>
      </c>
      <c r="P956" s="259" t="s">
        <v>81</v>
      </c>
      <c r="Q956" s="82" t="s">
        <v>79</v>
      </c>
      <c r="R956" s="101"/>
      <c r="S956" s="212">
        <v>164</v>
      </c>
      <c r="T956" s="114" t="s">
        <v>3304</v>
      </c>
      <c r="U956" s="212">
        <v>1</v>
      </c>
      <c r="V956" s="212">
        <v>5</v>
      </c>
      <c r="W956" s="212">
        <v>562</v>
      </c>
      <c r="X956" s="114" t="s">
        <v>84</v>
      </c>
      <c r="Y956" s="124" t="s">
        <v>85</v>
      </c>
      <c r="Z956" s="115" t="s">
        <v>86</v>
      </c>
      <c r="AA956" s="114" t="s">
        <v>87</v>
      </c>
      <c r="AB956" s="213">
        <v>298.85000000000002</v>
      </c>
      <c r="AC956" s="298">
        <f>IF(C956="DENALI", AB956*0.495, IF(C956="SCHNEIDER ELECTRIC", AB956*1.136, IF(C956="WWT", AB956*1.2, AC956)))+AB956</f>
        <v>638.34360000000004</v>
      </c>
      <c r="AD956" s="299">
        <f>AC956-AB956</f>
        <v>339.49360000000001</v>
      </c>
      <c r="AE956" s="213">
        <v>17683.3</v>
      </c>
      <c r="AF956" s="295">
        <f>AB956/U956</f>
        <v>298.85000000000002</v>
      </c>
      <c r="AG956" s="289">
        <f>AB956/V956</f>
        <v>59.77</v>
      </c>
      <c r="AH956" s="247">
        <f>AB956/S956</f>
        <v>1.8222560975609758</v>
      </c>
      <c r="AI956" s="124">
        <v>1172</v>
      </c>
      <c r="AJ956" s="124" t="s">
        <v>2272</v>
      </c>
      <c r="AK956"/>
      <c r="AM956" s="80"/>
    </row>
    <row r="957" spans="1:39" ht="28.5" customHeight="1">
      <c r="A957" s="113" t="s">
        <v>73</v>
      </c>
      <c r="B957" s="114" t="s">
        <v>74</v>
      </c>
      <c r="C957" s="307" t="s">
        <v>36</v>
      </c>
      <c r="D957" s="267" t="s">
        <v>75</v>
      </c>
      <c r="E957" s="76" t="s">
        <v>3305</v>
      </c>
      <c r="F957" s="76" t="s">
        <v>75</v>
      </c>
      <c r="G957" s="76" t="s">
        <v>3306</v>
      </c>
      <c r="H957" s="90">
        <v>46296</v>
      </c>
      <c r="I957" s="82" t="s">
        <v>79</v>
      </c>
      <c r="J957" s="318">
        <v>557741962</v>
      </c>
      <c r="K957" s="90">
        <v>46289</v>
      </c>
      <c r="L957" s="82" t="s">
        <v>79</v>
      </c>
      <c r="M957" s="90">
        <v>46290</v>
      </c>
      <c r="N957" s="131">
        <v>46293</v>
      </c>
      <c r="O957" s="216">
        <f>NETWORKDAYS.INTL(K957,N957,1,$AM$2:$AM$10)-1</f>
        <v>2</v>
      </c>
      <c r="P957" s="311" t="s">
        <v>81</v>
      </c>
      <c r="Q957" s="174" t="s">
        <v>79</v>
      </c>
      <c r="R957" s="114" t="s">
        <v>3307</v>
      </c>
      <c r="S957" s="212">
        <v>103</v>
      </c>
      <c r="T957" s="114" t="s">
        <v>3308</v>
      </c>
      <c r="U957" s="212">
        <v>1</v>
      </c>
      <c r="V957" s="212">
        <v>5</v>
      </c>
      <c r="W957" s="212">
        <v>562</v>
      </c>
      <c r="X957" s="114" t="s">
        <v>84</v>
      </c>
      <c r="Y957" s="124" t="s">
        <v>85</v>
      </c>
      <c r="Z957" s="115" t="s">
        <v>86</v>
      </c>
      <c r="AA957" s="114" t="s">
        <v>87</v>
      </c>
      <c r="AB957" s="213">
        <v>213.02</v>
      </c>
      <c r="AC957" s="298">
        <f>IF(C957="DENALI", AB957*0.495, IF(C957="SCHNEIDER ELECTRIC", AB957*1.136, IF(C957="WWT", AB957*1.2, AC957)))+AB957</f>
        <v>455.01071999999999</v>
      </c>
      <c r="AD957" s="299">
        <f>AC957-AB957</f>
        <v>241.99071999999998</v>
      </c>
      <c r="AE957" s="213">
        <v>12004.01</v>
      </c>
      <c r="AF957" s="295">
        <f>AB957/U957</f>
        <v>213.02</v>
      </c>
      <c r="AG957" s="289">
        <f>AB957/V957</f>
        <v>42.603999999999999</v>
      </c>
      <c r="AH957" s="247">
        <f>AB957/S957</f>
        <v>2.0681553398058252</v>
      </c>
      <c r="AI957" s="124">
        <v>1172</v>
      </c>
      <c r="AJ957" s="124" t="s">
        <v>2272</v>
      </c>
      <c r="AK957"/>
      <c r="AM957" s="80"/>
    </row>
    <row r="958" spans="1:39" ht="28.5" customHeight="1">
      <c r="A958" s="113" t="s">
        <v>73</v>
      </c>
      <c r="B958" s="114" t="s">
        <v>74</v>
      </c>
      <c r="C958" s="305" t="s">
        <v>36</v>
      </c>
      <c r="D958" s="98" t="s">
        <v>75</v>
      </c>
      <c r="E958" s="77" t="s">
        <v>3309</v>
      </c>
      <c r="F958" s="77" t="s">
        <v>243</v>
      </c>
      <c r="G958" s="77" t="s">
        <v>3310</v>
      </c>
      <c r="H958" s="94">
        <v>46296</v>
      </c>
      <c r="I958" s="230" t="s">
        <v>79</v>
      </c>
      <c r="J958" s="151">
        <v>557742776</v>
      </c>
      <c r="K958" s="166">
        <v>46289</v>
      </c>
      <c r="L958" s="93" t="s">
        <v>81</v>
      </c>
      <c r="M958" s="90">
        <v>46290</v>
      </c>
      <c r="N958" s="131">
        <v>46294</v>
      </c>
      <c r="O958" s="216">
        <f>NETWORKDAYS.INTL(K958,N958,1,$AM$2:$AM$10)-1</f>
        <v>3</v>
      </c>
      <c r="P958" s="101" t="s">
        <v>81</v>
      </c>
      <c r="Q958" s="114" t="s">
        <v>79</v>
      </c>
      <c r="R958" s="114"/>
      <c r="S958" s="212">
        <v>230</v>
      </c>
      <c r="T958" s="83" t="s">
        <v>3311</v>
      </c>
      <c r="U958" s="286">
        <v>1</v>
      </c>
      <c r="V958" s="286">
        <v>6</v>
      </c>
      <c r="W958" s="286">
        <v>489</v>
      </c>
      <c r="X958" s="83" t="s">
        <v>84</v>
      </c>
      <c r="Y958" s="237" t="s">
        <v>85</v>
      </c>
      <c r="Z958" s="169" t="s">
        <v>86</v>
      </c>
      <c r="AA958" s="83" t="s">
        <v>87</v>
      </c>
      <c r="AB958" s="213">
        <v>195.13</v>
      </c>
      <c r="AC958" s="298">
        <f>IF(C958="DENALI", AB958*0.495, IF(C958="SCHNEIDER ELECTRIC", AB958*1.136, IF(C958="WWT", AB958*1.2, AC958)))+AB958</f>
        <v>416.79767999999996</v>
      </c>
      <c r="AD958" s="299">
        <f>AC958-AB958</f>
        <v>221.66767999999996</v>
      </c>
      <c r="AE958" s="213">
        <v>8425.7199999999993</v>
      </c>
      <c r="AF958" s="295">
        <f>AB958/U958</f>
        <v>195.13</v>
      </c>
      <c r="AG958" s="289">
        <f>AB958/V958</f>
        <v>32.521666666666668</v>
      </c>
      <c r="AH958" s="247">
        <f>AB958/S958</f>
        <v>0.84839130434782606</v>
      </c>
      <c r="AI958" s="124">
        <v>1172</v>
      </c>
      <c r="AJ958" s="124" t="s">
        <v>2272</v>
      </c>
      <c r="AK958"/>
      <c r="AM958" s="80"/>
    </row>
    <row r="959" spans="1:39" ht="28.5" customHeight="1">
      <c r="A959" s="113" t="s">
        <v>73</v>
      </c>
      <c r="B959" s="167" t="s">
        <v>74</v>
      </c>
      <c r="C959" s="148" t="s">
        <v>36</v>
      </c>
      <c r="D959" s="76" t="s">
        <v>75</v>
      </c>
      <c r="E959" s="76" t="s">
        <v>3312</v>
      </c>
      <c r="F959" s="76" t="s">
        <v>213</v>
      </c>
      <c r="G959" s="76" t="s">
        <v>3313</v>
      </c>
      <c r="H959" s="90">
        <v>46296</v>
      </c>
      <c r="I959" s="82" t="s">
        <v>79</v>
      </c>
      <c r="J959" s="229">
        <v>557742964</v>
      </c>
      <c r="K959" s="90">
        <v>46289</v>
      </c>
      <c r="L959" s="82" t="s">
        <v>81</v>
      </c>
      <c r="M959" s="165">
        <v>46290</v>
      </c>
      <c r="N959" s="131">
        <v>46293</v>
      </c>
      <c r="O959" s="216">
        <f>NETWORKDAYS.INTL(K959,N959,1,$AM$2:$AM$10)-1</f>
        <v>2</v>
      </c>
      <c r="P959" s="101" t="s">
        <v>81</v>
      </c>
      <c r="Q959" s="114" t="s">
        <v>79</v>
      </c>
      <c r="R959" s="114"/>
      <c r="S959" s="285">
        <v>377</v>
      </c>
      <c r="T959" s="309" t="s">
        <v>3314</v>
      </c>
      <c r="U959" s="258">
        <v>1</v>
      </c>
      <c r="V959" s="258">
        <v>5</v>
      </c>
      <c r="W959" s="258">
        <v>562</v>
      </c>
      <c r="X959" s="82" t="s">
        <v>84</v>
      </c>
      <c r="Y959" s="76" t="s">
        <v>85</v>
      </c>
      <c r="Z959" s="88" t="s">
        <v>86</v>
      </c>
      <c r="AA959" s="82" t="s">
        <v>87</v>
      </c>
      <c r="AB959" s="310">
        <v>230.9</v>
      </c>
      <c r="AC959" s="298">
        <f>IF(C959="DENALI", AB959*0.495, IF(C959="SCHNEIDER ELECTRIC", AB959*1.136, IF(C959="WWT", AB959*1.2, AC959)))+AB959</f>
        <v>493.20240000000001</v>
      </c>
      <c r="AD959" s="299">
        <f>AC959-AB959</f>
        <v>262.30240000000003</v>
      </c>
      <c r="AE959" s="213">
        <v>12004.01</v>
      </c>
      <c r="AF959" s="295">
        <f t="shared" ref="AF959:AF1022" si="39">AB959/U959</f>
        <v>230.9</v>
      </c>
      <c r="AG959" s="289">
        <f t="shared" ref="AG959:AG1022" si="40">AB959/V959</f>
        <v>46.18</v>
      </c>
      <c r="AH959" s="247">
        <f t="shared" ref="AH959:AH1022" si="41">AB959/S959</f>
        <v>0.6124668435013263</v>
      </c>
      <c r="AI959" s="124">
        <v>1061</v>
      </c>
      <c r="AJ959" s="124" t="s">
        <v>2272</v>
      </c>
      <c r="AK959"/>
      <c r="AM959" s="80"/>
    </row>
    <row r="960" spans="1:39" ht="28.5" customHeight="1">
      <c r="A960" s="113" t="s">
        <v>73</v>
      </c>
      <c r="B960" s="114" t="s">
        <v>74</v>
      </c>
      <c r="C960" s="307" t="s">
        <v>36</v>
      </c>
      <c r="D960" s="154" t="s">
        <v>75</v>
      </c>
      <c r="E960" s="154" t="s">
        <v>1678</v>
      </c>
      <c r="F960" s="154" t="s">
        <v>1679</v>
      </c>
      <c r="G960" s="154" t="s">
        <v>3315</v>
      </c>
      <c r="H960" s="253">
        <v>46296</v>
      </c>
      <c r="I960" s="239" t="s">
        <v>79</v>
      </c>
      <c r="J960" s="249">
        <v>557741424</v>
      </c>
      <c r="K960" s="293">
        <v>46289</v>
      </c>
      <c r="L960" s="174" t="s">
        <v>81</v>
      </c>
      <c r="M960" s="253">
        <v>46290</v>
      </c>
      <c r="N960" s="308">
        <v>46294</v>
      </c>
      <c r="O960" s="275">
        <f>NETWORKDAYS.INTL(K960,N960,1,$AM$2:$AM$10)-1</f>
        <v>3</v>
      </c>
      <c r="P960" s="114" t="s">
        <v>81</v>
      </c>
      <c r="Q960" s="114" t="s">
        <v>79</v>
      </c>
      <c r="R960" s="114"/>
      <c r="S960" s="212">
        <v>1180</v>
      </c>
      <c r="T960" s="174" t="s">
        <v>1682</v>
      </c>
      <c r="U960" s="291">
        <v>1</v>
      </c>
      <c r="V960" s="291">
        <v>5</v>
      </c>
      <c r="W960" s="291">
        <v>562</v>
      </c>
      <c r="X960" s="174" t="s">
        <v>84</v>
      </c>
      <c r="Y960" s="154" t="s">
        <v>85</v>
      </c>
      <c r="Z960" s="176" t="s">
        <v>86</v>
      </c>
      <c r="AA960" s="174" t="s">
        <v>87</v>
      </c>
      <c r="AB960" s="310">
        <v>332.58</v>
      </c>
      <c r="AC960" s="298">
        <f>IF(C960="DENALI", AB960*0.495, IF(C960="SCHNEIDER ELECTRIC", AB960*1.136, IF(C960="WWT", AB960*1.2, AC960)))+AB960</f>
        <v>710.39087999999992</v>
      </c>
      <c r="AD960" s="299">
        <f>AC960-AB960</f>
        <v>377.81087999999994</v>
      </c>
      <c r="AE960" s="213">
        <v>12004.01</v>
      </c>
      <c r="AF960" s="295">
        <f t="shared" si="39"/>
        <v>332.58</v>
      </c>
      <c r="AG960" s="289">
        <f t="shared" si="40"/>
        <v>66.515999999999991</v>
      </c>
      <c r="AH960" s="247">
        <f t="shared" si="41"/>
        <v>0.28184745762711866</v>
      </c>
      <c r="AI960" s="124">
        <v>1061</v>
      </c>
      <c r="AJ960" s="124" t="s">
        <v>2272</v>
      </c>
      <c r="AK960"/>
      <c r="AM960" s="80"/>
    </row>
    <row r="961" spans="1:39" ht="28.5" customHeight="1">
      <c r="A961" s="113" t="s">
        <v>73</v>
      </c>
      <c r="B961" s="114" t="s">
        <v>2828</v>
      </c>
      <c r="C961" s="202" t="s">
        <v>1086</v>
      </c>
      <c r="D961" s="237" t="s">
        <v>218</v>
      </c>
      <c r="E961" s="237" t="s">
        <v>1259</v>
      </c>
      <c r="F961" s="237" t="s">
        <v>99</v>
      </c>
      <c r="G961" s="237">
        <v>24213039</v>
      </c>
      <c r="H961" s="294">
        <v>46295</v>
      </c>
      <c r="I961" s="248" t="s">
        <v>81</v>
      </c>
      <c r="J961" s="229">
        <v>24213039</v>
      </c>
      <c r="K961" s="257">
        <v>46288</v>
      </c>
      <c r="L961" s="83" t="s">
        <v>81</v>
      </c>
      <c r="M961" s="294">
        <v>46290</v>
      </c>
      <c r="N961" s="306">
        <v>46290</v>
      </c>
      <c r="O961" s="274">
        <f>NETWORKDAYS.INTL(K961,N961,1,$AM$2:$AM$10)-1</f>
        <v>2</v>
      </c>
      <c r="P961" s="114" t="s">
        <v>81</v>
      </c>
      <c r="Q961" s="114" t="s">
        <v>79</v>
      </c>
      <c r="R961" s="83" t="s">
        <v>3316</v>
      </c>
      <c r="S961" s="212">
        <v>2311</v>
      </c>
      <c r="T961" s="114" t="s">
        <v>3317</v>
      </c>
      <c r="U961" s="212">
        <v>2</v>
      </c>
      <c r="V961" s="212">
        <v>108</v>
      </c>
      <c r="W961" s="212">
        <v>700</v>
      </c>
      <c r="X961" s="114" t="s">
        <v>113</v>
      </c>
      <c r="Y961" s="154" t="s">
        <v>85</v>
      </c>
      <c r="Z961" s="115" t="s">
        <v>3318</v>
      </c>
      <c r="AA961" s="174" t="s">
        <v>87</v>
      </c>
      <c r="AB961" s="213">
        <v>6395</v>
      </c>
      <c r="AC961" s="298">
        <v>8000</v>
      </c>
      <c r="AD961" s="299">
        <f>AC961-AB961</f>
        <v>1605</v>
      </c>
      <c r="AE961" s="213">
        <v>94188.96</v>
      </c>
      <c r="AF961" s="295">
        <f t="shared" si="39"/>
        <v>3197.5</v>
      </c>
      <c r="AG961" s="289">
        <f t="shared" si="40"/>
        <v>59.212962962962962</v>
      </c>
      <c r="AH961" s="247">
        <f t="shared" si="41"/>
        <v>2.767200346170489</v>
      </c>
      <c r="AI961" s="124">
        <v>1290</v>
      </c>
      <c r="AJ961" s="124" t="s">
        <v>2684</v>
      </c>
      <c r="AK961"/>
      <c r="AM961" s="80"/>
    </row>
    <row r="962" spans="1:39" ht="28.5" customHeight="1">
      <c r="A962" s="113" t="s">
        <v>73</v>
      </c>
      <c r="B962" s="167" t="s">
        <v>778</v>
      </c>
      <c r="C962" s="148" t="s">
        <v>141</v>
      </c>
      <c r="D962" s="76" t="s">
        <v>142</v>
      </c>
      <c r="E962" s="76" t="s">
        <v>1736</v>
      </c>
      <c r="F962" s="76" t="s">
        <v>90</v>
      </c>
      <c r="G962" s="76">
        <v>24194692</v>
      </c>
      <c r="H962" s="90">
        <v>46294</v>
      </c>
      <c r="I962" s="82" t="s">
        <v>81</v>
      </c>
      <c r="J962" s="162">
        <v>24194692</v>
      </c>
      <c r="K962" s="90">
        <v>46287</v>
      </c>
      <c r="L962" s="82" t="s">
        <v>81</v>
      </c>
      <c r="M962" s="90">
        <v>46289</v>
      </c>
      <c r="N962" s="131">
        <v>46289</v>
      </c>
      <c r="O962" s="216">
        <f>NETWORKDAYS.INTL(K962,N962,1,$AM$2:$AM$10)-1</f>
        <v>2</v>
      </c>
      <c r="P962" s="101" t="s">
        <v>81</v>
      </c>
      <c r="Q962" s="114" t="s">
        <v>79</v>
      </c>
      <c r="R962" s="83" t="s">
        <v>3316</v>
      </c>
      <c r="S962" s="212">
        <v>2297</v>
      </c>
      <c r="T962" s="114" t="s">
        <v>2987</v>
      </c>
      <c r="U962" s="212">
        <v>1</v>
      </c>
      <c r="V962" s="212">
        <v>1</v>
      </c>
      <c r="W962" s="212">
        <v>400</v>
      </c>
      <c r="X962" s="114" t="s">
        <v>113</v>
      </c>
      <c r="Y962" s="154" t="s">
        <v>85</v>
      </c>
      <c r="Z962" s="115" t="s">
        <v>3319</v>
      </c>
      <c r="AA962" s="174" t="s">
        <v>87</v>
      </c>
      <c r="AB962" s="213">
        <v>7135</v>
      </c>
      <c r="AC962" s="122">
        <v>9135</v>
      </c>
      <c r="AD962" s="299">
        <f>AC962-AB962</f>
        <v>2000</v>
      </c>
      <c r="AE962" s="213">
        <v>94188.96</v>
      </c>
      <c r="AF962" s="295">
        <f t="shared" si="39"/>
        <v>7135</v>
      </c>
      <c r="AG962" s="289">
        <f t="shared" si="40"/>
        <v>7135</v>
      </c>
      <c r="AH962" s="247">
        <f t="shared" si="41"/>
        <v>3.1062255115367869</v>
      </c>
      <c r="AI962" s="124">
        <v>1290</v>
      </c>
      <c r="AJ962" s="124" t="s">
        <v>3320</v>
      </c>
      <c r="AK962"/>
      <c r="AM962" s="80"/>
    </row>
    <row r="963" spans="1:39" ht="28.5" customHeight="1">
      <c r="A963" s="113" t="s">
        <v>73</v>
      </c>
      <c r="B963" s="167" t="s">
        <v>74</v>
      </c>
      <c r="C963" s="148" t="s">
        <v>35</v>
      </c>
      <c r="D963" s="76" t="s">
        <v>218</v>
      </c>
      <c r="E963" s="76" t="s">
        <v>671</v>
      </c>
      <c r="F963" s="76" t="s">
        <v>396</v>
      </c>
      <c r="G963" s="76" t="s">
        <v>3321</v>
      </c>
      <c r="H963" s="90">
        <v>46296</v>
      </c>
      <c r="I963" s="170" t="s">
        <v>79</v>
      </c>
      <c r="J963" s="151">
        <v>82262004</v>
      </c>
      <c r="K963" s="165">
        <v>46290</v>
      </c>
      <c r="L963" s="82" t="s">
        <v>81</v>
      </c>
      <c r="M963" s="90">
        <v>46294</v>
      </c>
      <c r="N963" s="131">
        <v>46294</v>
      </c>
      <c r="O963" s="216">
        <f>NETWORKDAYS.INTL(K963,N963,1,$AM$2:$AM$10)-1</f>
        <v>2</v>
      </c>
      <c r="P963" s="101" t="s">
        <v>81</v>
      </c>
      <c r="Q963" s="114" t="s">
        <v>79</v>
      </c>
      <c r="R963" s="114"/>
      <c r="S963" s="212">
        <v>629</v>
      </c>
      <c r="T963" s="114" t="s">
        <v>3322</v>
      </c>
      <c r="U963" s="212">
        <v>2</v>
      </c>
      <c r="V963" s="212">
        <v>945</v>
      </c>
      <c r="W963" s="212">
        <v>1515</v>
      </c>
      <c r="X963" s="174" t="s">
        <v>84</v>
      </c>
      <c r="Y963" s="154" t="s">
        <v>85</v>
      </c>
      <c r="Z963" s="115" t="s">
        <v>2909</v>
      </c>
      <c r="AA963" s="174" t="s">
        <v>87</v>
      </c>
      <c r="AB963" s="213">
        <v>303.77</v>
      </c>
      <c r="AC963" s="298">
        <f>IF(C963="DENALI", AB963*0.495, IF(C963="SCHNEIDER ELECTRIC", AB963*1.136, IF(C963="WWT", AB963*1.2, AC963)))+AB963</f>
        <v>454.13614999999993</v>
      </c>
      <c r="AD963" s="299">
        <f>AC963-AB963</f>
        <v>150.36614999999995</v>
      </c>
      <c r="AE963" s="213">
        <v>85529.1</v>
      </c>
      <c r="AF963" s="295">
        <f t="shared" si="39"/>
        <v>151.88499999999999</v>
      </c>
      <c r="AG963" s="289">
        <f t="shared" si="40"/>
        <v>0.32144973544973543</v>
      </c>
      <c r="AH963" s="247">
        <f t="shared" si="41"/>
        <v>0.48294117647058821</v>
      </c>
      <c r="AI963" s="124">
        <v>3299</v>
      </c>
      <c r="AJ963" s="124" t="s">
        <v>343</v>
      </c>
      <c r="AK963"/>
      <c r="AM963" s="80"/>
    </row>
    <row r="964" spans="1:39" ht="28.5" customHeight="1">
      <c r="A964" s="113" t="s">
        <v>73</v>
      </c>
      <c r="B964" s="167" t="s">
        <v>74</v>
      </c>
      <c r="C964" s="148" t="s">
        <v>36</v>
      </c>
      <c r="D964" s="77" t="s">
        <v>90</v>
      </c>
      <c r="E964" s="77" t="s">
        <v>3323</v>
      </c>
      <c r="F964" s="77" t="s">
        <v>90</v>
      </c>
      <c r="G964" s="77" t="s">
        <v>3324</v>
      </c>
      <c r="H964" s="94">
        <v>46296</v>
      </c>
      <c r="I964" s="93" t="s">
        <v>79</v>
      </c>
      <c r="J964" s="318">
        <v>557741940</v>
      </c>
      <c r="K964" s="94">
        <v>46289</v>
      </c>
      <c r="L964" s="93" t="s">
        <v>81</v>
      </c>
      <c r="M964" s="94">
        <v>46290</v>
      </c>
      <c r="N964" s="132">
        <v>46290</v>
      </c>
      <c r="O964" s="268">
        <f>NETWORKDAYS.INTL(K964,N964,1,$AM$2:$AM$10)-1</f>
        <v>1</v>
      </c>
      <c r="P964" s="177" t="s">
        <v>81</v>
      </c>
      <c r="Q964" s="83" t="s">
        <v>79</v>
      </c>
      <c r="R964" s="114"/>
      <c r="S964" s="212">
        <v>147</v>
      </c>
      <c r="T964" s="114" t="s">
        <v>3325</v>
      </c>
      <c r="U964" s="212">
        <v>2</v>
      </c>
      <c r="V964" s="212">
        <v>11</v>
      </c>
      <c r="W964" s="212">
        <v>1727</v>
      </c>
      <c r="X964" s="114" t="s">
        <v>84</v>
      </c>
      <c r="Y964" s="124" t="s">
        <v>85</v>
      </c>
      <c r="Z964" s="88" t="s">
        <v>86</v>
      </c>
      <c r="AA964" s="114" t="s">
        <v>87</v>
      </c>
      <c r="AB964" s="213">
        <v>283.52999999999997</v>
      </c>
      <c r="AC964" s="298">
        <f>IF(C964="DENALI", AB964*0.495, IF(C964="SCHNEIDER ELECTRIC", AB964*1.136, IF(C964="WWT", AB964*1.2, AC964)))+AB964</f>
        <v>605.62007999999992</v>
      </c>
      <c r="AD964" s="299">
        <f>AC964-AB964</f>
        <v>322.09007999999994</v>
      </c>
      <c r="AE964" s="213">
        <v>41170.5</v>
      </c>
      <c r="AF964" s="295">
        <f t="shared" si="39"/>
        <v>141.76499999999999</v>
      </c>
      <c r="AG964" s="289">
        <f t="shared" si="40"/>
        <v>25.775454545454544</v>
      </c>
      <c r="AH964" s="247">
        <f t="shared" si="41"/>
        <v>1.9287755102040816</v>
      </c>
      <c r="AI964" s="124">
        <v>1290</v>
      </c>
      <c r="AJ964" s="124" t="s">
        <v>2267</v>
      </c>
      <c r="AK964"/>
      <c r="AM964" s="80"/>
    </row>
    <row r="965" spans="1:39" ht="28.5" customHeight="1">
      <c r="A965" s="113" t="s">
        <v>73</v>
      </c>
      <c r="B965" s="167" t="s">
        <v>74</v>
      </c>
      <c r="C965" s="319" t="s">
        <v>36</v>
      </c>
      <c r="D965" s="76" t="s">
        <v>90</v>
      </c>
      <c r="E965" s="76" t="s">
        <v>3326</v>
      </c>
      <c r="F965" s="76" t="s">
        <v>162</v>
      </c>
      <c r="G965" s="76" t="s">
        <v>3327</v>
      </c>
      <c r="H965" s="90">
        <v>46296</v>
      </c>
      <c r="I965" s="82" t="s">
        <v>79</v>
      </c>
      <c r="J965" s="249">
        <v>557742463</v>
      </c>
      <c r="K965" s="90">
        <v>46289</v>
      </c>
      <c r="L965" s="82" t="s">
        <v>81</v>
      </c>
      <c r="M965" s="90">
        <v>46290</v>
      </c>
      <c r="N965" s="131">
        <v>46293</v>
      </c>
      <c r="O965" s="216">
        <f>NETWORKDAYS.INTL(K965,N965,1,$AM$2:$AM$10)-1</f>
        <v>2</v>
      </c>
      <c r="P965" s="82" t="s">
        <v>81</v>
      </c>
      <c r="Q965" s="82" t="s">
        <v>79</v>
      </c>
      <c r="R965" s="101"/>
      <c r="S965" s="212">
        <v>271</v>
      </c>
      <c r="T965" s="114" t="s">
        <v>3328</v>
      </c>
      <c r="U965" s="212">
        <v>1</v>
      </c>
      <c r="V965" s="212">
        <v>2</v>
      </c>
      <c r="W965" s="212">
        <v>156</v>
      </c>
      <c r="X965" s="114" t="s">
        <v>84</v>
      </c>
      <c r="Y965" s="124" t="s">
        <v>85</v>
      </c>
      <c r="Z965" s="88" t="s">
        <v>86</v>
      </c>
      <c r="AA965" s="114" t="s">
        <v>87</v>
      </c>
      <c r="AB965" s="213">
        <v>269.68</v>
      </c>
      <c r="AC965" s="298">
        <f>IF(C965="DENALI", AB965*0.495, IF(C965="SCHNEIDER ELECTRIC", AB965*1.136, IF(C965="WWT", AB965*1.2, AC965)))+AB965</f>
        <v>576.03647999999998</v>
      </c>
      <c r="AD965" s="299">
        <f>AC965-AB965</f>
        <v>306.35647999999998</v>
      </c>
      <c r="AE965" s="213">
        <v>6153.58</v>
      </c>
      <c r="AF965" s="295">
        <f t="shared" si="39"/>
        <v>269.68</v>
      </c>
      <c r="AG965" s="289">
        <f t="shared" si="40"/>
        <v>134.84</v>
      </c>
      <c r="AH965" s="247">
        <f t="shared" si="41"/>
        <v>0.99512915129151291</v>
      </c>
      <c r="AI965" s="124">
        <v>1173</v>
      </c>
      <c r="AJ965" s="124" t="s">
        <v>2353</v>
      </c>
      <c r="AK965"/>
      <c r="AM965" s="80"/>
    </row>
    <row r="966" spans="1:39" ht="28.5" customHeight="1">
      <c r="A966" s="113" t="s">
        <v>73</v>
      </c>
      <c r="B966" s="167" t="s">
        <v>74</v>
      </c>
      <c r="C966" s="319" t="s">
        <v>35</v>
      </c>
      <c r="D966" s="76" t="s">
        <v>99</v>
      </c>
      <c r="E966" s="76" t="s">
        <v>2825</v>
      </c>
      <c r="F966" s="76" t="s">
        <v>131</v>
      </c>
      <c r="G966" s="76">
        <v>24231638</v>
      </c>
      <c r="H966" s="90">
        <v>46296</v>
      </c>
      <c r="I966" s="82" t="s">
        <v>81</v>
      </c>
      <c r="J966" s="151">
        <v>24231638</v>
      </c>
      <c r="K966" s="90">
        <v>46289</v>
      </c>
      <c r="L966" s="82" t="s">
        <v>81</v>
      </c>
      <c r="M966" s="90">
        <v>46293</v>
      </c>
      <c r="N966" s="131">
        <v>46293</v>
      </c>
      <c r="O966" s="216">
        <f>NETWORKDAYS.INTL(K966,N966,1,$AM$2:$AM$10)-1</f>
        <v>2</v>
      </c>
      <c r="P966" s="82" t="s">
        <v>81</v>
      </c>
      <c r="Q966" s="82" t="s">
        <v>79</v>
      </c>
      <c r="R966" s="83" t="s">
        <v>3316</v>
      </c>
      <c r="S966" s="212">
        <v>3065</v>
      </c>
      <c r="T966" s="114" t="s">
        <v>2827</v>
      </c>
      <c r="U966" s="212">
        <v>5</v>
      </c>
      <c r="V966" s="212">
        <v>5</v>
      </c>
      <c r="W966" s="212">
        <v>2840</v>
      </c>
      <c r="X966" s="114" t="s">
        <v>113</v>
      </c>
      <c r="Y966" s="154" t="s">
        <v>85</v>
      </c>
      <c r="Z966" s="115" t="s">
        <v>3329</v>
      </c>
      <c r="AA966" s="114" t="s">
        <v>87</v>
      </c>
      <c r="AB966" s="213">
        <v>269.68</v>
      </c>
      <c r="AC966" s="298">
        <f>IF(C966="DENALI", AB966*0.495, IF(C966="SCHNEIDER ELECTRIC", AB966*1.136, IF(C966="WWT", AB966*1.2, AC966)))+AB966</f>
        <v>403.17160000000001</v>
      </c>
      <c r="AD966" s="299">
        <f t="shared" ref="AD966:AD968" si="42">AC966-AB966</f>
        <v>133.49160000000001</v>
      </c>
      <c r="AE966" s="213">
        <v>6153.58</v>
      </c>
      <c r="AF966" s="295">
        <f t="shared" si="39"/>
        <v>53.936</v>
      </c>
      <c r="AG966" s="289">
        <f t="shared" si="40"/>
        <v>53.936</v>
      </c>
      <c r="AH966" s="247">
        <f t="shared" si="41"/>
        <v>8.7986949429037523E-2</v>
      </c>
      <c r="AI966" s="124">
        <v>5776</v>
      </c>
      <c r="AJ966" s="312" t="s">
        <v>107</v>
      </c>
      <c r="AK966"/>
      <c r="AM966" s="80"/>
    </row>
    <row r="967" spans="1:39" ht="28.5" customHeight="1">
      <c r="A967" s="113" t="s">
        <v>73</v>
      </c>
      <c r="B967" s="167" t="s">
        <v>74</v>
      </c>
      <c r="C967" s="319" t="s">
        <v>36</v>
      </c>
      <c r="D967" s="76" t="s">
        <v>75</v>
      </c>
      <c r="E967" s="76" t="s">
        <v>3330</v>
      </c>
      <c r="F967" s="76" t="s">
        <v>265</v>
      </c>
      <c r="G967" s="76" t="s">
        <v>3331</v>
      </c>
      <c r="H967" s="90">
        <v>46296</v>
      </c>
      <c r="I967" s="82" t="s">
        <v>79</v>
      </c>
      <c r="J967" s="228">
        <v>557741645</v>
      </c>
      <c r="K967" s="90">
        <v>46290</v>
      </c>
      <c r="L967" s="82" t="s">
        <v>81</v>
      </c>
      <c r="M967" s="90">
        <v>46293</v>
      </c>
      <c r="N967" s="131">
        <v>46290</v>
      </c>
      <c r="O967" s="216">
        <f t="shared" ref="O967:O973" si="43">NETWORKDAYS.INTL(K967,N967,1,$AM$2:$AM$10)-1</f>
        <v>0</v>
      </c>
      <c r="P967" s="82" t="s">
        <v>81</v>
      </c>
      <c r="Q967" s="82" t="s">
        <v>79</v>
      </c>
      <c r="R967" s="259"/>
      <c r="S967" s="231">
        <v>263</v>
      </c>
      <c r="T967" s="114" t="s">
        <v>3332</v>
      </c>
      <c r="U967" s="212">
        <v>1</v>
      </c>
      <c r="V967" s="212">
        <v>5</v>
      </c>
      <c r="W967" s="212">
        <v>716</v>
      </c>
      <c r="X967" s="114" t="s">
        <v>84</v>
      </c>
      <c r="Y967" s="124" t="s">
        <v>85</v>
      </c>
      <c r="Z967" s="88" t="s">
        <v>86</v>
      </c>
      <c r="AA967" s="114" t="s">
        <v>87</v>
      </c>
      <c r="AB967" s="213">
        <v>210.97</v>
      </c>
      <c r="AC967" s="298">
        <f>IF(C967="DENALI", AB967*0.495, IF(C967="SCHNEIDER ELECTRIC", AB967*1.136, IF(C967="WWT", AB967*1.2, AC967)))+AB967</f>
        <v>450.63191999999998</v>
      </c>
      <c r="AD967" s="299">
        <f t="shared" si="42"/>
        <v>239.66191999999998</v>
      </c>
      <c r="AE967" s="213">
        <v>18511.62</v>
      </c>
      <c r="AF967" s="295">
        <f t="shared" si="39"/>
        <v>210.97</v>
      </c>
      <c r="AG967" s="289">
        <f t="shared" si="40"/>
        <v>42.194000000000003</v>
      </c>
      <c r="AH967" s="247">
        <f t="shared" si="41"/>
        <v>0.8021673003802281</v>
      </c>
      <c r="AI967" s="124">
        <v>1085</v>
      </c>
      <c r="AJ967" s="124" t="s">
        <v>2249</v>
      </c>
      <c r="AK967"/>
      <c r="AM967" s="80"/>
    </row>
    <row r="968" spans="1:39" ht="28.5" customHeight="1">
      <c r="A968" s="113" t="s">
        <v>73</v>
      </c>
      <c r="B968" s="167" t="s">
        <v>74</v>
      </c>
      <c r="C968" s="319" t="s">
        <v>35</v>
      </c>
      <c r="D968" s="76" t="s">
        <v>218</v>
      </c>
      <c r="E968" s="76" t="s">
        <v>3333</v>
      </c>
      <c r="F968" s="76" t="s">
        <v>272</v>
      </c>
      <c r="G968" s="76" t="s">
        <v>3334</v>
      </c>
      <c r="H968" s="90">
        <v>46296</v>
      </c>
      <c r="I968" s="82" t="s">
        <v>79</v>
      </c>
      <c r="J968" s="228">
        <v>606855211</v>
      </c>
      <c r="K968" s="90">
        <v>46290</v>
      </c>
      <c r="L968" s="82" t="s">
        <v>79</v>
      </c>
      <c r="M968" s="90">
        <v>46293</v>
      </c>
      <c r="N968" s="131">
        <v>46293</v>
      </c>
      <c r="O968" s="216">
        <f t="shared" si="43"/>
        <v>1</v>
      </c>
      <c r="P968" s="82" t="s">
        <v>81</v>
      </c>
      <c r="Q968" s="82" t="s">
        <v>79</v>
      </c>
      <c r="R968" s="259" t="s">
        <v>3335</v>
      </c>
      <c r="S968" s="231">
        <v>858</v>
      </c>
      <c r="T968" s="114" t="s">
        <v>3336</v>
      </c>
      <c r="U968" s="212">
        <v>2</v>
      </c>
      <c r="V968" s="212">
        <v>40</v>
      </c>
      <c r="W968" s="212">
        <v>380</v>
      </c>
      <c r="X968" s="114" t="s">
        <v>84</v>
      </c>
      <c r="Y968" s="124" t="s">
        <v>85</v>
      </c>
      <c r="Z968" s="88" t="s">
        <v>86</v>
      </c>
      <c r="AA968" s="114" t="s">
        <v>87</v>
      </c>
      <c r="AB968" s="213">
        <v>195.25</v>
      </c>
      <c r="AC968" s="298">
        <f>IF(C968="DENALI", AB968*0.495, IF(C968="SCHNEIDER ELECTRIC", AB968*1.136, IF(C968="WWT", AB968*1.2, AC968)))+AB968</f>
        <v>291.89875000000001</v>
      </c>
      <c r="AD968" s="299">
        <f t="shared" si="42"/>
        <v>96.648750000000007</v>
      </c>
      <c r="AE968" s="213">
        <v>14213.2</v>
      </c>
      <c r="AF968" s="295">
        <f t="shared" si="39"/>
        <v>97.625</v>
      </c>
      <c r="AG968" s="289">
        <f t="shared" si="40"/>
        <v>4.8812499999999996</v>
      </c>
      <c r="AH968" s="247">
        <f t="shared" si="41"/>
        <v>0.22756410256410256</v>
      </c>
      <c r="AI968" s="124">
        <v>1290</v>
      </c>
      <c r="AJ968" s="124" t="s">
        <v>2267</v>
      </c>
      <c r="AK968"/>
      <c r="AM968" s="80"/>
    </row>
    <row r="969" spans="1:39" ht="28.5" customHeight="1">
      <c r="A969" s="113" t="s">
        <v>73</v>
      </c>
      <c r="B969" s="167" t="s">
        <v>74</v>
      </c>
      <c r="C969" s="324" t="s">
        <v>35</v>
      </c>
      <c r="D969" s="76" t="s">
        <v>218</v>
      </c>
      <c r="E969" s="76" t="s">
        <v>2825</v>
      </c>
      <c r="F969" s="76" t="s">
        <v>131</v>
      </c>
      <c r="G969" s="76" t="s">
        <v>3337</v>
      </c>
      <c r="H969" s="90">
        <v>46296</v>
      </c>
      <c r="I969" s="82" t="s">
        <v>79</v>
      </c>
      <c r="J969" s="228">
        <v>557742533</v>
      </c>
      <c r="K969" s="90">
        <v>46290</v>
      </c>
      <c r="L969" s="82" t="s">
        <v>81</v>
      </c>
      <c r="M969" s="90">
        <v>46294</v>
      </c>
      <c r="N969" s="131">
        <v>46295</v>
      </c>
      <c r="O969" s="216">
        <f t="shared" si="43"/>
        <v>3</v>
      </c>
      <c r="P969" s="82" t="s">
        <v>81</v>
      </c>
      <c r="Q969" s="82" t="s">
        <v>79</v>
      </c>
      <c r="R969" s="101"/>
      <c r="S969" s="231">
        <v>862</v>
      </c>
      <c r="T969" s="114" t="s">
        <v>3221</v>
      </c>
      <c r="U969" s="212">
        <v>1</v>
      </c>
      <c r="V969" s="212">
        <v>35</v>
      </c>
      <c r="W969" s="212">
        <v>370</v>
      </c>
      <c r="X969" s="114" t="s">
        <v>84</v>
      </c>
      <c r="Y969" s="124" t="s">
        <v>85</v>
      </c>
      <c r="Z969" s="88" t="s">
        <v>86</v>
      </c>
      <c r="AA969" s="114" t="s">
        <v>87</v>
      </c>
      <c r="AB969" s="213">
        <v>286.77</v>
      </c>
      <c r="AC969" s="298">
        <f>IF(C969="DENALI", AB969*0.495, IF(C969="SCHNEIDER ELECTRIC", AB969*1.136, IF(C969="WWT", AB969*1.2, AC969)))+AB969</f>
        <v>428.72114999999997</v>
      </c>
      <c r="AD969" s="299">
        <f>AC969-AB969</f>
        <v>141.95114999999998</v>
      </c>
      <c r="AE969" s="213">
        <v>31921.05</v>
      </c>
      <c r="AF969" s="295">
        <f t="shared" si="39"/>
        <v>286.77</v>
      </c>
      <c r="AG969" s="289">
        <f t="shared" si="40"/>
        <v>8.1934285714285711</v>
      </c>
      <c r="AH969" s="247">
        <f t="shared" si="41"/>
        <v>0.33267981438515082</v>
      </c>
      <c r="AI969" s="124">
        <v>5776</v>
      </c>
      <c r="AJ969" s="124" t="s">
        <v>107</v>
      </c>
      <c r="AK969"/>
      <c r="AM969" s="80"/>
    </row>
    <row r="970" spans="1:39" ht="28.5" customHeight="1">
      <c r="A970" s="113" t="s">
        <v>73</v>
      </c>
      <c r="B970" s="167" t="s">
        <v>74</v>
      </c>
      <c r="C970" s="319" t="s">
        <v>36</v>
      </c>
      <c r="D970" s="76" t="s">
        <v>90</v>
      </c>
      <c r="E970" s="76" t="s">
        <v>193</v>
      </c>
      <c r="F970" s="76" t="s">
        <v>92</v>
      </c>
      <c r="G970" s="76">
        <v>24230145</v>
      </c>
      <c r="H970" s="90">
        <v>46296</v>
      </c>
      <c r="I970" s="82" t="s">
        <v>79</v>
      </c>
      <c r="J970" s="151">
        <v>24230145</v>
      </c>
      <c r="K970" s="90">
        <v>46289</v>
      </c>
      <c r="L970" s="82" t="s">
        <v>81</v>
      </c>
      <c r="M970" s="90">
        <v>46290</v>
      </c>
      <c r="N970" s="131">
        <v>46293</v>
      </c>
      <c r="O970" s="216">
        <f t="shared" si="43"/>
        <v>2</v>
      </c>
      <c r="P970" s="82" t="s">
        <v>81</v>
      </c>
      <c r="Q970" s="82" t="s">
        <v>79</v>
      </c>
      <c r="R970" s="311"/>
      <c r="S970" s="212">
        <v>1515</v>
      </c>
      <c r="T970" s="114" t="s">
        <v>3338</v>
      </c>
      <c r="U970" s="212">
        <v>11</v>
      </c>
      <c r="V970" s="212">
        <v>11</v>
      </c>
      <c r="W970" s="212">
        <v>10324</v>
      </c>
      <c r="X970" s="114" t="s">
        <v>113</v>
      </c>
      <c r="Y970" s="124" t="s">
        <v>85</v>
      </c>
      <c r="Z970" s="115" t="s">
        <v>3339</v>
      </c>
      <c r="AA970" s="114" t="s">
        <v>87</v>
      </c>
      <c r="AB970" s="213">
        <v>6490.62</v>
      </c>
      <c r="AC970" s="298">
        <f>IF(C970="DENALI", AB970*0.495, IF(C970="SCHNEIDER ELECTRIC", AB970*1.136, IF(C970="WWT", AB970*1.2, AC970)))+AB970</f>
        <v>13863.964319999999</v>
      </c>
      <c r="AD970" s="299">
        <f>AC970-AB970</f>
        <v>7373.3443199999992</v>
      </c>
      <c r="AE970" s="213">
        <v>268601.45</v>
      </c>
      <c r="AF970" s="295">
        <f t="shared" si="39"/>
        <v>590.05636363636359</v>
      </c>
      <c r="AG970" s="289">
        <f t="shared" si="40"/>
        <v>590.05636363636359</v>
      </c>
      <c r="AH970" s="247">
        <f t="shared" si="41"/>
        <v>4.284237623762376</v>
      </c>
      <c r="AI970" s="124">
        <v>1290</v>
      </c>
      <c r="AJ970" s="124" t="s">
        <v>2267</v>
      </c>
      <c r="AK970"/>
      <c r="AM970" s="80"/>
    </row>
    <row r="971" spans="1:39" ht="28.5" customHeight="1">
      <c r="A971" s="113" t="s">
        <v>73</v>
      </c>
      <c r="B971" s="167" t="s">
        <v>74</v>
      </c>
      <c r="C971" s="319" t="s">
        <v>35</v>
      </c>
      <c r="D971" s="76" t="s">
        <v>218</v>
      </c>
      <c r="E971" s="76" t="s">
        <v>643</v>
      </c>
      <c r="F971" s="76" t="s">
        <v>644</v>
      </c>
      <c r="G971" s="76" t="s">
        <v>3340</v>
      </c>
      <c r="H971" s="90">
        <v>46296</v>
      </c>
      <c r="I971" s="82" t="s">
        <v>79</v>
      </c>
      <c r="J971" s="249">
        <v>557745462</v>
      </c>
      <c r="K971" s="90">
        <v>46290</v>
      </c>
      <c r="L971" s="82" t="s">
        <v>81</v>
      </c>
      <c r="M971" s="90">
        <v>46293</v>
      </c>
      <c r="N971" s="131">
        <v>46293</v>
      </c>
      <c r="O971" s="216">
        <f t="shared" si="43"/>
        <v>1</v>
      </c>
      <c r="P971" s="82" t="s">
        <v>81</v>
      </c>
      <c r="Q971" s="82" t="s">
        <v>79</v>
      </c>
      <c r="R971" s="101"/>
      <c r="S971" s="212">
        <v>264</v>
      </c>
      <c r="T971" s="114" t="s">
        <v>3341</v>
      </c>
      <c r="U971" s="212">
        <v>1</v>
      </c>
      <c r="V971" s="212">
        <v>2</v>
      </c>
      <c r="W971" s="212">
        <v>325</v>
      </c>
      <c r="X971" s="114" t="s">
        <v>84</v>
      </c>
      <c r="Y971" s="124" t="s">
        <v>85</v>
      </c>
      <c r="Z971" s="88" t="s">
        <v>86</v>
      </c>
      <c r="AA971" s="114" t="s">
        <v>87</v>
      </c>
      <c r="AB971" s="213">
        <v>212.42</v>
      </c>
      <c r="AC971" s="298">
        <f>IF(C971="DENALI", AB971*0.495, IF(C971="SCHNEIDER ELECTRIC", AB971*1.136, IF(C971="WWT", AB971*1.2, AC971)))+AB971</f>
        <v>317.56790000000001</v>
      </c>
      <c r="AD971" s="299">
        <f>AC971-AB971</f>
        <v>105.14790000000002</v>
      </c>
      <c r="AE971" s="213">
        <v>8193.7199999999993</v>
      </c>
      <c r="AF971" s="295">
        <f t="shared" si="39"/>
        <v>212.42</v>
      </c>
      <c r="AG971" s="289">
        <f t="shared" si="40"/>
        <v>106.21</v>
      </c>
      <c r="AH971" s="247">
        <f t="shared" si="41"/>
        <v>0.80462121212121207</v>
      </c>
      <c r="AI971" s="124">
        <v>1290</v>
      </c>
      <c r="AJ971" s="124" t="s">
        <v>349</v>
      </c>
      <c r="AK971"/>
      <c r="AM971" s="80"/>
    </row>
    <row r="972" spans="1:39" ht="28.5" customHeight="1">
      <c r="A972" s="202" t="s">
        <v>73</v>
      </c>
      <c r="B972" s="248" t="s">
        <v>74</v>
      </c>
      <c r="C972" s="324" t="s">
        <v>36</v>
      </c>
      <c r="D972" s="77" t="s">
        <v>75</v>
      </c>
      <c r="E972" s="77" t="s">
        <v>3342</v>
      </c>
      <c r="F972" s="76" t="s">
        <v>207</v>
      </c>
      <c r="G972" s="76" t="s">
        <v>3343</v>
      </c>
      <c r="H972" s="90">
        <v>46297</v>
      </c>
      <c r="I972" s="82" t="s">
        <v>79</v>
      </c>
      <c r="J972" s="228">
        <v>557743561</v>
      </c>
      <c r="K972" s="90">
        <v>46290</v>
      </c>
      <c r="L972" s="82" t="s">
        <v>81</v>
      </c>
      <c r="M972" s="90">
        <v>46293</v>
      </c>
      <c r="N972" s="131">
        <v>46295</v>
      </c>
      <c r="O972" s="216">
        <f t="shared" si="43"/>
        <v>3</v>
      </c>
      <c r="P972" s="82" t="s">
        <v>81</v>
      </c>
      <c r="Q972" s="82" t="s">
        <v>79</v>
      </c>
      <c r="R972" s="101"/>
      <c r="S972" s="212">
        <v>335</v>
      </c>
      <c r="T972" s="114" t="s">
        <v>3344</v>
      </c>
      <c r="U972" s="212">
        <v>1</v>
      </c>
      <c r="V972" s="212">
        <v>5</v>
      </c>
      <c r="W972" s="212">
        <v>562</v>
      </c>
      <c r="X972" s="114" t="s">
        <v>84</v>
      </c>
      <c r="Y972" s="124" t="s">
        <v>85</v>
      </c>
      <c r="Z972" s="88" t="s">
        <v>86</v>
      </c>
      <c r="AA972" s="114" t="s">
        <v>87</v>
      </c>
      <c r="AB972" s="213">
        <v>211.74</v>
      </c>
      <c r="AC972" s="298">
        <f>IF(C972="DENALI", AB972*0.495, IF(C972="SCHNEIDER ELECTRIC", AB972*1.136, IF(C972="WWT", AB972*1.2, AC972)))+AB972</f>
        <v>452.27663999999999</v>
      </c>
      <c r="AD972" s="299">
        <f>AC972-AB972</f>
        <v>240.53663999999998</v>
      </c>
      <c r="AE972" s="213">
        <v>12004.01</v>
      </c>
      <c r="AF972" s="295">
        <f t="shared" si="39"/>
        <v>211.74</v>
      </c>
      <c r="AG972" s="289">
        <f t="shared" si="40"/>
        <v>42.347999999999999</v>
      </c>
      <c r="AH972" s="247">
        <f t="shared" si="41"/>
        <v>0.63205970149253732</v>
      </c>
      <c r="AI972" s="124">
        <v>1172</v>
      </c>
      <c r="AJ972" s="124" t="s">
        <v>2272</v>
      </c>
      <c r="AK972"/>
      <c r="AM972" s="80"/>
    </row>
    <row r="973" spans="1:39" ht="28.5" customHeight="1">
      <c r="A973" s="148" t="s">
        <v>73</v>
      </c>
      <c r="B973" s="82" t="s">
        <v>74</v>
      </c>
      <c r="C973" s="148" t="s">
        <v>36</v>
      </c>
      <c r="D973" s="76" t="s">
        <v>75</v>
      </c>
      <c r="E973" s="76" t="s">
        <v>76</v>
      </c>
      <c r="F973" s="338" t="s">
        <v>77</v>
      </c>
      <c r="G973" s="77" t="s">
        <v>3345</v>
      </c>
      <c r="H973" s="94">
        <v>46297</v>
      </c>
      <c r="I973" s="93" t="s">
        <v>79</v>
      </c>
      <c r="J973" s="251">
        <v>557744493</v>
      </c>
      <c r="K973" s="94">
        <v>46290</v>
      </c>
      <c r="L973" s="93" t="s">
        <v>81</v>
      </c>
      <c r="M973" s="94">
        <v>46293</v>
      </c>
      <c r="N973" s="132">
        <v>46300</v>
      </c>
      <c r="O973" s="268">
        <f t="shared" si="43"/>
        <v>6</v>
      </c>
      <c r="P973" s="82" t="s">
        <v>81</v>
      </c>
      <c r="Q973" s="82" t="s">
        <v>79</v>
      </c>
      <c r="R973" s="101"/>
      <c r="S973" s="212">
        <v>146</v>
      </c>
      <c r="T973" s="114" t="s">
        <v>3346</v>
      </c>
      <c r="U973" s="212">
        <v>4</v>
      </c>
      <c r="V973" s="212">
        <v>20</v>
      </c>
      <c r="W973" s="212">
        <v>3154</v>
      </c>
      <c r="X973" s="114" t="s">
        <v>84</v>
      </c>
      <c r="Y973" s="124" t="s">
        <v>85</v>
      </c>
      <c r="Z973" s="88" t="s">
        <v>86</v>
      </c>
      <c r="AA973" s="114" t="s">
        <v>87</v>
      </c>
      <c r="AB973" s="213">
        <v>447.82</v>
      </c>
      <c r="AC973" s="298">
        <f>IF(C973="DENALI", AB973*0.495, IF(C973="SCHNEIDER ELECTRIC", AB973*1.136, IF(C973="WWT", AB973*1.2, AC973)))+AB973</f>
        <v>956.54351999999994</v>
      </c>
      <c r="AD973" s="299">
        <f>AC973-AB973</f>
        <v>508.72351999999995</v>
      </c>
      <c r="AE973" s="213">
        <v>82341</v>
      </c>
      <c r="AF973" s="295">
        <f t="shared" si="39"/>
        <v>111.955</v>
      </c>
      <c r="AG973" s="289">
        <f t="shared" si="40"/>
        <v>22.390999999999998</v>
      </c>
      <c r="AH973" s="247">
        <f t="shared" si="41"/>
        <v>3.0672602739726025</v>
      </c>
      <c r="AI973" s="124">
        <v>1085</v>
      </c>
      <c r="AJ973" s="124" t="s">
        <v>2249</v>
      </c>
      <c r="AK973"/>
      <c r="AM973" s="80"/>
    </row>
    <row r="974" spans="1:39" ht="28.5" customHeight="1">
      <c r="A974" s="340" t="s">
        <v>73</v>
      </c>
      <c r="B974" s="341" t="s">
        <v>74</v>
      </c>
      <c r="C974" s="315" t="s">
        <v>36</v>
      </c>
      <c r="D974" s="92" t="s">
        <v>75</v>
      </c>
      <c r="E974" s="92" t="s">
        <v>665</v>
      </c>
      <c r="F974" s="76" t="s">
        <v>228</v>
      </c>
      <c r="G974" s="76" t="s">
        <v>3347</v>
      </c>
      <c r="H974" s="90">
        <v>46297</v>
      </c>
      <c r="I974" s="82" t="s">
        <v>79</v>
      </c>
      <c r="J974" s="228">
        <v>557745241</v>
      </c>
      <c r="K974" s="90">
        <v>46290</v>
      </c>
      <c r="L974" s="170" t="s">
        <v>81</v>
      </c>
      <c r="M974" s="90">
        <v>46293</v>
      </c>
      <c r="N974" s="131">
        <v>46297</v>
      </c>
      <c r="O974" s="216">
        <f>NETWORKDAYS.INTL(K974,N974,1,$AM$2:$AM$10)-1</f>
        <v>5</v>
      </c>
      <c r="P974" s="259" t="s">
        <v>81</v>
      </c>
      <c r="Q974" s="82" t="s">
        <v>79</v>
      </c>
      <c r="R974" s="101"/>
      <c r="S974" s="212">
        <v>683</v>
      </c>
      <c r="T974" s="114" t="s">
        <v>3348</v>
      </c>
      <c r="U974" s="212">
        <v>3</v>
      </c>
      <c r="V974" s="212">
        <v>16</v>
      </c>
      <c r="W974" s="212">
        <v>2515</v>
      </c>
      <c r="X974" s="114" t="s">
        <v>84</v>
      </c>
      <c r="Y974" s="124" t="s">
        <v>85</v>
      </c>
      <c r="Z974" s="88" t="s">
        <v>86</v>
      </c>
      <c r="AA974" s="114" t="s">
        <v>87</v>
      </c>
      <c r="AB974" s="213">
        <v>606.29</v>
      </c>
      <c r="AC974" s="298">
        <f>IF(C974="DENALI", AB974*0.495, IF(C974="SCHNEIDER ELECTRIC", AB974*1.136, IF(C974="WWT", AB974*1.2, AC974)))+AB974</f>
        <v>1295.0354399999999</v>
      </c>
      <c r="AD974" s="299">
        <f>AC974-AB974</f>
        <v>688.74543999999992</v>
      </c>
      <c r="AE974" s="213">
        <v>65872.800000000003</v>
      </c>
      <c r="AF974" s="295">
        <f t="shared" si="39"/>
        <v>202.09666666666666</v>
      </c>
      <c r="AG974" s="289">
        <f t="shared" si="40"/>
        <v>37.893124999999998</v>
      </c>
      <c r="AH974" s="247">
        <f t="shared" si="41"/>
        <v>0.88768667642752552</v>
      </c>
      <c r="AI974" s="124">
        <v>1290</v>
      </c>
      <c r="AJ974" s="124" t="s">
        <v>2267</v>
      </c>
      <c r="AK974"/>
      <c r="AM974" s="80"/>
    </row>
    <row r="975" spans="1:39" ht="28.5" customHeight="1">
      <c r="A975" s="160" t="s">
        <v>73</v>
      </c>
      <c r="B975" s="170" t="s">
        <v>74</v>
      </c>
      <c r="C975" s="315" t="s">
        <v>36</v>
      </c>
      <c r="D975" s="92" t="s">
        <v>75</v>
      </c>
      <c r="E975" s="92" t="s">
        <v>3349</v>
      </c>
      <c r="F975" s="92" t="s">
        <v>109</v>
      </c>
      <c r="G975" s="92" t="s">
        <v>3350</v>
      </c>
      <c r="H975" s="221">
        <v>46297</v>
      </c>
      <c r="I975" s="220" t="s">
        <v>79</v>
      </c>
      <c r="J975" s="317">
        <v>557744832</v>
      </c>
      <c r="K975" s="221">
        <v>46290</v>
      </c>
      <c r="L975" s="220" t="s">
        <v>81</v>
      </c>
      <c r="M975" s="221">
        <v>46294</v>
      </c>
      <c r="N975" s="226">
        <v>46294</v>
      </c>
      <c r="O975" s="275">
        <f t="shared" ref="O975:O998" si="44">NETWORKDAYS.INTL(K975,N975,1,$AM$2:$AM$10)-1</f>
        <v>2</v>
      </c>
      <c r="P975" s="311" t="s">
        <v>81</v>
      </c>
      <c r="Q975" s="174" t="s">
        <v>79</v>
      </c>
      <c r="R975" s="114"/>
      <c r="S975" s="212">
        <v>971</v>
      </c>
      <c r="T975" s="114" t="s">
        <v>3351</v>
      </c>
      <c r="U975" s="212">
        <v>1</v>
      </c>
      <c r="V975" s="212">
        <v>5</v>
      </c>
      <c r="W975" s="212">
        <v>562</v>
      </c>
      <c r="X975" s="114" t="s">
        <v>84</v>
      </c>
      <c r="Y975" s="124" t="s">
        <v>85</v>
      </c>
      <c r="Z975" s="88" t="s">
        <v>86</v>
      </c>
      <c r="AA975" s="114" t="s">
        <v>87</v>
      </c>
      <c r="AB975" s="213">
        <v>244.96</v>
      </c>
      <c r="AC975" s="298">
        <f>IF(C975="DENALI", AB975*0.495, IF(C975="SCHNEIDER ELECTRIC", AB975*1.136, IF(C975="WWT", AB975*1.2, AC975)))+AB975</f>
        <v>523.23455999999999</v>
      </c>
      <c r="AD975" s="299">
        <f t="shared" ref="AD975:AD984" si="45">AC975-AB975</f>
        <v>278.27455999999995</v>
      </c>
      <c r="AE975" s="213">
        <v>12004.01</v>
      </c>
      <c r="AF975" s="295">
        <f t="shared" si="39"/>
        <v>244.96</v>
      </c>
      <c r="AG975" s="289">
        <f t="shared" si="40"/>
        <v>48.992000000000004</v>
      </c>
      <c r="AH975" s="247">
        <f t="shared" si="41"/>
        <v>0.25227600411946449</v>
      </c>
      <c r="AI975" s="124">
        <v>1172</v>
      </c>
      <c r="AJ975" s="124" t="s">
        <v>2272</v>
      </c>
      <c r="AK975"/>
      <c r="AM975" s="80"/>
    </row>
    <row r="976" spans="1:39" ht="28.5" customHeight="1">
      <c r="A976" s="160" t="s">
        <v>73</v>
      </c>
      <c r="B976" s="170" t="s">
        <v>74</v>
      </c>
      <c r="C976" s="148" t="s">
        <v>36</v>
      </c>
      <c r="D976" s="76" t="s">
        <v>75</v>
      </c>
      <c r="E976" s="76" t="s">
        <v>3352</v>
      </c>
      <c r="F976" s="76" t="s">
        <v>207</v>
      </c>
      <c r="G976" s="76" t="s">
        <v>3353</v>
      </c>
      <c r="H976" s="90">
        <v>46297</v>
      </c>
      <c r="I976" s="82" t="s">
        <v>79</v>
      </c>
      <c r="J976" s="228">
        <v>557744051</v>
      </c>
      <c r="K976" s="90">
        <v>46290</v>
      </c>
      <c r="L976" s="82" t="s">
        <v>81</v>
      </c>
      <c r="M976" s="90">
        <v>46293</v>
      </c>
      <c r="N976" s="131">
        <v>46295</v>
      </c>
      <c r="O976" s="216">
        <f t="shared" si="44"/>
        <v>3</v>
      </c>
      <c r="P976" s="101" t="s">
        <v>81</v>
      </c>
      <c r="Q976" s="114" t="s">
        <v>79</v>
      </c>
      <c r="R976" s="114"/>
      <c r="S976" s="212">
        <v>400</v>
      </c>
      <c r="T976" s="114" t="s">
        <v>3354</v>
      </c>
      <c r="U976" s="212">
        <v>1</v>
      </c>
      <c r="V976" s="212">
        <v>5</v>
      </c>
      <c r="W976" s="212">
        <v>562</v>
      </c>
      <c r="X976" s="114" t="s">
        <v>84</v>
      </c>
      <c r="Y976" s="124" t="s">
        <v>85</v>
      </c>
      <c r="Z976" s="88" t="s">
        <v>86</v>
      </c>
      <c r="AA976" s="114" t="s">
        <v>87</v>
      </c>
      <c r="AB976" s="213">
        <v>223.24</v>
      </c>
      <c r="AC976" s="298">
        <f>IF(C976="DENALI", AB976*0.495, IF(C976="SCHNEIDER ELECTRIC", AB976*1.136, IF(C976="WWT", AB976*1.2, AC976)))+AB976</f>
        <v>476.84064000000001</v>
      </c>
      <c r="AD976" s="299">
        <f t="shared" si="45"/>
        <v>253.60064</v>
      </c>
      <c r="AE976" s="213">
        <v>12004.04</v>
      </c>
      <c r="AF976" s="295">
        <f t="shared" si="39"/>
        <v>223.24</v>
      </c>
      <c r="AG976" s="289">
        <f t="shared" si="40"/>
        <v>44.648000000000003</v>
      </c>
      <c r="AH976" s="247">
        <f t="shared" si="41"/>
        <v>0.55810000000000004</v>
      </c>
      <c r="AI976" s="124">
        <v>1172</v>
      </c>
      <c r="AJ976" s="124" t="s">
        <v>2272</v>
      </c>
      <c r="AK976"/>
      <c r="AM976" s="80"/>
    </row>
    <row r="977" spans="1:39" ht="28.5" customHeight="1">
      <c r="A977" s="160" t="s">
        <v>73</v>
      </c>
      <c r="B977" s="170" t="s">
        <v>74</v>
      </c>
      <c r="C977" s="148" t="s">
        <v>36</v>
      </c>
      <c r="D977" s="76" t="s">
        <v>75</v>
      </c>
      <c r="E977" s="76" t="s">
        <v>3355</v>
      </c>
      <c r="F977" s="76" t="s">
        <v>75</v>
      </c>
      <c r="G977" s="76" t="s">
        <v>3356</v>
      </c>
      <c r="H977" s="90">
        <v>46297</v>
      </c>
      <c r="I977" s="82" t="s">
        <v>79</v>
      </c>
      <c r="J977" s="228">
        <v>557743340</v>
      </c>
      <c r="K977" s="90">
        <v>46290</v>
      </c>
      <c r="L977" s="82" t="s">
        <v>81</v>
      </c>
      <c r="M977" s="90">
        <v>46293</v>
      </c>
      <c r="N977" s="131">
        <v>46293</v>
      </c>
      <c r="O977" s="216">
        <f t="shared" si="44"/>
        <v>1</v>
      </c>
      <c r="P977" s="101" t="s">
        <v>81</v>
      </c>
      <c r="Q977" s="114" t="s">
        <v>79</v>
      </c>
      <c r="R977" s="114"/>
      <c r="S977" s="212">
        <v>20</v>
      </c>
      <c r="T977" s="114" t="s">
        <v>3357</v>
      </c>
      <c r="U977" s="212">
        <v>1</v>
      </c>
      <c r="V977" s="212">
        <v>6</v>
      </c>
      <c r="W977" s="212">
        <v>631</v>
      </c>
      <c r="X977" s="114" t="s">
        <v>84</v>
      </c>
      <c r="Y977" s="124" t="s">
        <v>85</v>
      </c>
      <c r="Z977" s="88" t="s">
        <v>86</v>
      </c>
      <c r="AA977" s="114" t="s">
        <v>87</v>
      </c>
      <c r="AB977" s="213">
        <v>182.36</v>
      </c>
      <c r="AC977" s="298">
        <f>IF(C977="DENALI", AB977*0.495, IF(C977="SCHNEIDER ELECTRIC", AB977*1.136, IF(C977="WWT", AB977*1.2, AC977)))+AB977</f>
        <v>389.52096</v>
      </c>
      <c r="AD977" s="299">
        <f t="shared" si="45"/>
        <v>207.16095999999999</v>
      </c>
      <c r="AE977" s="213">
        <v>15042.87</v>
      </c>
      <c r="AF977" s="295">
        <f t="shared" si="39"/>
        <v>182.36</v>
      </c>
      <c r="AG977" s="289">
        <f t="shared" si="40"/>
        <v>30.393333333333334</v>
      </c>
      <c r="AH977" s="247">
        <f t="shared" si="41"/>
        <v>9.1180000000000003</v>
      </c>
      <c r="AI977" s="124">
        <v>1290</v>
      </c>
      <c r="AJ977" s="124" t="s">
        <v>2267</v>
      </c>
      <c r="AK977"/>
      <c r="AM977" s="80"/>
    </row>
    <row r="978" spans="1:39" ht="28.5" customHeight="1">
      <c r="A978" s="160" t="s">
        <v>73</v>
      </c>
      <c r="B978" s="170" t="s">
        <v>74</v>
      </c>
      <c r="C978" s="148" t="s">
        <v>36</v>
      </c>
      <c r="D978" s="76" t="s">
        <v>75</v>
      </c>
      <c r="E978" s="76" t="s">
        <v>3358</v>
      </c>
      <c r="F978" s="76" t="s">
        <v>131</v>
      </c>
      <c r="G978" s="81" t="s">
        <v>3359</v>
      </c>
      <c r="H978" s="90">
        <v>46297</v>
      </c>
      <c r="I978" s="82" t="s">
        <v>79</v>
      </c>
      <c r="J978" s="151">
        <v>557744821</v>
      </c>
      <c r="K978" s="90">
        <v>46290</v>
      </c>
      <c r="L978" s="82" t="s">
        <v>81</v>
      </c>
      <c r="M978" s="90">
        <v>46293</v>
      </c>
      <c r="N978" s="131">
        <v>46293</v>
      </c>
      <c r="O978" s="216">
        <f t="shared" si="44"/>
        <v>1</v>
      </c>
      <c r="P978" s="101" t="s">
        <v>81</v>
      </c>
      <c r="Q978" s="114" t="s">
        <v>79</v>
      </c>
      <c r="R978" s="114"/>
      <c r="S978" s="212">
        <v>374</v>
      </c>
      <c r="T978" s="114" t="s">
        <v>3360</v>
      </c>
      <c r="U978" s="212">
        <v>1</v>
      </c>
      <c r="V978" s="212">
        <v>5</v>
      </c>
      <c r="W978" s="212">
        <v>562</v>
      </c>
      <c r="X978" s="114" t="s">
        <v>84</v>
      </c>
      <c r="Y978" s="124" t="s">
        <v>85</v>
      </c>
      <c r="Z978" s="115" t="s">
        <v>86</v>
      </c>
      <c r="AA978" s="114" t="s">
        <v>87</v>
      </c>
      <c r="AB978" s="213">
        <v>248.61</v>
      </c>
      <c r="AC978" s="298">
        <f>IF(C978="DENALI", AB978*0.495, IF(C978="SCHNEIDER ELECTRIC", AB978*1.136, IF(C978="WWT", AB978*1.2, AC978)))+AB978</f>
        <v>531.03096000000005</v>
      </c>
      <c r="AD978" s="299">
        <f t="shared" si="45"/>
        <v>282.42096000000004</v>
      </c>
      <c r="AE978" s="213">
        <v>15097.65</v>
      </c>
      <c r="AF978" s="295">
        <f t="shared" si="39"/>
        <v>248.61</v>
      </c>
      <c r="AG978" s="289">
        <f t="shared" si="40"/>
        <v>49.722000000000001</v>
      </c>
      <c r="AH978" s="247">
        <f t="shared" si="41"/>
        <v>0.66473262032085567</v>
      </c>
      <c r="AI978" s="124">
        <v>1172</v>
      </c>
      <c r="AJ978" s="124" t="s">
        <v>2272</v>
      </c>
      <c r="AK978"/>
      <c r="AM978" s="80"/>
    </row>
    <row r="979" spans="1:39" ht="28.5" customHeight="1">
      <c r="A979" s="160" t="s">
        <v>73</v>
      </c>
      <c r="B979" s="170" t="s">
        <v>74</v>
      </c>
      <c r="C979" s="148" t="s">
        <v>36</v>
      </c>
      <c r="D979" s="76" t="s">
        <v>75</v>
      </c>
      <c r="E979" s="76" t="s">
        <v>3361</v>
      </c>
      <c r="F979" s="76" t="s">
        <v>365</v>
      </c>
      <c r="G979" s="76" t="s">
        <v>3362</v>
      </c>
      <c r="H979" s="90">
        <v>46297</v>
      </c>
      <c r="I979" s="82" t="s">
        <v>79</v>
      </c>
      <c r="J979" s="313">
        <v>557743944</v>
      </c>
      <c r="K979" s="90">
        <v>46290</v>
      </c>
      <c r="L979" s="82" t="s">
        <v>81</v>
      </c>
      <c r="M979" s="90">
        <v>46293</v>
      </c>
      <c r="N979" s="131">
        <v>46293</v>
      </c>
      <c r="O979" s="216">
        <f t="shared" si="44"/>
        <v>1</v>
      </c>
      <c r="P979" s="101" t="s">
        <v>81</v>
      </c>
      <c r="Q979" s="114" t="s">
        <v>79</v>
      </c>
      <c r="R979" s="114"/>
      <c r="S979" s="316">
        <v>185</v>
      </c>
      <c r="T979" s="114" t="s">
        <v>3363</v>
      </c>
      <c r="U979" s="212">
        <v>1</v>
      </c>
      <c r="V979" s="212">
        <v>5</v>
      </c>
      <c r="W979" s="212">
        <v>562</v>
      </c>
      <c r="X979" s="114" t="s">
        <v>84</v>
      </c>
      <c r="Y979" s="124" t="s">
        <v>85</v>
      </c>
      <c r="Z979" s="115" t="s">
        <v>86</v>
      </c>
      <c r="AA979" s="114" t="s">
        <v>87</v>
      </c>
      <c r="AB979" s="213">
        <v>348.1</v>
      </c>
      <c r="AC979" s="298">
        <f>IF(C979="DENALI", AB979*0.495, IF(C979="SCHNEIDER ELECTRIC", AB979*1.136, IF(C979="WWT", AB979*1.2, AC979)))+AB979</f>
        <v>743.54160000000002</v>
      </c>
      <c r="AD979" s="299">
        <f t="shared" si="45"/>
        <v>395.44159999999999</v>
      </c>
      <c r="AE979" s="213">
        <v>19738.11</v>
      </c>
      <c r="AF979" s="295">
        <f t="shared" si="39"/>
        <v>348.1</v>
      </c>
      <c r="AG979" s="289">
        <f t="shared" si="40"/>
        <v>69.62</v>
      </c>
      <c r="AH979" s="247">
        <f t="shared" si="41"/>
        <v>1.8816216216216217</v>
      </c>
      <c r="AI979" s="124">
        <v>1004</v>
      </c>
      <c r="AJ979" s="124" t="s">
        <v>2413</v>
      </c>
      <c r="AK979"/>
      <c r="AM979" s="80"/>
    </row>
    <row r="980" spans="1:39" ht="28.5" customHeight="1">
      <c r="A980" s="160" t="s">
        <v>73</v>
      </c>
      <c r="B980" s="170" t="s">
        <v>74</v>
      </c>
      <c r="C980" s="148" t="s">
        <v>36</v>
      </c>
      <c r="D980" s="76" t="s">
        <v>75</v>
      </c>
      <c r="E980" s="76" t="s">
        <v>3364</v>
      </c>
      <c r="F980" s="76" t="s">
        <v>396</v>
      </c>
      <c r="G980" s="76" t="s">
        <v>3365</v>
      </c>
      <c r="H980" s="90">
        <v>46297</v>
      </c>
      <c r="I980" s="170" t="s">
        <v>79</v>
      </c>
      <c r="J980" s="151">
        <v>557744040</v>
      </c>
      <c r="K980" s="165">
        <v>46290</v>
      </c>
      <c r="L980" s="82" t="s">
        <v>81</v>
      </c>
      <c r="M980" s="90">
        <v>46294</v>
      </c>
      <c r="N980" s="131">
        <v>46295</v>
      </c>
      <c r="O980" s="216">
        <f t="shared" si="44"/>
        <v>3</v>
      </c>
      <c r="P980" s="101" t="s">
        <v>81</v>
      </c>
      <c r="Q980" s="114" t="s">
        <v>79</v>
      </c>
      <c r="R980" s="114"/>
      <c r="S980" s="212">
        <v>1039</v>
      </c>
      <c r="T980" s="114" t="s">
        <v>3366</v>
      </c>
      <c r="U980" s="212">
        <v>2</v>
      </c>
      <c r="V980" s="212">
        <v>15</v>
      </c>
      <c r="W980" s="212">
        <v>1702</v>
      </c>
      <c r="X980" s="114" t="s">
        <v>84</v>
      </c>
      <c r="Y980" s="124" t="s">
        <v>85</v>
      </c>
      <c r="Z980" s="115" t="s">
        <v>86</v>
      </c>
      <c r="AA980" s="114" t="s">
        <v>87</v>
      </c>
      <c r="AB980" s="213">
        <v>377.16</v>
      </c>
      <c r="AC980" s="298">
        <f>IF(C980="DENALI", AB980*0.495, IF(C980="SCHNEIDER ELECTRIC", AB980*1.136, IF(C980="WWT", AB980*1.2, AC980)))+AB980</f>
        <v>805.61375999999996</v>
      </c>
      <c r="AD980" s="299">
        <f t="shared" si="45"/>
        <v>428.45375999999993</v>
      </c>
      <c r="AE980" s="213">
        <v>35978.29</v>
      </c>
      <c r="AF980" s="295">
        <f t="shared" si="39"/>
        <v>188.58</v>
      </c>
      <c r="AG980" s="289">
        <f t="shared" si="40"/>
        <v>25.144000000000002</v>
      </c>
      <c r="AH980" s="247">
        <f t="shared" si="41"/>
        <v>0.36300288739172282</v>
      </c>
      <c r="AI980" s="124">
        <v>1290</v>
      </c>
      <c r="AJ980" s="124" t="s">
        <v>2267</v>
      </c>
      <c r="AK980"/>
      <c r="AM980" s="80"/>
    </row>
    <row r="981" spans="1:39" ht="28.5" customHeight="1">
      <c r="A981" s="160" t="s">
        <v>73</v>
      </c>
      <c r="B981" s="170" t="s">
        <v>74</v>
      </c>
      <c r="C981" s="148" t="s">
        <v>36</v>
      </c>
      <c r="D981" s="76" t="s">
        <v>75</v>
      </c>
      <c r="E981" s="76" t="s">
        <v>3367</v>
      </c>
      <c r="F981" s="76" t="s">
        <v>365</v>
      </c>
      <c r="G981" s="76" t="s">
        <v>3368</v>
      </c>
      <c r="H981" s="90">
        <v>46297</v>
      </c>
      <c r="I981" s="170" t="s">
        <v>79</v>
      </c>
      <c r="J981" s="228">
        <v>59739015762</v>
      </c>
      <c r="K981" s="165">
        <v>46290</v>
      </c>
      <c r="L981" s="82" t="s">
        <v>81</v>
      </c>
      <c r="M981" s="90">
        <v>46294</v>
      </c>
      <c r="N981" s="131">
        <v>46294</v>
      </c>
      <c r="O981" s="216">
        <f t="shared" si="44"/>
        <v>2</v>
      </c>
      <c r="P981" s="101" t="s">
        <v>81</v>
      </c>
      <c r="Q981" s="114" t="s">
        <v>79</v>
      </c>
      <c r="R981" s="114"/>
      <c r="S981" s="212">
        <v>220</v>
      </c>
      <c r="T981" s="114" t="s">
        <v>3369</v>
      </c>
      <c r="U981" s="212">
        <v>1</v>
      </c>
      <c r="V981" s="212">
        <v>5</v>
      </c>
      <c r="W981" s="212">
        <v>562</v>
      </c>
      <c r="X981" s="114" t="s">
        <v>84</v>
      </c>
      <c r="Y981" s="124" t="s">
        <v>85</v>
      </c>
      <c r="Z981" s="115" t="s">
        <v>3175</v>
      </c>
      <c r="AA981" s="114" t="s">
        <v>87</v>
      </c>
      <c r="AB981" s="213">
        <v>350.81</v>
      </c>
      <c r="AC981" s="298">
        <f>IF(C981="DENALI", AB981*0.495, IF(C981="SCHNEIDER ELECTRIC", AB981*1.136, IF(C981="WWT", AB981*1.2, AC981)))+AB981</f>
        <v>749.33015999999998</v>
      </c>
      <c r="AD981" s="299">
        <f t="shared" si="45"/>
        <v>398.52015999999998</v>
      </c>
      <c r="AE981" s="213">
        <v>12004.01</v>
      </c>
      <c r="AF981" s="295">
        <f t="shared" si="39"/>
        <v>350.81</v>
      </c>
      <c r="AG981" s="289">
        <f t="shared" si="40"/>
        <v>70.162000000000006</v>
      </c>
      <c r="AH981" s="247">
        <f t="shared" si="41"/>
        <v>1.5945909090909092</v>
      </c>
      <c r="AI981" s="124">
        <v>1172</v>
      </c>
      <c r="AJ981" s="124" t="s">
        <v>2272</v>
      </c>
      <c r="AK981"/>
      <c r="AM981" s="80"/>
    </row>
    <row r="982" spans="1:39" ht="28.5" customHeight="1">
      <c r="A982" s="160" t="s">
        <v>73</v>
      </c>
      <c r="B982" s="170" t="s">
        <v>74</v>
      </c>
      <c r="C982" s="148" t="s">
        <v>36</v>
      </c>
      <c r="D982" s="76" t="s">
        <v>75</v>
      </c>
      <c r="E982" s="76" t="s">
        <v>3370</v>
      </c>
      <c r="F982" s="76" t="s">
        <v>77</v>
      </c>
      <c r="G982" s="76" t="s">
        <v>3371</v>
      </c>
      <c r="H982" s="90">
        <v>46297</v>
      </c>
      <c r="I982" s="170" t="s">
        <v>79</v>
      </c>
      <c r="J982" s="162">
        <v>557744434</v>
      </c>
      <c r="K982" s="165">
        <v>46290</v>
      </c>
      <c r="L982" s="82" t="s">
        <v>81</v>
      </c>
      <c r="M982" s="90">
        <v>46293</v>
      </c>
      <c r="N982" s="131">
        <v>46293</v>
      </c>
      <c r="O982" s="216">
        <f t="shared" si="44"/>
        <v>1</v>
      </c>
      <c r="P982" s="101" t="s">
        <v>81</v>
      </c>
      <c r="Q982" s="114" t="s">
        <v>79</v>
      </c>
      <c r="R982" s="114"/>
      <c r="S982" s="212">
        <v>132</v>
      </c>
      <c r="T982" s="114" t="s">
        <v>3372</v>
      </c>
      <c r="U982" s="212">
        <v>6</v>
      </c>
      <c r="V982" s="212">
        <v>36</v>
      </c>
      <c r="W982" s="212">
        <v>5629</v>
      </c>
      <c r="X982" s="114" t="s">
        <v>84</v>
      </c>
      <c r="Y982" s="124" t="s">
        <v>85</v>
      </c>
      <c r="Z982" s="115" t="s">
        <v>86</v>
      </c>
      <c r="AA982" s="114" t="s">
        <v>87</v>
      </c>
      <c r="AB982" s="213">
        <v>597.26</v>
      </c>
      <c r="AC982" s="298">
        <f>IF(C982="DENALI", AB982*0.495, IF(C982="SCHNEIDER ELECTRIC", AB982*1.136, IF(C982="WWT", AB982*1.2, AC982)))+AB982</f>
        <v>1275.7473599999998</v>
      </c>
      <c r="AD982" s="299">
        <f t="shared" si="45"/>
        <v>678.48735999999985</v>
      </c>
      <c r="AE982" s="213">
        <v>145307.51999999999</v>
      </c>
      <c r="AF982" s="295">
        <f t="shared" si="39"/>
        <v>99.543333333333337</v>
      </c>
      <c r="AG982" s="289">
        <f t="shared" si="40"/>
        <v>16.590555555555554</v>
      </c>
      <c r="AH982" s="247">
        <f t="shared" si="41"/>
        <v>4.5246969696969694</v>
      </c>
      <c r="AI982" s="124">
        <v>1173</v>
      </c>
      <c r="AJ982" s="124" t="s">
        <v>2353</v>
      </c>
      <c r="AK982"/>
      <c r="AM982" s="80"/>
    </row>
    <row r="983" spans="1:39" ht="28.5" customHeight="1">
      <c r="A983" s="160" t="s">
        <v>73</v>
      </c>
      <c r="B983" s="170" t="s">
        <v>74</v>
      </c>
      <c r="C983" s="148" t="s">
        <v>36</v>
      </c>
      <c r="D983" s="76" t="s">
        <v>75</v>
      </c>
      <c r="E983" s="76" t="s">
        <v>3373</v>
      </c>
      <c r="F983" s="76" t="s">
        <v>345</v>
      </c>
      <c r="G983" s="76" t="s">
        <v>3374</v>
      </c>
      <c r="H983" s="90">
        <v>46297</v>
      </c>
      <c r="I983" s="170" t="s">
        <v>79</v>
      </c>
      <c r="J983" s="151">
        <v>557744891</v>
      </c>
      <c r="K983" s="165">
        <v>46290</v>
      </c>
      <c r="L983" s="82" t="s">
        <v>81</v>
      </c>
      <c r="M983" s="90">
        <v>46293</v>
      </c>
      <c r="N983" s="131">
        <v>46295</v>
      </c>
      <c r="O983" s="216">
        <f t="shared" si="44"/>
        <v>3</v>
      </c>
      <c r="P983" s="101" t="s">
        <v>81</v>
      </c>
      <c r="Q983" s="114" t="s">
        <v>79</v>
      </c>
      <c r="R983" s="114"/>
      <c r="S983" s="212">
        <v>153</v>
      </c>
      <c r="T983" s="114" t="s">
        <v>3375</v>
      </c>
      <c r="U983" s="212">
        <v>1</v>
      </c>
      <c r="V983" s="212">
        <v>5</v>
      </c>
      <c r="W983" s="212">
        <v>489</v>
      </c>
      <c r="X983" s="114" t="s">
        <v>84</v>
      </c>
      <c r="Y983" s="124" t="s">
        <v>85</v>
      </c>
      <c r="Z983" s="115" t="s">
        <v>86</v>
      </c>
      <c r="AA983" s="114" t="s">
        <v>87</v>
      </c>
      <c r="AB983" s="213">
        <v>187.47</v>
      </c>
      <c r="AC983" s="298">
        <f>IF(C983="DENALI", AB983*0.495, IF(C983="SCHNEIDER ELECTRIC", AB983*1.136, IF(C983="WWT", AB983*1.2, AC983)))+AB983</f>
        <v>400.43592000000001</v>
      </c>
      <c r="AD983" s="299">
        <f t="shared" si="45"/>
        <v>212.96592000000001</v>
      </c>
      <c r="AE983" s="213">
        <v>8218.82</v>
      </c>
      <c r="AF983" s="295">
        <f t="shared" si="39"/>
        <v>187.47</v>
      </c>
      <c r="AG983" s="289">
        <f t="shared" si="40"/>
        <v>37.494</v>
      </c>
      <c r="AH983" s="247">
        <f t="shared" si="41"/>
        <v>1.2252941176470589</v>
      </c>
      <c r="AI983" s="124">
        <v>1172</v>
      </c>
      <c r="AJ983" s="124" t="s">
        <v>2272</v>
      </c>
      <c r="AK983"/>
      <c r="AM983" s="80"/>
    </row>
    <row r="984" spans="1:39" ht="28.5" customHeight="1">
      <c r="A984" s="113" t="s">
        <v>73</v>
      </c>
      <c r="B984" s="167" t="s">
        <v>74</v>
      </c>
      <c r="C984" s="330" t="s">
        <v>36</v>
      </c>
      <c r="D984" s="77" t="s">
        <v>75</v>
      </c>
      <c r="E984" s="77" t="s">
        <v>3376</v>
      </c>
      <c r="F984" s="77" t="s">
        <v>109</v>
      </c>
      <c r="G984" s="77" t="s">
        <v>3377</v>
      </c>
      <c r="H984" s="94">
        <v>46297</v>
      </c>
      <c r="I984" s="230" t="s">
        <v>79</v>
      </c>
      <c r="J984" s="313">
        <v>557745090</v>
      </c>
      <c r="K984" s="166">
        <v>46290</v>
      </c>
      <c r="L984" s="93" t="s">
        <v>81</v>
      </c>
      <c r="M984" s="94">
        <v>46294</v>
      </c>
      <c r="N984" s="132">
        <v>46295</v>
      </c>
      <c r="O984" s="268">
        <f t="shared" si="44"/>
        <v>3</v>
      </c>
      <c r="P984" s="101" t="s">
        <v>81</v>
      </c>
      <c r="Q984" s="114" t="s">
        <v>79</v>
      </c>
      <c r="R984" s="114"/>
      <c r="S984" s="212">
        <v>1018</v>
      </c>
      <c r="T984" s="114" t="s">
        <v>3378</v>
      </c>
      <c r="U984" s="212">
        <v>3</v>
      </c>
      <c r="V984" s="286">
        <v>17</v>
      </c>
      <c r="W984" s="286">
        <v>2665</v>
      </c>
      <c r="X984" s="83" t="s">
        <v>84</v>
      </c>
      <c r="Y984" s="237" t="s">
        <v>85</v>
      </c>
      <c r="Z984" s="169" t="s">
        <v>86</v>
      </c>
      <c r="AA984" s="83" t="s">
        <v>87</v>
      </c>
      <c r="AB984" s="287">
        <v>641.77</v>
      </c>
      <c r="AC984" s="325">
        <f>IF(C984="DENALI", AB984*0.495, IF(C984="SCHNEIDER ELECTRIC", AB984*1.136, IF(C984="WWT", AB984*1.2, AC984)))+AB984</f>
        <v>1370.8207199999999</v>
      </c>
      <c r="AD984" s="326">
        <f t="shared" si="45"/>
        <v>729.05071999999996</v>
      </c>
      <c r="AE984" s="287">
        <v>73083.490000000005</v>
      </c>
      <c r="AF984" s="295">
        <f t="shared" si="39"/>
        <v>213.92333333333332</v>
      </c>
      <c r="AG984" s="289">
        <f t="shared" si="40"/>
        <v>37.751176470588234</v>
      </c>
      <c r="AH984" s="247">
        <f t="shared" si="41"/>
        <v>0.63042239685658152</v>
      </c>
      <c r="AI984" s="237">
        <v>1290</v>
      </c>
      <c r="AJ984" s="237" t="s">
        <v>2267</v>
      </c>
      <c r="AK984"/>
      <c r="AM984" s="80"/>
    </row>
    <row r="985" spans="1:39" ht="28.5" customHeight="1">
      <c r="A985" s="160" t="s">
        <v>73</v>
      </c>
      <c r="B985" s="170" t="s">
        <v>74</v>
      </c>
      <c r="C985" s="148" t="s">
        <v>36</v>
      </c>
      <c r="D985" s="76" t="s">
        <v>75</v>
      </c>
      <c r="E985" s="76" t="s">
        <v>3379</v>
      </c>
      <c r="F985" s="76" t="s">
        <v>228</v>
      </c>
      <c r="G985" s="76" t="s">
        <v>3380</v>
      </c>
      <c r="H985" s="90">
        <v>46297</v>
      </c>
      <c r="I985" s="82" t="s">
        <v>79</v>
      </c>
      <c r="J985" s="151">
        <v>557745602</v>
      </c>
      <c r="K985" s="90">
        <v>46290</v>
      </c>
      <c r="L985" s="170" t="s">
        <v>81</v>
      </c>
      <c r="M985" s="90">
        <v>46294</v>
      </c>
      <c r="N985" s="131">
        <v>46297</v>
      </c>
      <c r="O985" s="216">
        <f>NETWORKDAYS.INTL(K985,N985,1,$AM$2:$AM$10)-1</f>
        <v>5</v>
      </c>
      <c r="P985" s="101" t="s">
        <v>81</v>
      </c>
      <c r="Q985" s="114" t="s">
        <v>79</v>
      </c>
      <c r="R985" s="114"/>
      <c r="S985" s="212">
        <v>691</v>
      </c>
      <c r="T985" s="114" t="s">
        <v>3381</v>
      </c>
      <c r="U985" s="285">
        <v>3</v>
      </c>
      <c r="V985" s="258">
        <v>18</v>
      </c>
      <c r="W985" s="258">
        <v>2737</v>
      </c>
      <c r="X985" s="82" t="s">
        <v>84</v>
      </c>
      <c r="Y985" s="76" t="s">
        <v>85</v>
      </c>
      <c r="Z985" s="175" t="s">
        <v>86</v>
      </c>
      <c r="AA985" s="82" t="s">
        <v>87</v>
      </c>
      <c r="AB985" s="88">
        <v>528.77</v>
      </c>
      <c r="AC985" s="283">
        <f>IF(C985="DENALI", AB985*0.495, IF(C985="SCHNEIDER ELECTRIC", AB985*1.136, IF(C985="WWT", AB985*1.2, AC985)))+AB985</f>
        <v>1129.4527199999998</v>
      </c>
      <c r="AD985" s="284">
        <f t="shared" ref="AD985:AD990" si="46">AC985-AB985</f>
        <v>600.68271999999979</v>
      </c>
      <c r="AE985" s="88">
        <v>69802.67</v>
      </c>
      <c r="AF985" s="295">
        <f t="shared" si="39"/>
        <v>176.25666666666666</v>
      </c>
      <c r="AG985" s="289">
        <f t="shared" si="40"/>
        <v>29.376111111111111</v>
      </c>
      <c r="AH985" s="247">
        <f t="shared" si="41"/>
        <v>0.76522431259044865</v>
      </c>
      <c r="AI985" s="76">
        <v>1017</v>
      </c>
      <c r="AJ985" s="76" t="s">
        <v>2413</v>
      </c>
      <c r="AK985"/>
      <c r="AM985" s="80"/>
    </row>
    <row r="986" spans="1:39" ht="28.5" customHeight="1">
      <c r="A986" s="113" t="s">
        <v>73</v>
      </c>
      <c r="B986" s="114" t="s">
        <v>74</v>
      </c>
      <c r="C986" s="307" t="s">
        <v>36</v>
      </c>
      <c r="D986" s="154" t="s">
        <v>75</v>
      </c>
      <c r="E986" s="154" t="s">
        <v>681</v>
      </c>
      <c r="F986" s="154" t="s">
        <v>370</v>
      </c>
      <c r="G986" s="154" t="s">
        <v>3382</v>
      </c>
      <c r="H986" s="253">
        <v>46297</v>
      </c>
      <c r="I986" s="239" t="s">
        <v>79</v>
      </c>
      <c r="J986" s="317">
        <v>557745204</v>
      </c>
      <c r="K986" s="293">
        <v>46290</v>
      </c>
      <c r="L986" s="174" t="s">
        <v>79</v>
      </c>
      <c r="M986" s="253">
        <v>46294</v>
      </c>
      <c r="N986" s="308">
        <v>46296</v>
      </c>
      <c r="O986" s="275">
        <f t="shared" si="44"/>
        <v>4</v>
      </c>
      <c r="P986" s="114" t="s">
        <v>81</v>
      </c>
      <c r="Q986" s="114" t="s">
        <v>79</v>
      </c>
      <c r="R986" s="114" t="s">
        <v>3383</v>
      </c>
      <c r="S986" s="212">
        <v>788</v>
      </c>
      <c r="T986" s="114" t="s">
        <v>3384</v>
      </c>
      <c r="U986" s="212">
        <v>6</v>
      </c>
      <c r="V986" s="291">
        <v>37</v>
      </c>
      <c r="W986" s="291">
        <v>5779</v>
      </c>
      <c r="X986" s="174" t="s">
        <v>84</v>
      </c>
      <c r="Y986" s="154" t="s">
        <v>85</v>
      </c>
      <c r="Z986" s="176" t="s">
        <v>86</v>
      </c>
      <c r="AA986" s="174" t="s">
        <v>87</v>
      </c>
      <c r="AB986" s="292">
        <v>1057.9100000000001</v>
      </c>
      <c r="AC986" s="298">
        <f>IF(C986="DENALI", AB986*0.495, IF(C986="SCHNEIDER ELECTRIC", AB986*1.136, IF(C986="WWT", AB986*1.2, AC986)))+AB986</f>
        <v>2259.6957600000001</v>
      </c>
      <c r="AD986" s="299">
        <f t="shared" si="46"/>
        <v>1201.78576</v>
      </c>
      <c r="AE986" s="292">
        <v>152330.85</v>
      </c>
      <c r="AF986" s="295">
        <f t="shared" si="39"/>
        <v>176.31833333333336</v>
      </c>
      <c r="AG986" s="289">
        <f t="shared" si="40"/>
        <v>28.592162162162165</v>
      </c>
      <c r="AH986" s="247">
        <f t="shared" si="41"/>
        <v>1.3425253807106601</v>
      </c>
      <c r="AI986" s="154">
        <v>1290</v>
      </c>
      <c r="AJ986" s="154" t="s">
        <v>2267</v>
      </c>
      <c r="AK986"/>
      <c r="AM986" s="80"/>
    </row>
    <row r="987" spans="1:39" ht="28.5" customHeight="1">
      <c r="A987" s="202" t="s">
        <v>73</v>
      </c>
      <c r="B987" s="83" t="s">
        <v>74</v>
      </c>
      <c r="C987" s="202" t="s">
        <v>36</v>
      </c>
      <c r="D987" s="237" t="s">
        <v>75</v>
      </c>
      <c r="E987" s="237" t="s">
        <v>3385</v>
      </c>
      <c r="F987" s="237" t="s">
        <v>265</v>
      </c>
      <c r="G987" s="237" t="s">
        <v>3386</v>
      </c>
      <c r="H987" s="303">
        <v>46297</v>
      </c>
      <c r="I987" s="304" t="s">
        <v>79</v>
      </c>
      <c r="J987" s="162">
        <v>557743863</v>
      </c>
      <c r="K987" s="269">
        <v>46290</v>
      </c>
      <c r="L987" s="83" t="s">
        <v>81</v>
      </c>
      <c r="M987" s="294">
        <v>46293</v>
      </c>
      <c r="N987" s="306">
        <v>46294</v>
      </c>
      <c r="O987" s="268">
        <f t="shared" si="44"/>
        <v>2</v>
      </c>
      <c r="P987" s="114" t="s">
        <v>81</v>
      </c>
      <c r="Q987" s="114" t="s">
        <v>79</v>
      </c>
      <c r="R987" s="114"/>
      <c r="S987" s="212">
        <v>244</v>
      </c>
      <c r="T987" s="114" t="s">
        <v>3387</v>
      </c>
      <c r="U987" s="212">
        <v>1</v>
      </c>
      <c r="V987" s="286">
        <v>5</v>
      </c>
      <c r="W987" s="286">
        <v>562</v>
      </c>
      <c r="X987" s="83" t="s">
        <v>84</v>
      </c>
      <c r="Y987" s="237" t="s">
        <v>85</v>
      </c>
      <c r="Z987" s="169" t="s">
        <v>86</v>
      </c>
      <c r="AA987" s="83" t="s">
        <v>87</v>
      </c>
      <c r="AB987" s="287">
        <v>205.99</v>
      </c>
      <c r="AC987" s="325">
        <f>IF(C987="DENALI", AB987*0.495, IF(C987="SCHNEIDER ELECTRIC", AB987*1.136, IF(C987="WWT", AB987*1.2, AC987)))+AB987</f>
        <v>439.99464</v>
      </c>
      <c r="AD987" s="326">
        <f t="shared" si="46"/>
        <v>234.00463999999999</v>
      </c>
      <c r="AE987" s="287">
        <v>84762.72</v>
      </c>
      <c r="AF987" s="295">
        <f t="shared" si="39"/>
        <v>205.99</v>
      </c>
      <c r="AG987" s="289">
        <f t="shared" si="40"/>
        <v>41.198</v>
      </c>
      <c r="AH987" s="247">
        <f t="shared" si="41"/>
        <v>0.84422131147540991</v>
      </c>
      <c r="AI987" s="237">
        <v>1172</v>
      </c>
      <c r="AJ987" s="237" t="s">
        <v>2272</v>
      </c>
      <c r="AK987"/>
      <c r="AM987" s="80"/>
    </row>
    <row r="988" spans="1:39" ht="28.5" customHeight="1">
      <c r="A988" s="148" t="s">
        <v>73</v>
      </c>
      <c r="B988" s="82" t="s">
        <v>74</v>
      </c>
      <c r="C988" s="148" t="s">
        <v>36</v>
      </c>
      <c r="D988" s="76" t="s">
        <v>75</v>
      </c>
      <c r="E988" s="76" t="s">
        <v>141</v>
      </c>
      <c r="F988" s="339" t="s">
        <v>142</v>
      </c>
      <c r="G988" s="76" t="s">
        <v>3388</v>
      </c>
      <c r="H988" s="90">
        <v>46297</v>
      </c>
      <c r="I988" s="82" t="s">
        <v>79</v>
      </c>
      <c r="J988" s="151">
        <v>557743734</v>
      </c>
      <c r="K988" s="90">
        <v>46290</v>
      </c>
      <c r="L988" s="170" t="s">
        <v>79</v>
      </c>
      <c r="M988" s="90">
        <v>46294</v>
      </c>
      <c r="N988" s="131">
        <v>46300</v>
      </c>
      <c r="O988" s="216">
        <f>NETWORKDAYS.INTL(K988,N988,1,$AM$2:$AM$10)-1</f>
        <v>6</v>
      </c>
      <c r="P988" s="101" t="s">
        <v>81</v>
      </c>
      <c r="Q988" s="114" t="s">
        <v>79</v>
      </c>
      <c r="R988" s="114" t="s">
        <v>3389</v>
      </c>
      <c r="S988" s="212">
        <v>744</v>
      </c>
      <c r="T988" s="114" t="s">
        <v>3390</v>
      </c>
      <c r="U988" s="285">
        <v>2</v>
      </c>
      <c r="V988" s="258">
        <v>11</v>
      </c>
      <c r="W988" s="258">
        <v>947</v>
      </c>
      <c r="X988" s="82" t="s">
        <v>84</v>
      </c>
      <c r="Y988" s="76" t="s">
        <v>85</v>
      </c>
      <c r="Z988" s="175" t="s">
        <v>86</v>
      </c>
      <c r="AA988" s="82" t="s">
        <v>87</v>
      </c>
      <c r="AB988" s="88">
        <v>335.94</v>
      </c>
      <c r="AC988" s="283">
        <f>IF(C988="DENALI", AB988*0.495, IF(C988="SCHNEIDER ELECTRIC", AB988*1.136, IF(C988="WWT", AB988*1.2, AC988)))+AB988</f>
        <v>717.56783999999993</v>
      </c>
      <c r="AD988" s="284">
        <f t="shared" si="46"/>
        <v>381.62783999999994</v>
      </c>
      <c r="AE988" s="88">
        <v>102956.52</v>
      </c>
      <c r="AF988" s="295">
        <f t="shared" si="39"/>
        <v>167.97</v>
      </c>
      <c r="AG988" s="289">
        <f t="shared" si="40"/>
        <v>30.54</v>
      </c>
      <c r="AH988" s="247">
        <f t="shared" si="41"/>
        <v>0.45153225806451613</v>
      </c>
      <c r="AI988" s="76">
        <v>1172</v>
      </c>
      <c r="AJ988" s="76" t="s">
        <v>2272</v>
      </c>
      <c r="AK988"/>
      <c r="AM988" s="80"/>
    </row>
    <row r="989" spans="1:39" ht="28.5" customHeight="1">
      <c r="A989" s="334" t="s">
        <v>73</v>
      </c>
      <c r="B989" s="207" t="s">
        <v>74</v>
      </c>
      <c r="C989" s="331" t="s">
        <v>36</v>
      </c>
      <c r="D989" s="203" t="s">
        <v>75</v>
      </c>
      <c r="E989" s="203" t="s">
        <v>3391</v>
      </c>
      <c r="F989" s="203" t="s">
        <v>75</v>
      </c>
      <c r="G989" s="203" t="s">
        <v>3392</v>
      </c>
      <c r="H989" s="270">
        <v>46297</v>
      </c>
      <c r="I989" s="271" t="s">
        <v>79</v>
      </c>
      <c r="J989" s="229">
        <v>557744946</v>
      </c>
      <c r="K989" s="272">
        <v>46290</v>
      </c>
      <c r="L989" s="207" t="s">
        <v>79</v>
      </c>
      <c r="M989" s="270">
        <v>46293</v>
      </c>
      <c r="N989" s="335">
        <v>46296</v>
      </c>
      <c r="O989" s="336">
        <f t="shared" si="44"/>
        <v>4</v>
      </c>
      <c r="P989" s="114" t="s">
        <v>81</v>
      </c>
      <c r="Q989" s="114" t="s">
        <v>79</v>
      </c>
      <c r="R989" s="114" t="s">
        <v>3389</v>
      </c>
      <c r="S989" s="212">
        <v>207</v>
      </c>
      <c r="T989" s="114" t="s">
        <v>3393</v>
      </c>
      <c r="U989" s="212">
        <v>4</v>
      </c>
      <c r="V989" s="327">
        <v>21</v>
      </c>
      <c r="W989" s="327">
        <v>3304</v>
      </c>
      <c r="X989" s="323" t="s">
        <v>84</v>
      </c>
      <c r="Y989" s="320" t="s">
        <v>85</v>
      </c>
      <c r="Z989" s="328" t="s">
        <v>86</v>
      </c>
      <c r="AA989" s="323" t="s">
        <v>87</v>
      </c>
      <c r="AB989" s="329">
        <v>427.02</v>
      </c>
      <c r="AC989" s="325">
        <f>IF(C989="DENALI", AB989*0.495, IF(C989="SCHNEIDER ELECTRIC", AB989*1.136, IF(C989="WWT", AB989*1.2, AC989)))+AB989</f>
        <v>912.11471999999992</v>
      </c>
      <c r="AD989" s="326">
        <f t="shared" si="46"/>
        <v>485.09471999999994</v>
      </c>
      <c r="AE989" s="329">
        <v>84762.72</v>
      </c>
      <c r="AF989" s="295">
        <f t="shared" si="39"/>
        <v>106.755</v>
      </c>
      <c r="AG989" s="289">
        <f t="shared" si="40"/>
        <v>20.334285714285713</v>
      </c>
      <c r="AH989" s="247">
        <f t="shared" si="41"/>
        <v>2.0628985507246376</v>
      </c>
      <c r="AI989" s="320">
        <v>1290</v>
      </c>
      <c r="AJ989" s="320" t="s">
        <v>2267</v>
      </c>
      <c r="AK989"/>
      <c r="AM989" s="80"/>
    </row>
    <row r="990" spans="1:39" ht="28.5" customHeight="1">
      <c r="A990" s="148" t="s">
        <v>73</v>
      </c>
      <c r="B990" s="82" t="s">
        <v>74</v>
      </c>
      <c r="C990" s="148" t="s">
        <v>36</v>
      </c>
      <c r="D990" s="76" t="s">
        <v>75</v>
      </c>
      <c r="E990" s="76" t="s">
        <v>141</v>
      </c>
      <c r="F990" s="339" t="s">
        <v>142</v>
      </c>
      <c r="G990" s="76" t="s">
        <v>3394</v>
      </c>
      <c r="H990" s="90">
        <v>46297</v>
      </c>
      <c r="I990" s="82" t="s">
        <v>79</v>
      </c>
      <c r="J990" s="151">
        <v>557744530</v>
      </c>
      <c r="K990" s="90">
        <v>46290</v>
      </c>
      <c r="L990" s="170" t="s">
        <v>81</v>
      </c>
      <c r="M990" s="90">
        <v>46294</v>
      </c>
      <c r="N990" s="131">
        <v>46300</v>
      </c>
      <c r="O990" s="216">
        <f>NETWORKDAYS.INTL(K990,N990,1,$AM$2:$AM$10)-1</f>
        <v>6</v>
      </c>
      <c r="P990" s="101" t="s">
        <v>81</v>
      </c>
      <c r="Q990" s="114" t="s">
        <v>79</v>
      </c>
      <c r="R990" s="114"/>
      <c r="S990" s="212">
        <v>728</v>
      </c>
      <c r="T990" s="114" t="s">
        <v>3395</v>
      </c>
      <c r="U990" s="285">
        <v>2</v>
      </c>
      <c r="V990" s="258">
        <v>13</v>
      </c>
      <c r="W990" s="258">
        <v>1090</v>
      </c>
      <c r="X990" s="82" t="s">
        <v>84</v>
      </c>
      <c r="Y990" s="76" t="s">
        <v>85</v>
      </c>
      <c r="Z990" s="175" t="s">
        <v>86</v>
      </c>
      <c r="AA990" s="82" t="s">
        <v>87</v>
      </c>
      <c r="AB990" s="88">
        <v>335.63</v>
      </c>
      <c r="AC990" s="283">
        <f>IF(C990="DENALI", AB990*0.495, IF(C990="SCHNEIDER ELECTRIC", AB990*1.136, IF(C990="WWT", AB990*1.2, AC990)))+AB990</f>
        <v>716.90567999999996</v>
      </c>
      <c r="AD990" s="284">
        <f t="shared" si="46"/>
        <v>381.27567999999997</v>
      </c>
      <c r="AE990" s="88">
        <v>18259.080000000002</v>
      </c>
      <c r="AF990" s="295">
        <f t="shared" si="39"/>
        <v>167.815</v>
      </c>
      <c r="AG990" s="289">
        <f t="shared" si="40"/>
        <v>25.817692307692308</v>
      </c>
      <c r="AH990" s="247">
        <f t="shared" si="41"/>
        <v>0.4610302197802198</v>
      </c>
      <c r="AI990" s="76">
        <v>1084</v>
      </c>
      <c r="AJ990" s="76" t="s">
        <v>379</v>
      </c>
      <c r="AK990"/>
      <c r="AM990" s="80"/>
    </row>
    <row r="991" spans="1:39" ht="28.5" customHeight="1">
      <c r="A991" s="307" t="s">
        <v>73</v>
      </c>
      <c r="B991" s="174" t="s">
        <v>74</v>
      </c>
      <c r="C991" s="307" t="s">
        <v>36</v>
      </c>
      <c r="D991" s="154" t="s">
        <v>75</v>
      </c>
      <c r="E991" s="154" t="s">
        <v>3396</v>
      </c>
      <c r="F991" s="154" t="s">
        <v>365</v>
      </c>
      <c r="G991" s="154" t="s">
        <v>3397</v>
      </c>
      <c r="H991" s="253">
        <v>46297</v>
      </c>
      <c r="I991" s="239" t="s">
        <v>79</v>
      </c>
      <c r="J991" s="317">
        <v>557745171</v>
      </c>
      <c r="K991" s="293">
        <v>46290</v>
      </c>
      <c r="L991" s="174" t="s">
        <v>81</v>
      </c>
      <c r="M991" s="253">
        <v>46293</v>
      </c>
      <c r="N991" s="308">
        <v>46294</v>
      </c>
      <c r="O991" s="275">
        <f t="shared" si="44"/>
        <v>2</v>
      </c>
      <c r="P991" s="114" t="s">
        <v>81</v>
      </c>
      <c r="Q991" s="114" t="s">
        <v>79</v>
      </c>
      <c r="R991" s="114"/>
      <c r="S991" s="212">
        <v>312</v>
      </c>
      <c r="T991" s="114" t="s">
        <v>3398</v>
      </c>
      <c r="U991" s="212">
        <v>2</v>
      </c>
      <c r="V991" s="291">
        <v>82</v>
      </c>
      <c r="W991" s="291">
        <v>2026</v>
      </c>
      <c r="X991" s="174" t="s">
        <v>84</v>
      </c>
      <c r="Y991" s="154" t="s">
        <v>85</v>
      </c>
      <c r="Z991" s="176" t="s">
        <v>86</v>
      </c>
      <c r="AA991" s="174" t="s">
        <v>87</v>
      </c>
      <c r="AB991" s="292">
        <v>327.42</v>
      </c>
      <c r="AC991" s="298">
        <f>IF(C991="DENALI", AB991*0.495, IF(C991="SCHNEIDER ELECTRIC", AB991*1.136, IF(C991="WWT", AB991*1.2, AC991)))+AB991</f>
        <v>699.36912000000007</v>
      </c>
      <c r="AD991" s="299">
        <f t="shared" ref="AD991:AD994" si="47">AC991-AB991</f>
        <v>371.94912000000005</v>
      </c>
      <c r="AE991" s="292">
        <v>53521.65</v>
      </c>
      <c r="AF991" s="295">
        <f t="shared" si="39"/>
        <v>163.71</v>
      </c>
      <c r="AG991" s="289">
        <f t="shared" si="40"/>
        <v>3.9929268292682929</v>
      </c>
      <c r="AH991" s="247">
        <f t="shared" si="41"/>
        <v>1.049423076923077</v>
      </c>
      <c r="AI991" s="154">
        <v>1290</v>
      </c>
      <c r="AJ991" s="154" t="s">
        <v>2267</v>
      </c>
      <c r="AK991"/>
      <c r="AM991" s="80"/>
    </row>
    <row r="992" spans="1:39" ht="28.5" customHeight="1">
      <c r="A992" s="113" t="s">
        <v>73</v>
      </c>
      <c r="B992" s="114" t="s">
        <v>74</v>
      </c>
      <c r="C992" s="113" t="s">
        <v>36</v>
      </c>
      <c r="D992" s="124" t="s">
        <v>75</v>
      </c>
      <c r="E992" s="124" t="s">
        <v>3038</v>
      </c>
      <c r="F992" s="124" t="s">
        <v>370</v>
      </c>
      <c r="G992" s="124" t="s">
        <v>3399</v>
      </c>
      <c r="H992" s="253">
        <v>46297</v>
      </c>
      <c r="I992" s="239" t="s">
        <v>79</v>
      </c>
      <c r="J992" s="151">
        <v>557745366</v>
      </c>
      <c r="K992" s="293">
        <v>46290</v>
      </c>
      <c r="L992" s="114" t="s">
        <v>79</v>
      </c>
      <c r="M992" s="209">
        <v>46294</v>
      </c>
      <c r="N992" s="211">
        <v>46296</v>
      </c>
      <c r="O992" s="216">
        <f t="shared" si="44"/>
        <v>4</v>
      </c>
      <c r="P992" s="114" t="s">
        <v>81</v>
      </c>
      <c r="Q992" s="114" t="s">
        <v>79</v>
      </c>
      <c r="R992" s="114" t="s">
        <v>3389</v>
      </c>
      <c r="S992" s="212">
        <v>768</v>
      </c>
      <c r="T992" s="114" t="s">
        <v>3400</v>
      </c>
      <c r="U992" s="212">
        <v>1</v>
      </c>
      <c r="V992" s="212">
        <v>5</v>
      </c>
      <c r="W992" s="212">
        <v>562</v>
      </c>
      <c r="X992" s="114" t="s">
        <v>84</v>
      </c>
      <c r="Y992" s="124" t="s">
        <v>85</v>
      </c>
      <c r="Z992" s="115" t="s">
        <v>86</v>
      </c>
      <c r="AA992" s="114" t="s">
        <v>87</v>
      </c>
      <c r="AB992" s="213">
        <v>267.45</v>
      </c>
      <c r="AC992" s="298">
        <f>IF(C992="DENALI", AB992*0.495, IF(C992="SCHNEIDER ELECTRIC", AB992*1.136, IF(C992="WWT", AB992*1.2, AC992)))+AB992</f>
        <v>571.27319999999997</v>
      </c>
      <c r="AD992" s="299">
        <f t="shared" si="47"/>
        <v>303.82319999999999</v>
      </c>
      <c r="AE992" s="213">
        <v>11768.62</v>
      </c>
      <c r="AF992" s="295">
        <f t="shared" si="39"/>
        <v>267.45</v>
      </c>
      <c r="AG992" s="289">
        <f t="shared" si="40"/>
        <v>53.489999999999995</v>
      </c>
      <c r="AH992" s="247">
        <f t="shared" si="41"/>
        <v>0.34824218749999997</v>
      </c>
      <c r="AI992" s="124">
        <v>1172</v>
      </c>
      <c r="AJ992" s="124" t="s">
        <v>2272</v>
      </c>
      <c r="AK992"/>
      <c r="AM992" s="80"/>
    </row>
    <row r="993" spans="1:39" ht="28.5" customHeight="1">
      <c r="A993" s="113" t="s">
        <v>73</v>
      </c>
      <c r="B993" s="114" t="s">
        <v>74</v>
      </c>
      <c r="C993" s="113" t="s">
        <v>36</v>
      </c>
      <c r="D993" s="124" t="s">
        <v>75</v>
      </c>
      <c r="E993" s="124" t="s">
        <v>3401</v>
      </c>
      <c r="F993" s="124" t="s">
        <v>365</v>
      </c>
      <c r="G993" s="124" t="s">
        <v>3402</v>
      </c>
      <c r="H993" s="253">
        <v>46297</v>
      </c>
      <c r="I993" s="239" t="s">
        <v>79</v>
      </c>
      <c r="J993" s="228">
        <v>557744692</v>
      </c>
      <c r="K993" s="293">
        <v>46290</v>
      </c>
      <c r="L993" s="114" t="s">
        <v>81</v>
      </c>
      <c r="M993" s="209">
        <v>46293</v>
      </c>
      <c r="N993" s="211">
        <v>46295</v>
      </c>
      <c r="O993" s="216">
        <f t="shared" si="44"/>
        <v>3</v>
      </c>
      <c r="P993" s="114" t="s">
        <v>81</v>
      </c>
      <c r="Q993" s="114" t="s">
        <v>79</v>
      </c>
      <c r="R993" s="114"/>
      <c r="S993" s="212">
        <v>193</v>
      </c>
      <c r="T993" s="114" t="s">
        <v>3403</v>
      </c>
      <c r="U993" s="212">
        <v>2</v>
      </c>
      <c r="V993" s="212">
        <v>9</v>
      </c>
      <c r="W993" s="212">
        <v>888</v>
      </c>
      <c r="X993" s="114" t="s">
        <v>84</v>
      </c>
      <c r="Y993" s="124" t="s">
        <v>85</v>
      </c>
      <c r="Z993" s="115" t="s">
        <v>86</v>
      </c>
      <c r="AA993" s="114" t="s">
        <v>87</v>
      </c>
      <c r="AB993" s="213">
        <v>494.73</v>
      </c>
      <c r="AC993" s="298">
        <f>IF(C993="DENALI", AB993*0.495, IF(C993="SCHNEIDER ELECTRIC", AB993*1.136, IF(C993="WWT", AB993*1.2, AC993)))+AB993</f>
        <v>1056.7432800000001</v>
      </c>
      <c r="AD993" s="299">
        <f t="shared" si="47"/>
        <v>562.01328000000012</v>
      </c>
      <c r="AE993" s="213">
        <v>20026.37</v>
      </c>
      <c r="AF993" s="295">
        <f t="shared" si="39"/>
        <v>247.36500000000001</v>
      </c>
      <c r="AG993" s="289">
        <f t="shared" si="40"/>
        <v>54.97</v>
      </c>
      <c r="AH993" s="247">
        <f t="shared" si="41"/>
        <v>2.5633678756476685</v>
      </c>
      <c r="AI993" s="124">
        <v>1172</v>
      </c>
      <c r="AJ993" s="124" t="s">
        <v>2272</v>
      </c>
      <c r="AK993"/>
      <c r="AM993" s="80"/>
    </row>
    <row r="994" spans="1:39" ht="28.5" customHeight="1">
      <c r="A994" s="202" t="s">
        <v>73</v>
      </c>
      <c r="B994" s="83" t="s">
        <v>74</v>
      </c>
      <c r="C994" s="202" t="s">
        <v>36</v>
      </c>
      <c r="D994" s="237" t="s">
        <v>75</v>
      </c>
      <c r="E994" s="237" t="s">
        <v>3404</v>
      </c>
      <c r="F994" s="237" t="s">
        <v>77</v>
      </c>
      <c r="G994" s="237" t="s">
        <v>3405</v>
      </c>
      <c r="H994" s="303">
        <v>46297</v>
      </c>
      <c r="I994" s="304" t="s">
        <v>79</v>
      </c>
      <c r="J994" s="162">
        <v>557744972</v>
      </c>
      <c r="K994" s="269">
        <v>46290</v>
      </c>
      <c r="L994" s="83" t="s">
        <v>81</v>
      </c>
      <c r="M994" s="294">
        <v>46293</v>
      </c>
      <c r="N994" s="306">
        <v>46294</v>
      </c>
      <c r="O994" s="268">
        <f t="shared" si="44"/>
        <v>2</v>
      </c>
      <c r="P994" s="114" t="s">
        <v>81</v>
      </c>
      <c r="Q994" s="114" t="s">
        <v>79</v>
      </c>
      <c r="R994" s="114"/>
      <c r="S994" s="212">
        <v>175</v>
      </c>
      <c r="T994" s="114" t="s">
        <v>3406</v>
      </c>
      <c r="U994" s="212">
        <v>1</v>
      </c>
      <c r="V994" s="286">
        <v>4</v>
      </c>
      <c r="W994" s="286">
        <v>504</v>
      </c>
      <c r="X994" s="83" t="s">
        <v>84</v>
      </c>
      <c r="Y994" s="237" t="s">
        <v>85</v>
      </c>
      <c r="Z994" s="169" t="s">
        <v>86</v>
      </c>
      <c r="AA994" s="83" t="s">
        <v>87</v>
      </c>
      <c r="AB994" s="287">
        <v>293.19</v>
      </c>
      <c r="AC994" s="325">
        <f>IF(C994="DENALI", AB994*0.495, IF(C994="SCHNEIDER ELECTRIC", AB994*1.136, IF(C994="WWT", AB994*1.2, AC994)))+AB994</f>
        <v>626.25383999999997</v>
      </c>
      <c r="AD994" s="326">
        <f t="shared" si="47"/>
        <v>333.06383999999997</v>
      </c>
      <c r="AE994" s="287">
        <v>10743.37</v>
      </c>
      <c r="AF994" s="295">
        <f t="shared" si="39"/>
        <v>293.19</v>
      </c>
      <c r="AG994" s="289">
        <f t="shared" si="40"/>
        <v>73.297499999999999</v>
      </c>
      <c r="AH994" s="247">
        <f t="shared" si="41"/>
        <v>1.6753714285714285</v>
      </c>
      <c r="AI994" s="237">
        <v>1172</v>
      </c>
      <c r="AJ994" s="237" t="s">
        <v>2272</v>
      </c>
      <c r="AK994"/>
      <c r="AM994" s="80"/>
    </row>
    <row r="995" spans="1:39" ht="28.5" customHeight="1">
      <c r="A995" s="148" t="s">
        <v>73</v>
      </c>
      <c r="B995" s="82" t="s">
        <v>74</v>
      </c>
      <c r="C995" s="148" t="s">
        <v>36</v>
      </c>
      <c r="D995" s="76" t="s">
        <v>75</v>
      </c>
      <c r="E995" s="76" t="s">
        <v>1637</v>
      </c>
      <c r="F995" s="339" t="s">
        <v>345</v>
      </c>
      <c r="G995" s="76" t="s">
        <v>3407</v>
      </c>
      <c r="H995" s="90">
        <v>46297</v>
      </c>
      <c r="I995" s="82" t="s">
        <v>79</v>
      </c>
      <c r="J995" s="151">
        <v>557745370</v>
      </c>
      <c r="K995" s="90">
        <v>46290</v>
      </c>
      <c r="L995" s="170" t="s">
        <v>79</v>
      </c>
      <c r="M995" s="90">
        <v>46293</v>
      </c>
      <c r="N995" s="131">
        <v>46300</v>
      </c>
      <c r="O995" s="216">
        <f>NETWORKDAYS.INTL(K995,N995,1,$AM$2:$AM$10)-1</f>
        <v>6</v>
      </c>
      <c r="P995" s="101" t="s">
        <v>81</v>
      </c>
      <c r="Q995" s="114" t="s">
        <v>79</v>
      </c>
      <c r="R995" s="114" t="s">
        <v>3389</v>
      </c>
      <c r="S995" s="212">
        <v>94.3</v>
      </c>
      <c r="T995" s="114" t="s">
        <v>3408</v>
      </c>
      <c r="U995" s="285">
        <v>4</v>
      </c>
      <c r="V995" s="258">
        <v>24</v>
      </c>
      <c r="W995" s="258">
        <v>3524</v>
      </c>
      <c r="X995" s="82" t="s">
        <v>84</v>
      </c>
      <c r="Y995" s="76" t="s">
        <v>85</v>
      </c>
      <c r="Z995" s="175" t="s">
        <v>86</v>
      </c>
      <c r="AA995" s="82" t="s">
        <v>87</v>
      </c>
      <c r="AB995" s="88">
        <v>393.52</v>
      </c>
      <c r="AC995" s="283">
        <f>IF(C995="DENALI", AB995*0.495, IF(C995="SCHNEIDER ELECTRIC", AB995*1.136, IF(C995="WWT", AB995*1.2, AC995)))+AB995</f>
        <v>840.55871999999999</v>
      </c>
      <c r="AD995" s="284">
        <f>AC995-AB995</f>
        <v>447.03872000000001</v>
      </c>
      <c r="AE995" s="88">
        <v>87620.04</v>
      </c>
      <c r="AF995" s="295">
        <f t="shared" si="39"/>
        <v>98.38</v>
      </c>
      <c r="AG995" s="289">
        <f t="shared" si="40"/>
        <v>16.396666666666665</v>
      </c>
      <c r="AH995" s="247">
        <f t="shared" si="41"/>
        <v>4.173064687168611</v>
      </c>
      <c r="AI995" s="76">
        <v>1173</v>
      </c>
      <c r="AJ995" s="76" t="s">
        <v>2353</v>
      </c>
      <c r="AK995"/>
      <c r="AM995" s="80"/>
    </row>
    <row r="996" spans="1:39" ht="28.5" customHeight="1">
      <c r="A996" s="332" t="s">
        <v>73</v>
      </c>
      <c r="B996" s="323" t="s">
        <v>74</v>
      </c>
      <c r="C996" s="332" t="s">
        <v>36</v>
      </c>
      <c r="D996" s="333" t="s">
        <v>75</v>
      </c>
      <c r="E996" s="204" t="s">
        <v>3409</v>
      </c>
      <c r="F996" s="204" t="s">
        <v>213</v>
      </c>
      <c r="G996" s="204" t="s">
        <v>3410</v>
      </c>
      <c r="H996" s="205">
        <v>46297</v>
      </c>
      <c r="I996" s="207" t="s">
        <v>79</v>
      </c>
      <c r="J996" s="318">
        <v>557743281</v>
      </c>
      <c r="K996" s="270">
        <v>46290</v>
      </c>
      <c r="L996" s="207" t="s">
        <v>79</v>
      </c>
      <c r="M996" s="270">
        <v>46293</v>
      </c>
      <c r="N996" s="335">
        <v>46295</v>
      </c>
      <c r="O996" s="336">
        <f t="shared" si="44"/>
        <v>3</v>
      </c>
      <c r="P996" s="114" t="s">
        <v>81</v>
      </c>
      <c r="Q996" s="114" t="s">
        <v>79</v>
      </c>
      <c r="R996" s="114" t="s">
        <v>3389</v>
      </c>
      <c r="S996" s="212">
        <v>489</v>
      </c>
      <c r="T996" s="114" t="s">
        <v>3411</v>
      </c>
      <c r="U996" s="212">
        <v>2</v>
      </c>
      <c r="V996" s="327">
        <v>11</v>
      </c>
      <c r="W996" s="327">
        <v>1616</v>
      </c>
      <c r="X996" s="323" t="s">
        <v>84</v>
      </c>
      <c r="Y996" s="320" t="s">
        <v>85</v>
      </c>
      <c r="Z996" s="328" t="s">
        <v>86</v>
      </c>
      <c r="AA996" s="323" t="s">
        <v>87</v>
      </c>
      <c r="AB996" s="329">
        <v>410.15</v>
      </c>
      <c r="AC996" s="325">
        <f>IF(C996="DENALI", AB996*0.495, IF(C996="SCHNEIDER ELECTRIC", AB996*1.136, IF(C996="WWT", AB996*1.2, AC996)))+AB996</f>
        <v>876.08039999999983</v>
      </c>
      <c r="AD996" s="326">
        <f>AC996-AB996</f>
        <v>465.93039999999985</v>
      </c>
      <c r="AE996" s="329">
        <v>41439.879999999997</v>
      </c>
      <c r="AF996" s="295">
        <f t="shared" si="39"/>
        <v>205.07499999999999</v>
      </c>
      <c r="AG996" s="289">
        <f t="shared" si="40"/>
        <v>37.286363636363632</v>
      </c>
      <c r="AH996" s="247">
        <f t="shared" si="41"/>
        <v>0.83875255623721878</v>
      </c>
      <c r="AI996" s="320">
        <v>1290</v>
      </c>
      <c r="AJ996" s="320" t="s">
        <v>2267</v>
      </c>
      <c r="AK996"/>
      <c r="AM996" s="80"/>
    </row>
    <row r="997" spans="1:39" ht="28.5" customHeight="1">
      <c r="A997" s="148" t="s">
        <v>73</v>
      </c>
      <c r="B997" s="82" t="s">
        <v>74</v>
      </c>
      <c r="C997" s="148" t="s">
        <v>36</v>
      </c>
      <c r="D997" s="76" t="s">
        <v>75</v>
      </c>
      <c r="E997" s="76" t="s">
        <v>141</v>
      </c>
      <c r="F997" s="339" t="s">
        <v>142</v>
      </c>
      <c r="G997" s="76" t="s">
        <v>3412</v>
      </c>
      <c r="H997" s="90">
        <v>46297</v>
      </c>
      <c r="I997" s="82" t="s">
        <v>79</v>
      </c>
      <c r="J997" s="151">
        <v>557744213</v>
      </c>
      <c r="K997" s="90">
        <v>46290</v>
      </c>
      <c r="L997" s="170" t="s">
        <v>81</v>
      </c>
      <c r="M997" s="90">
        <v>46294</v>
      </c>
      <c r="N997" s="131">
        <v>46300</v>
      </c>
      <c r="O997" s="216">
        <f>NETWORKDAYS.INTL(K997,N997,1,$AM$2:$AM$10)-1</f>
        <v>6</v>
      </c>
      <c r="P997" s="101" t="s">
        <v>81</v>
      </c>
      <c r="Q997" s="114" t="s">
        <v>79</v>
      </c>
      <c r="R997" s="114"/>
      <c r="S997" s="212">
        <v>728</v>
      </c>
      <c r="T997" s="114" t="s">
        <v>3413</v>
      </c>
      <c r="U997" s="285">
        <v>2</v>
      </c>
      <c r="V997" s="258">
        <v>13</v>
      </c>
      <c r="W997" s="258">
        <v>1090</v>
      </c>
      <c r="X997" s="82" t="s">
        <v>84</v>
      </c>
      <c r="Y997" s="76" t="s">
        <v>85</v>
      </c>
      <c r="Z997" s="175" t="s">
        <v>86</v>
      </c>
      <c r="AA997" s="82" t="s">
        <v>87</v>
      </c>
      <c r="AB997" s="88">
        <v>335.63</v>
      </c>
      <c r="AC997" s="283">
        <f>IF(C997="DENALI", AB997*0.495, IF(C997="SCHNEIDER ELECTRIC", AB997*1.136, IF(C997="WWT", AB997*1.2, AC997)))+AB997</f>
        <v>716.90567999999996</v>
      </c>
      <c r="AD997" s="284">
        <f>AC997-AB997</f>
        <v>381.27567999999997</v>
      </c>
      <c r="AE997" s="88">
        <v>18259.080000000002</v>
      </c>
      <c r="AF997" s="295">
        <f t="shared" si="39"/>
        <v>167.815</v>
      </c>
      <c r="AG997" s="289">
        <f t="shared" si="40"/>
        <v>25.817692307692308</v>
      </c>
      <c r="AH997" s="247">
        <f t="shared" si="41"/>
        <v>0.4610302197802198</v>
      </c>
      <c r="AI997" s="76">
        <v>1084</v>
      </c>
      <c r="AJ997" s="76" t="s">
        <v>379</v>
      </c>
      <c r="AK997"/>
      <c r="AM997" s="80"/>
    </row>
    <row r="998" spans="1:39" ht="28.5" customHeight="1">
      <c r="A998" s="307" t="s">
        <v>73</v>
      </c>
      <c r="B998" s="174" t="s">
        <v>74</v>
      </c>
      <c r="C998" s="307" t="s">
        <v>36</v>
      </c>
      <c r="D998" s="267" t="s">
        <v>75</v>
      </c>
      <c r="E998" s="92" t="s">
        <v>3414</v>
      </c>
      <c r="F998" s="92" t="s">
        <v>243</v>
      </c>
      <c r="G998" s="92" t="s">
        <v>3415</v>
      </c>
      <c r="H998" s="225">
        <v>46302</v>
      </c>
      <c r="I998" s="220" t="s">
        <v>79</v>
      </c>
      <c r="J998" s="181">
        <v>557748041</v>
      </c>
      <c r="K998" s="221">
        <v>46293</v>
      </c>
      <c r="L998" s="220" t="s">
        <v>81</v>
      </c>
      <c r="M998" s="221">
        <v>46294</v>
      </c>
      <c r="N998" s="226">
        <v>46296</v>
      </c>
      <c r="O998" s="337">
        <f t="shared" si="44"/>
        <v>3</v>
      </c>
      <c r="P998" s="114" t="s">
        <v>81</v>
      </c>
      <c r="Q998" s="114" t="s">
        <v>79</v>
      </c>
      <c r="R998" s="114"/>
      <c r="S998" s="212">
        <v>229</v>
      </c>
      <c r="T998" s="114" t="s">
        <v>3416</v>
      </c>
      <c r="U998" s="212">
        <v>2</v>
      </c>
      <c r="V998" s="291">
        <v>11</v>
      </c>
      <c r="W998" s="291">
        <v>1727</v>
      </c>
      <c r="X998" s="174" t="s">
        <v>84</v>
      </c>
      <c r="Y998" s="154" t="s">
        <v>85</v>
      </c>
      <c r="Z998" s="176" t="s">
        <v>86</v>
      </c>
      <c r="AA998" s="174" t="s">
        <v>87</v>
      </c>
      <c r="AB998" s="292">
        <v>233.82</v>
      </c>
      <c r="AC998" s="298">
        <f>IF(C998="DENALI", AB998*0.495, IF(C998="SCHNEIDER ELECTRIC", AB998*1.136, IF(C998="WWT", AB998*1.2, AC998)))+AB998</f>
        <v>499.43951999999996</v>
      </c>
      <c r="AD998" s="299">
        <f>AC998-AB998</f>
        <v>265.61951999999997</v>
      </c>
      <c r="AE998" s="292">
        <v>44399.519999999997</v>
      </c>
      <c r="AF998" s="295">
        <f t="shared" si="39"/>
        <v>116.91</v>
      </c>
      <c r="AG998" s="289">
        <f t="shared" si="40"/>
        <v>21.256363636363634</v>
      </c>
      <c r="AH998" s="247">
        <f t="shared" si="41"/>
        <v>1.0210480349344977</v>
      </c>
      <c r="AI998" s="154">
        <v>1290</v>
      </c>
      <c r="AJ998" s="154" t="s">
        <v>2267</v>
      </c>
      <c r="AK998"/>
      <c r="AM998" s="80"/>
    </row>
    <row r="999" spans="1:39" ht="28.5" customHeight="1">
      <c r="A999" s="113" t="s">
        <v>73</v>
      </c>
      <c r="B999" s="114" t="s">
        <v>74</v>
      </c>
      <c r="C999" s="113" t="s">
        <v>36</v>
      </c>
      <c r="D999" s="260" t="s">
        <v>75</v>
      </c>
      <c r="E999" s="76" t="s">
        <v>3417</v>
      </c>
      <c r="F999" s="76" t="s">
        <v>228</v>
      </c>
      <c r="G999" s="76" t="s">
        <v>3418</v>
      </c>
      <c r="H999" s="164">
        <v>46302</v>
      </c>
      <c r="I999" s="82" t="s">
        <v>79</v>
      </c>
      <c r="J999" s="151">
        <v>557752716</v>
      </c>
      <c r="K999" s="90">
        <v>46293</v>
      </c>
      <c r="L999" s="82" t="s">
        <v>81</v>
      </c>
      <c r="M999" s="90">
        <v>46295</v>
      </c>
      <c r="N999" s="131">
        <v>46295</v>
      </c>
      <c r="O999" s="314">
        <f>NETWORKDAYS.INTL(K999,N999,1,$AM$2:$AM$10)-1</f>
        <v>2</v>
      </c>
      <c r="P999" s="114" t="s">
        <v>81</v>
      </c>
      <c r="Q999" s="114" t="s">
        <v>79</v>
      </c>
      <c r="R999" s="114"/>
      <c r="S999" s="212">
        <v>707</v>
      </c>
      <c r="T999" s="114" t="s">
        <v>3419</v>
      </c>
      <c r="U999" s="212">
        <v>1</v>
      </c>
      <c r="V999" s="212">
        <v>26</v>
      </c>
      <c r="W999" s="212">
        <v>4092</v>
      </c>
      <c r="X999" s="114" t="s">
        <v>84</v>
      </c>
      <c r="Y999" s="124" t="s">
        <v>85</v>
      </c>
      <c r="Z999" s="115" t="s">
        <v>86</v>
      </c>
      <c r="AA999" s="114" t="s">
        <v>87</v>
      </c>
      <c r="AB999" s="213">
        <v>996.11</v>
      </c>
      <c r="AC999" s="298">
        <f>IF(C999="DENALI", AB999*0.495, IF(C999="SCHNEIDER ELECTRIC", AB999*1.136, IF(C999="WWT", AB999*1.2, AC999)))+AB999</f>
        <v>2127.6909599999999</v>
      </c>
      <c r="AD999" s="299">
        <f t="shared" ref="AD999:AD1003" si="48">AC999-AB999</f>
        <v>1131.5809599999998</v>
      </c>
      <c r="AE999" s="213">
        <v>107043.3</v>
      </c>
      <c r="AF999" s="295">
        <f t="shared" si="39"/>
        <v>996.11</v>
      </c>
      <c r="AG999" s="289">
        <f t="shared" si="40"/>
        <v>38.31192307692308</v>
      </c>
      <c r="AH999" s="247">
        <f t="shared" si="41"/>
        <v>1.408925035360679</v>
      </c>
      <c r="AI999" s="124">
        <v>1173</v>
      </c>
      <c r="AJ999" s="124" t="s">
        <v>2353</v>
      </c>
      <c r="AK999"/>
      <c r="AM999" s="80"/>
    </row>
    <row r="1000" spans="1:39" ht="28.5" customHeight="1">
      <c r="A1000" s="113" t="s">
        <v>73</v>
      </c>
      <c r="B1000" s="114" t="s">
        <v>74</v>
      </c>
      <c r="C1000" s="113" t="s">
        <v>36</v>
      </c>
      <c r="D1000" s="260" t="s">
        <v>75</v>
      </c>
      <c r="E1000" s="76" t="s">
        <v>217</v>
      </c>
      <c r="F1000" s="76" t="s">
        <v>218</v>
      </c>
      <c r="G1000" s="76" t="s">
        <v>3420</v>
      </c>
      <c r="H1000" s="164">
        <v>46302</v>
      </c>
      <c r="I1000" s="82" t="s">
        <v>79</v>
      </c>
      <c r="J1000" s="151">
        <v>557749570</v>
      </c>
      <c r="K1000" s="90">
        <v>46293</v>
      </c>
      <c r="L1000" s="82" t="s">
        <v>81</v>
      </c>
      <c r="M1000" s="90">
        <v>46295</v>
      </c>
      <c r="N1000" s="131">
        <v>46296</v>
      </c>
      <c r="O1000" s="314">
        <f>NETWORKDAYS.INTL(K1000,N1000,1,$AM$2:$AM$10)-1</f>
        <v>3</v>
      </c>
      <c r="P1000" s="114" t="s">
        <v>81</v>
      </c>
      <c r="Q1000" s="114" t="s">
        <v>79</v>
      </c>
      <c r="R1000" s="114"/>
      <c r="S1000" s="212">
        <v>599</v>
      </c>
      <c r="T1000" s="114" t="s">
        <v>3421</v>
      </c>
      <c r="U1000" s="212">
        <v>1</v>
      </c>
      <c r="V1000" s="212">
        <v>6</v>
      </c>
      <c r="W1000" s="212">
        <v>906</v>
      </c>
      <c r="X1000" s="114" t="s">
        <v>84</v>
      </c>
      <c r="Y1000" s="124" t="s">
        <v>85</v>
      </c>
      <c r="Z1000" s="115" t="s">
        <v>86</v>
      </c>
      <c r="AA1000" s="114" t="s">
        <v>87</v>
      </c>
      <c r="AB1000" s="213">
        <v>217.31</v>
      </c>
      <c r="AC1000" s="298">
        <f>IF(C1000="DENALI", AB1000*0.495, IF(C1000="SCHNEIDER ELECTRIC", AB1000*1.136, IF(C1000="WWT", AB1000*1.2, AC1000)))+AB1000</f>
        <v>464.17415999999997</v>
      </c>
      <c r="AD1000" s="299">
        <f t="shared" si="48"/>
        <v>246.86415999999997</v>
      </c>
      <c r="AE1000" s="213">
        <v>22628.67</v>
      </c>
      <c r="AF1000" s="295">
        <f t="shared" si="39"/>
        <v>217.31</v>
      </c>
      <c r="AG1000" s="289">
        <f t="shared" si="40"/>
        <v>36.218333333333334</v>
      </c>
      <c r="AH1000" s="247">
        <f t="shared" si="41"/>
        <v>0.362787979966611</v>
      </c>
      <c r="AI1000" s="124">
        <v>1085</v>
      </c>
      <c r="AJ1000" s="124" t="s">
        <v>2249</v>
      </c>
      <c r="AK1000"/>
      <c r="AM1000" s="80"/>
    </row>
    <row r="1001" spans="1:39" ht="28.5" customHeight="1">
      <c r="A1001" s="113" t="s">
        <v>73</v>
      </c>
      <c r="B1001" s="114" t="s">
        <v>74</v>
      </c>
      <c r="C1001" s="113" t="s">
        <v>36</v>
      </c>
      <c r="D1001" s="260" t="s">
        <v>75</v>
      </c>
      <c r="E1001" s="76" t="s">
        <v>3170</v>
      </c>
      <c r="F1001" s="76" t="s">
        <v>75</v>
      </c>
      <c r="G1001" s="76">
        <v>24249772</v>
      </c>
      <c r="H1001" s="164">
        <v>46302</v>
      </c>
      <c r="I1001" s="82" t="s">
        <v>79</v>
      </c>
      <c r="J1001" s="151">
        <v>24249772</v>
      </c>
      <c r="K1001" s="90">
        <v>46293</v>
      </c>
      <c r="L1001" s="82" t="s">
        <v>81</v>
      </c>
      <c r="M1001" s="90">
        <v>46295</v>
      </c>
      <c r="N1001" s="131">
        <v>46293</v>
      </c>
      <c r="O1001" s="314">
        <f t="shared" ref="O1001:O1004" si="49">NETWORKDAYS.INTL(K1001,N1001,1,$AM$2:$AM$10)-1</f>
        <v>0</v>
      </c>
      <c r="P1001" s="114" t="s">
        <v>81</v>
      </c>
      <c r="Q1001" s="114" t="s">
        <v>79</v>
      </c>
      <c r="R1001" s="114"/>
      <c r="S1001" s="212">
        <v>51</v>
      </c>
      <c r="T1001" s="114" t="s">
        <v>3422</v>
      </c>
      <c r="U1001" s="212">
        <v>7</v>
      </c>
      <c r="V1001" s="212">
        <v>43</v>
      </c>
      <c r="W1001" s="212">
        <v>6717</v>
      </c>
      <c r="X1001" s="114" t="s">
        <v>113</v>
      </c>
      <c r="Y1001" s="124" t="s">
        <v>85</v>
      </c>
      <c r="Z1001" s="115" t="s">
        <v>3423</v>
      </c>
      <c r="AA1001" s="114" t="s">
        <v>87</v>
      </c>
      <c r="AB1001" s="213">
        <v>1057.94</v>
      </c>
      <c r="AC1001" s="298">
        <f>IF(C1001="DENALI", AB1001*0.495, IF(C1001="SCHNEIDER ELECTRIC", AB1001*1.136, IF(C1001="WWT", AB1001*1.2, AC1001)))+AB1001</f>
        <v>2259.7598399999997</v>
      </c>
      <c r="AD1001" s="299">
        <f t="shared" si="48"/>
        <v>1201.8198399999997</v>
      </c>
      <c r="AE1001" s="213">
        <v>173561.76</v>
      </c>
      <c r="AF1001" s="295">
        <f t="shared" si="39"/>
        <v>151.13428571428571</v>
      </c>
      <c r="AG1001" s="289">
        <f t="shared" si="40"/>
        <v>24.603255813953488</v>
      </c>
      <c r="AH1001" s="247">
        <f t="shared" si="41"/>
        <v>20.743921568627453</v>
      </c>
      <c r="AI1001" s="124">
        <v>1290</v>
      </c>
      <c r="AJ1001" s="124" t="s">
        <v>2267</v>
      </c>
      <c r="AK1001"/>
      <c r="AM1001" s="80"/>
    </row>
    <row r="1002" spans="1:39" ht="28.5" customHeight="1">
      <c r="A1002" s="113" t="s">
        <v>73</v>
      </c>
      <c r="B1002" s="114" t="s">
        <v>74</v>
      </c>
      <c r="C1002" s="113" t="s">
        <v>36</v>
      </c>
      <c r="D1002" s="260" t="s">
        <v>75</v>
      </c>
      <c r="E1002" s="76" t="s">
        <v>3424</v>
      </c>
      <c r="F1002" s="76" t="s">
        <v>375</v>
      </c>
      <c r="G1002" s="76">
        <v>24250526</v>
      </c>
      <c r="H1002" s="164">
        <v>46302</v>
      </c>
      <c r="I1002" s="82" t="s">
        <v>79</v>
      </c>
      <c r="J1002" s="151">
        <v>24250526</v>
      </c>
      <c r="K1002" s="90">
        <v>46293</v>
      </c>
      <c r="L1002" s="82" t="s">
        <v>81</v>
      </c>
      <c r="M1002" s="90">
        <v>46296</v>
      </c>
      <c r="N1002" s="131">
        <v>46295</v>
      </c>
      <c r="O1002" s="314">
        <f t="shared" si="49"/>
        <v>2</v>
      </c>
      <c r="P1002" s="114" t="s">
        <v>81</v>
      </c>
      <c r="Q1002" s="114" t="s">
        <v>79</v>
      </c>
      <c r="R1002" s="114"/>
      <c r="S1002" s="212">
        <v>2781</v>
      </c>
      <c r="T1002" s="114" t="s">
        <v>3425</v>
      </c>
      <c r="U1002" s="212">
        <v>7</v>
      </c>
      <c r="V1002" s="212">
        <v>40</v>
      </c>
      <c r="W1002" s="212">
        <v>6195</v>
      </c>
      <c r="X1002" s="114" t="s">
        <v>113</v>
      </c>
      <c r="Y1002" s="124" t="s">
        <v>85</v>
      </c>
      <c r="Z1002" s="115" t="s">
        <v>3426</v>
      </c>
      <c r="AA1002" s="114" t="s">
        <v>87</v>
      </c>
      <c r="AB1002" s="213">
        <v>3248.62</v>
      </c>
      <c r="AC1002" s="298">
        <f>IF(C1002="DENALI", AB1002*0.495, IF(C1002="SCHNEIDER ELECTRIC", AB1002*1.136, IF(C1002="WWT", AB1002*1.2, AC1002)))+AB1002</f>
        <v>6939.0523199999989</v>
      </c>
      <c r="AD1002" s="299">
        <f t="shared" si="48"/>
        <v>3690.432319999999</v>
      </c>
      <c r="AE1002" s="213">
        <v>161061.54999999999</v>
      </c>
      <c r="AF1002" s="295">
        <f t="shared" si="39"/>
        <v>464.08857142857141</v>
      </c>
      <c r="AG1002" s="289">
        <f t="shared" si="40"/>
        <v>81.215499999999992</v>
      </c>
      <c r="AH1002" s="247">
        <f t="shared" si="41"/>
        <v>1.1681481481481482</v>
      </c>
      <c r="AI1002" s="124">
        <v>1290</v>
      </c>
      <c r="AJ1002" s="124" t="s">
        <v>2267</v>
      </c>
      <c r="AK1002"/>
      <c r="AM1002" s="80"/>
    </row>
    <row r="1003" spans="1:39" ht="28.5" customHeight="1">
      <c r="A1003" s="113" t="s">
        <v>73</v>
      </c>
      <c r="B1003" s="114" t="s">
        <v>74</v>
      </c>
      <c r="C1003" s="113" t="s">
        <v>36</v>
      </c>
      <c r="D1003" s="266" t="s">
        <v>90</v>
      </c>
      <c r="E1003" s="320" t="s">
        <v>3427</v>
      </c>
      <c r="F1003" s="320" t="s">
        <v>3428</v>
      </c>
      <c r="G1003" s="320" t="s">
        <v>3429</v>
      </c>
      <c r="H1003" s="301">
        <v>46302</v>
      </c>
      <c r="I1003" s="93" t="s">
        <v>79</v>
      </c>
      <c r="J1003" s="162">
        <v>557748391</v>
      </c>
      <c r="K1003" s="94">
        <v>46293</v>
      </c>
      <c r="L1003" s="93" t="s">
        <v>81</v>
      </c>
      <c r="M1003" s="94">
        <v>46295</v>
      </c>
      <c r="N1003" s="131">
        <v>46295</v>
      </c>
      <c r="O1003" s="314">
        <f t="shared" si="49"/>
        <v>2</v>
      </c>
      <c r="P1003" s="114" t="s">
        <v>81</v>
      </c>
      <c r="Q1003" s="114" t="s">
        <v>79</v>
      </c>
      <c r="R1003" s="114"/>
      <c r="S1003" s="212">
        <v>1014</v>
      </c>
      <c r="T1003" s="114" t="s">
        <v>3430</v>
      </c>
      <c r="U1003" s="212">
        <v>1</v>
      </c>
      <c r="V1003" s="212">
        <v>2</v>
      </c>
      <c r="W1003" s="212">
        <v>340</v>
      </c>
      <c r="X1003" s="114" t="s">
        <v>84</v>
      </c>
      <c r="Y1003" s="237" t="s">
        <v>85</v>
      </c>
      <c r="Z1003" s="169" t="s">
        <v>86</v>
      </c>
      <c r="AA1003" s="83" t="s">
        <v>87</v>
      </c>
      <c r="AB1003" s="287">
        <v>312.97000000000003</v>
      </c>
      <c r="AC1003" s="325">
        <f>IF(C1003="DENALI", AB1003*0.495, IF(C1003="SCHNEIDER ELECTRIC", AB1003*1.136, IF(C1003="WWT", AB1003*1.2, AC1003)))+AB1003</f>
        <v>668.50392000000011</v>
      </c>
      <c r="AD1003" s="326">
        <f t="shared" si="48"/>
        <v>355.53392000000008</v>
      </c>
      <c r="AE1003" s="287">
        <v>8234.1</v>
      </c>
      <c r="AF1003" s="295">
        <f t="shared" si="39"/>
        <v>312.97000000000003</v>
      </c>
      <c r="AG1003" s="289">
        <f t="shared" si="40"/>
        <v>156.48500000000001</v>
      </c>
      <c r="AH1003" s="247">
        <f t="shared" si="41"/>
        <v>0.30864891518737675</v>
      </c>
      <c r="AI1003" s="237">
        <v>1290</v>
      </c>
      <c r="AJ1003" s="124" t="s">
        <v>2267</v>
      </c>
      <c r="AK1003"/>
      <c r="AM1003" s="80"/>
    </row>
    <row r="1004" spans="1:39" ht="28.5" customHeight="1">
      <c r="A1004" s="113" t="s">
        <v>73</v>
      </c>
      <c r="B1004" s="167" t="s">
        <v>74</v>
      </c>
      <c r="C1004" s="319" t="s">
        <v>35</v>
      </c>
      <c r="D1004" s="76" t="s">
        <v>218</v>
      </c>
      <c r="E1004" s="76" t="s">
        <v>1284</v>
      </c>
      <c r="F1004" s="76" t="s">
        <v>207</v>
      </c>
      <c r="G1004" s="76" t="s">
        <v>3431</v>
      </c>
      <c r="H1004" s="90">
        <v>46303</v>
      </c>
      <c r="I1004" s="82" t="s">
        <v>79</v>
      </c>
      <c r="J1004" s="151">
        <v>5057002852</v>
      </c>
      <c r="K1004" s="90">
        <v>46294</v>
      </c>
      <c r="L1004" s="82" t="s">
        <v>79</v>
      </c>
      <c r="M1004" s="90">
        <v>46295</v>
      </c>
      <c r="N1004" s="263">
        <v>46307</v>
      </c>
      <c r="O1004" s="314">
        <f t="shared" si="49"/>
        <v>9</v>
      </c>
      <c r="P1004" s="114" t="s">
        <v>81</v>
      </c>
      <c r="Q1004" s="114" t="s">
        <v>81</v>
      </c>
      <c r="R1004" s="114" t="s">
        <v>3432</v>
      </c>
      <c r="S1004" s="212">
        <v>209</v>
      </c>
      <c r="T1004" s="114" t="s">
        <v>3433</v>
      </c>
      <c r="U1004" s="212">
        <v>1</v>
      </c>
      <c r="V1004" s="212">
        <v>150</v>
      </c>
      <c r="W1004" s="212">
        <v>375</v>
      </c>
      <c r="X1004" s="167" t="s">
        <v>84</v>
      </c>
      <c r="Y1004" s="76" t="s">
        <v>85</v>
      </c>
      <c r="Z1004" s="175" t="s">
        <v>3031</v>
      </c>
      <c r="AA1004" s="82" t="s">
        <v>87</v>
      </c>
      <c r="AB1004" s="88">
        <v>186.52</v>
      </c>
      <c r="AC1004" s="283">
        <f>IF(C1004="DENALI", AB1004*0.495, IF(C1004="SCHNEIDER ELECTRIC", AB1004*1.136, IF(C1004="WWT", AB1004*1.2, AC1004)))+AB1004</f>
        <v>278.84739999999999</v>
      </c>
      <c r="AD1004" s="284">
        <f>AC1004-AB1004</f>
        <v>92.327399999999983</v>
      </c>
      <c r="AE1004" s="88">
        <v>14497.5</v>
      </c>
      <c r="AF1004" s="295">
        <f t="shared" si="39"/>
        <v>186.52</v>
      </c>
      <c r="AG1004" s="289">
        <f t="shared" si="40"/>
        <v>1.2434666666666667</v>
      </c>
      <c r="AH1004" s="247">
        <f t="shared" si="41"/>
        <v>0.89244019138755981</v>
      </c>
      <c r="AI1004" s="76">
        <v>1290</v>
      </c>
      <c r="AJ1004" s="350" t="s">
        <v>349</v>
      </c>
      <c r="AK1004"/>
      <c r="AM1004" s="80"/>
    </row>
    <row r="1005" spans="1:39" ht="28.5" customHeight="1">
      <c r="A1005" s="113" t="s">
        <v>73</v>
      </c>
      <c r="B1005" s="167" t="s">
        <v>74</v>
      </c>
      <c r="C1005" s="319" t="s">
        <v>35</v>
      </c>
      <c r="D1005" s="76" t="s">
        <v>955</v>
      </c>
      <c r="E1005" s="77" t="s">
        <v>1162</v>
      </c>
      <c r="F1005" s="77" t="s">
        <v>218</v>
      </c>
      <c r="G1005" s="77" t="s">
        <v>3434</v>
      </c>
      <c r="H1005" s="94">
        <v>46303</v>
      </c>
      <c r="I1005" s="93" t="s">
        <v>79</v>
      </c>
      <c r="J1005" s="162">
        <v>34914310</v>
      </c>
      <c r="K1005" s="94">
        <v>46294</v>
      </c>
      <c r="L1005" s="93" t="s">
        <v>81</v>
      </c>
      <c r="M1005" s="94">
        <v>46295</v>
      </c>
      <c r="N1005" s="161">
        <v>46295</v>
      </c>
      <c r="O1005" s="321">
        <f>NETWORKDAYS.INTL(K1005,N1005,1,$AM$2:$AM$10)-1</f>
        <v>1</v>
      </c>
      <c r="P1005" s="83" t="s">
        <v>81</v>
      </c>
      <c r="Q1005" s="114" t="s">
        <v>79</v>
      </c>
      <c r="R1005" s="114"/>
      <c r="S1005" s="212">
        <v>140</v>
      </c>
      <c r="T1005" s="114" t="s">
        <v>3435</v>
      </c>
      <c r="U1005" s="212">
        <v>2</v>
      </c>
      <c r="V1005" s="212">
        <v>50000</v>
      </c>
      <c r="W1005" s="212">
        <v>915</v>
      </c>
      <c r="X1005" s="114" t="s">
        <v>84</v>
      </c>
      <c r="Y1005" s="154" t="s">
        <v>85</v>
      </c>
      <c r="Z1005" s="176" t="s">
        <v>2723</v>
      </c>
      <c r="AA1005" s="174" t="s">
        <v>87</v>
      </c>
      <c r="AB1005" s="292">
        <v>176.15</v>
      </c>
      <c r="AC1005" s="298">
        <f>IF(C1005="DENALI", AB1005*0.495, IF(C1005="SCHNEIDER ELECTRIC", AB1005*1.136, IF(C1005="WWT", AB1005*1.2, AC1005)))+AB1005</f>
        <v>263.34424999999999</v>
      </c>
      <c r="AD1005" s="299">
        <f>AC1005-AB1005</f>
        <v>87.194249999999982</v>
      </c>
      <c r="AE1005" s="292">
        <v>14497.5</v>
      </c>
      <c r="AF1005" s="295">
        <f t="shared" si="39"/>
        <v>88.075000000000003</v>
      </c>
      <c r="AG1005" s="289">
        <f t="shared" si="40"/>
        <v>3.5230000000000001E-3</v>
      </c>
      <c r="AH1005" s="247">
        <f t="shared" si="41"/>
        <v>1.2582142857142857</v>
      </c>
      <c r="AI1005" s="154">
        <v>1290</v>
      </c>
      <c r="AJ1005" s="124" t="s">
        <v>349</v>
      </c>
      <c r="AK1005"/>
      <c r="AM1005" s="80"/>
    </row>
    <row r="1006" spans="1:39" ht="28.5" customHeight="1">
      <c r="A1006" s="113" t="s">
        <v>73</v>
      </c>
      <c r="B1006" s="167" t="s">
        <v>74</v>
      </c>
      <c r="C1006" s="324" t="s">
        <v>35</v>
      </c>
      <c r="D1006" s="98" t="s">
        <v>218</v>
      </c>
      <c r="E1006" s="77" t="s">
        <v>259</v>
      </c>
      <c r="F1006" s="77" t="s">
        <v>207</v>
      </c>
      <c r="G1006" s="77" t="s">
        <v>3436</v>
      </c>
      <c r="H1006" s="94">
        <v>46303</v>
      </c>
      <c r="I1006" s="93" t="s">
        <v>79</v>
      </c>
      <c r="J1006" s="162">
        <v>5057002874</v>
      </c>
      <c r="K1006" s="94">
        <v>46294</v>
      </c>
      <c r="L1006" s="93" t="s">
        <v>81</v>
      </c>
      <c r="M1006" s="94">
        <v>46295</v>
      </c>
      <c r="N1006" s="132">
        <v>46295</v>
      </c>
      <c r="O1006" s="268">
        <f>NETWORKDAYS.INTL(K1006,N1006,1,$AM$2:$AM$10)-1</f>
        <v>1</v>
      </c>
      <c r="P1006" s="82" t="s">
        <v>81</v>
      </c>
      <c r="Q1006" s="101" t="s">
        <v>79</v>
      </c>
      <c r="R1006" s="114"/>
      <c r="S1006" s="212">
        <v>122</v>
      </c>
      <c r="T1006" s="114" t="s">
        <v>3437</v>
      </c>
      <c r="U1006" s="212">
        <v>1</v>
      </c>
      <c r="V1006" s="286">
        <v>30000</v>
      </c>
      <c r="W1006" s="286">
        <v>610</v>
      </c>
      <c r="X1006" s="83" t="s">
        <v>84</v>
      </c>
      <c r="Y1006" s="237" t="s">
        <v>85</v>
      </c>
      <c r="Z1006" s="169" t="s">
        <v>3031</v>
      </c>
      <c r="AA1006" s="83" t="s">
        <v>87</v>
      </c>
      <c r="AB1006" s="287">
        <v>186.52</v>
      </c>
      <c r="AC1006" s="325">
        <f>IF(C1006="DENALI", AB1006*0.495, IF(C1006="SCHNEIDER ELECTRIC", AB1006*1.136, IF(C1006="WWT", AB1006*1.2, AC1006)))+AB1006</f>
        <v>278.84739999999999</v>
      </c>
      <c r="AD1006" s="326">
        <f>AC1006-AB1006</f>
        <v>92.327399999999983</v>
      </c>
      <c r="AE1006" s="287">
        <v>7561.26</v>
      </c>
      <c r="AF1006" s="295">
        <f t="shared" si="39"/>
        <v>186.52</v>
      </c>
      <c r="AG1006" s="289">
        <f t="shared" si="40"/>
        <v>6.2173333333333334E-3</v>
      </c>
      <c r="AH1006" s="247">
        <f t="shared" si="41"/>
        <v>1.5288524590163934</v>
      </c>
      <c r="AI1006" s="237">
        <v>1290</v>
      </c>
      <c r="AJ1006" s="237" t="s">
        <v>349</v>
      </c>
      <c r="AK1006"/>
      <c r="AM1006" s="80"/>
    </row>
    <row r="1007" spans="1:39" ht="28.5" customHeight="1">
      <c r="A1007" s="113" t="s">
        <v>73</v>
      </c>
      <c r="B1007" s="167" t="s">
        <v>74</v>
      </c>
      <c r="C1007" s="148" t="s">
        <v>35</v>
      </c>
      <c r="D1007" s="76" t="s">
        <v>99</v>
      </c>
      <c r="E1007" s="76" t="s">
        <v>1358</v>
      </c>
      <c r="F1007" s="76" t="s">
        <v>213</v>
      </c>
      <c r="G1007" s="76" t="s">
        <v>3438</v>
      </c>
      <c r="H1007" s="90">
        <v>46303</v>
      </c>
      <c r="I1007" s="82" t="s">
        <v>79</v>
      </c>
      <c r="J1007" s="151">
        <v>557752451</v>
      </c>
      <c r="K1007" s="90">
        <v>46294</v>
      </c>
      <c r="L1007" s="170" t="s">
        <v>81</v>
      </c>
      <c r="M1007" s="90">
        <v>46301</v>
      </c>
      <c r="N1007" s="131">
        <v>46302</v>
      </c>
      <c r="O1007" s="216">
        <f>NETWORKDAYS.INTL(K1007,N1007,1,$AM$2:$AM$10)-1</f>
        <v>6</v>
      </c>
      <c r="P1007" s="259" t="s">
        <v>81</v>
      </c>
      <c r="Q1007" s="101" t="s">
        <v>79</v>
      </c>
      <c r="R1007" s="114"/>
      <c r="S1007" s="212">
        <v>2825</v>
      </c>
      <c r="T1007" s="114" t="s">
        <v>3439</v>
      </c>
      <c r="U1007" s="285">
        <v>2</v>
      </c>
      <c r="V1007" s="258">
        <v>72</v>
      </c>
      <c r="W1007" s="258">
        <v>1160</v>
      </c>
      <c r="X1007" s="82" t="s">
        <v>84</v>
      </c>
      <c r="Y1007" s="76" t="s">
        <v>85</v>
      </c>
      <c r="Z1007" s="175" t="s">
        <v>86</v>
      </c>
      <c r="AA1007" s="82" t="s">
        <v>87</v>
      </c>
      <c r="AB1007" s="88">
        <v>1036.01</v>
      </c>
      <c r="AC1007" s="283">
        <f>IF(C1007="DENALI", AB1007*0.495, IF(C1007="SCHNEIDER ELECTRIC", AB1007*1.136, IF(C1007="WWT", AB1007*1.2, AC1007)))+AB1007</f>
        <v>1548.8349499999999</v>
      </c>
      <c r="AD1007" s="284">
        <f>AC1007-AB1007</f>
        <v>512.82494999999994</v>
      </c>
      <c r="AE1007" s="88">
        <v>96099.12</v>
      </c>
      <c r="AF1007" s="295">
        <f t="shared" si="39"/>
        <v>518.005</v>
      </c>
      <c r="AG1007" s="289">
        <f t="shared" si="40"/>
        <v>14.389027777777777</v>
      </c>
      <c r="AH1007" s="247">
        <f t="shared" si="41"/>
        <v>0.36672920353982302</v>
      </c>
      <c r="AI1007" s="82">
        <v>1060</v>
      </c>
      <c r="AJ1007" s="76" t="s">
        <v>343</v>
      </c>
      <c r="AK1007"/>
      <c r="AM1007" s="80"/>
    </row>
    <row r="1008" spans="1:39" ht="71.25" customHeight="1">
      <c r="A1008" s="113" t="s">
        <v>73</v>
      </c>
      <c r="B1008" s="114" t="s">
        <v>74</v>
      </c>
      <c r="C1008" s="334" t="s">
        <v>36</v>
      </c>
      <c r="D1008" s="204" t="s">
        <v>75</v>
      </c>
      <c r="E1008" s="203" t="s">
        <v>141</v>
      </c>
      <c r="F1008" s="203" t="s">
        <v>142</v>
      </c>
      <c r="G1008" s="203">
        <v>24263091</v>
      </c>
      <c r="H1008" s="270">
        <v>46303</v>
      </c>
      <c r="I1008" s="207" t="s">
        <v>79</v>
      </c>
      <c r="J1008" s="229">
        <v>24263091</v>
      </c>
      <c r="K1008" s="270">
        <v>46294</v>
      </c>
      <c r="L1008" s="207" t="s">
        <v>81</v>
      </c>
      <c r="M1008" s="270">
        <v>46295</v>
      </c>
      <c r="N1008" s="335">
        <v>46296</v>
      </c>
      <c r="O1008" s="274">
        <f>NETWORKDAYS.INTL(K1008,N1008,1,$AM$2:$AM$10)-1</f>
        <v>2</v>
      </c>
      <c r="P1008" s="93" t="s">
        <v>81</v>
      </c>
      <c r="Q1008" s="101" t="s">
        <v>79</v>
      </c>
      <c r="R1008" s="114"/>
      <c r="S1008" s="212">
        <v>723</v>
      </c>
      <c r="T1008" s="114" t="s">
        <v>3440</v>
      </c>
      <c r="U1008" s="212">
        <v>9</v>
      </c>
      <c r="V1008" s="327">
        <v>256</v>
      </c>
      <c r="W1008" s="327">
        <v>5613</v>
      </c>
      <c r="X1008" s="323" t="s">
        <v>113</v>
      </c>
      <c r="Y1008" s="320" t="s">
        <v>85</v>
      </c>
      <c r="Z1008" s="328" t="s">
        <v>739</v>
      </c>
      <c r="AA1008" s="323" t="s">
        <v>87</v>
      </c>
      <c r="AB1008" s="329">
        <v>2526.38</v>
      </c>
      <c r="AC1008" s="325">
        <f>IF(C1008="DENALI", AB1008*0.495, IF(C1008="SCHNEIDER ELECTRIC", AB1008*1.136, IF(C1008="WWT", AB1008*1.2, AC1008)))+AB1008</f>
        <v>5396.3476799999999</v>
      </c>
      <c r="AD1008" s="326">
        <f>AC1008-AB1008</f>
        <v>2869.9676799999997</v>
      </c>
      <c r="AE1008" s="329">
        <v>67686.45</v>
      </c>
      <c r="AF1008" s="295">
        <f t="shared" si="39"/>
        <v>280.70888888888891</v>
      </c>
      <c r="AG1008" s="289">
        <f t="shared" si="40"/>
        <v>9.8686718750000004</v>
      </c>
      <c r="AH1008" s="247">
        <f t="shared" si="41"/>
        <v>3.4943015214384512</v>
      </c>
      <c r="AI1008" s="320">
        <v>1173</v>
      </c>
      <c r="AJ1008" s="320" t="s">
        <v>2353</v>
      </c>
      <c r="AK1008"/>
      <c r="AM1008" s="80"/>
    </row>
    <row r="1009" spans="1:39" ht="28.5" customHeight="1">
      <c r="A1009" s="113" t="s">
        <v>73</v>
      </c>
      <c r="B1009" s="167" t="s">
        <v>74</v>
      </c>
      <c r="C1009" s="330" t="s">
        <v>35</v>
      </c>
      <c r="D1009" s="77" t="s">
        <v>955</v>
      </c>
      <c r="E1009" s="77" t="s">
        <v>242</v>
      </c>
      <c r="F1009" s="77" t="s">
        <v>243</v>
      </c>
      <c r="G1009" s="77" t="s">
        <v>3441</v>
      </c>
      <c r="H1009" s="94">
        <v>46303</v>
      </c>
      <c r="I1009" s="93" t="s">
        <v>79</v>
      </c>
      <c r="J1009" s="162">
        <v>557750303</v>
      </c>
      <c r="K1009" s="94">
        <v>46295</v>
      </c>
      <c r="L1009" s="230" t="s">
        <v>81</v>
      </c>
      <c r="M1009" s="94">
        <v>46297</v>
      </c>
      <c r="N1009" s="132">
        <v>46300</v>
      </c>
      <c r="O1009" s="347">
        <f>NETWORKDAYS.INTL(K1009,N1009,1,$AM$2:$AM$10)-1</f>
        <v>3</v>
      </c>
      <c r="P1009" s="82" t="s">
        <v>81</v>
      </c>
      <c r="Q1009" s="177" t="s">
        <v>79</v>
      </c>
      <c r="R1009" s="114"/>
      <c r="S1009" s="212">
        <v>626.79999999999995</v>
      </c>
      <c r="T1009" s="114" t="s">
        <v>1397</v>
      </c>
      <c r="U1009" s="285">
        <v>1</v>
      </c>
      <c r="V1009" s="258">
        <v>648</v>
      </c>
      <c r="W1009" s="258">
        <v>410</v>
      </c>
      <c r="X1009" s="82" t="s">
        <v>84</v>
      </c>
      <c r="Y1009" s="76" t="s">
        <v>85</v>
      </c>
      <c r="Z1009" s="208" t="s">
        <v>86</v>
      </c>
      <c r="AA1009" s="93" t="s">
        <v>87</v>
      </c>
      <c r="AB1009" s="178">
        <v>320.3</v>
      </c>
      <c r="AC1009" s="296">
        <f>IF(C1009="DENALI", AB1009*0.495, IF(C1009="SCHNEIDER ELECTRIC", AB1009*1.136, IF(C1009="WWT", AB1009*1.2, AC1009)))+AB1009</f>
        <v>478.8485</v>
      </c>
      <c r="AD1009" s="297">
        <f>AC1009-AB1009</f>
        <v>158.54849999999999</v>
      </c>
      <c r="AE1009" s="178">
        <v>121370.4</v>
      </c>
      <c r="AF1009" s="295">
        <f t="shared" si="39"/>
        <v>320.3</v>
      </c>
      <c r="AG1009" s="289">
        <f t="shared" si="40"/>
        <v>0.49429012345679013</v>
      </c>
      <c r="AH1009" s="247">
        <f t="shared" si="41"/>
        <v>0.51100829610721132</v>
      </c>
      <c r="AI1009" s="77">
        <v>1290</v>
      </c>
      <c r="AJ1009" s="76" t="s">
        <v>349</v>
      </c>
      <c r="AK1009"/>
      <c r="AM1009" s="80"/>
    </row>
    <row r="1010" spans="1:39" ht="28.5" customHeight="1">
      <c r="A1010" s="113" t="s">
        <v>73</v>
      </c>
      <c r="B1010" s="167" t="s">
        <v>74</v>
      </c>
      <c r="C1010" s="148" t="s">
        <v>35</v>
      </c>
      <c r="D1010" s="76" t="s">
        <v>99</v>
      </c>
      <c r="E1010" s="76" t="s">
        <v>3442</v>
      </c>
      <c r="F1010" s="76" t="s">
        <v>396</v>
      </c>
      <c r="G1010" s="76" t="s">
        <v>3443</v>
      </c>
      <c r="H1010" s="90">
        <v>46303</v>
      </c>
      <c r="I1010" s="82" t="s">
        <v>79</v>
      </c>
      <c r="J1010" s="228">
        <v>557751165</v>
      </c>
      <c r="K1010" s="90">
        <v>46294</v>
      </c>
      <c r="L1010" s="82" t="s">
        <v>81</v>
      </c>
      <c r="M1010" s="90">
        <v>46300</v>
      </c>
      <c r="N1010" s="131">
        <v>46303</v>
      </c>
      <c r="O1010" s="216">
        <f>NETWORKDAYS.INTL(K1010,N1010,1,$AM$2:$AM$10)-1</f>
        <v>7</v>
      </c>
      <c r="P1010" s="220" t="s">
        <v>81</v>
      </c>
      <c r="Q1010" s="82" t="s">
        <v>79</v>
      </c>
      <c r="R1010" s="101" t="s">
        <v>3444</v>
      </c>
      <c r="S1010" s="212">
        <v>1861</v>
      </c>
      <c r="T1010" s="114" t="s">
        <v>3445</v>
      </c>
      <c r="U1010" s="285">
        <v>1</v>
      </c>
      <c r="V1010" s="258">
        <v>5</v>
      </c>
      <c r="W1010" s="258">
        <v>850</v>
      </c>
      <c r="X1010" s="82" t="s">
        <v>84</v>
      </c>
      <c r="Y1010" s="96" t="s">
        <v>85</v>
      </c>
      <c r="Z1010" s="175" t="s">
        <v>86</v>
      </c>
      <c r="AA1010" s="82" t="s">
        <v>87</v>
      </c>
      <c r="AB1010" s="88">
        <v>397.28</v>
      </c>
      <c r="AC1010" s="283">
        <f>IF(C1010="DENALI", AB1010*0.495, IF(C1010="SCHNEIDER ELECTRIC", AB1010*1.136, IF(C1010="WWT", AB1010*1.2, AC1010)))+AB1010</f>
        <v>593.93359999999996</v>
      </c>
      <c r="AD1010" s="284">
        <f>AC1010-AB1010</f>
        <v>196.65359999999998</v>
      </c>
      <c r="AE1010" s="88">
        <v>20484.3</v>
      </c>
      <c r="AF1010" s="295">
        <f t="shared" si="39"/>
        <v>397.28</v>
      </c>
      <c r="AG1010" s="289">
        <f t="shared" si="40"/>
        <v>79.455999999999989</v>
      </c>
      <c r="AH1010" s="247">
        <f t="shared" si="41"/>
        <v>0.21347662547017732</v>
      </c>
      <c r="AI1010" s="76">
        <v>1290</v>
      </c>
      <c r="AJ1010" s="338" t="s">
        <v>349</v>
      </c>
      <c r="AK1010"/>
      <c r="AM1010" s="80"/>
    </row>
    <row r="1011" spans="1:39" ht="28.5" customHeight="1">
      <c r="A1011" s="113" t="s">
        <v>73</v>
      </c>
      <c r="B1011" s="167" t="s">
        <v>74</v>
      </c>
      <c r="C1011" s="148" t="s">
        <v>35</v>
      </c>
      <c r="D1011" s="76" t="s">
        <v>99</v>
      </c>
      <c r="E1011" s="76" t="s">
        <v>3446</v>
      </c>
      <c r="F1011" s="76" t="s">
        <v>228</v>
      </c>
      <c r="G1011" s="76" t="s">
        <v>3447</v>
      </c>
      <c r="H1011" s="90">
        <v>46303</v>
      </c>
      <c r="I1011" s="82" t="s">
        <v>79</v>
      </c>
      <c r="J1011" s="151">
        <v>557748085</v>
      </c>
      <c r="K1011" s="90">
        <v>46294</v>
      </c>
      <c r="L1011" s="82" t="s">
        <v>81</v>
      </c>
      <c r="M1011" s="90">
        <v>46300</v>
      </c>
      <c r="N1011" s="131">
        <v>46301</v>
      </c>
      <c r="O1011" s="216">
        <f>NETWORKDAYS.INTL(K1011,N1011,1,$AM$2:$AM$10)-1</f>
        <v>5</v>
      </c>
      <c r="P1011" s="82" t="s">
        <v>81</v>
      </c>
      <c r="Q1011" s="82" t="s">
        <v>79</v>
      </c>
      <c r="R1011" s="101"/>
      <c r="S1011" s="212">
        <v>2122</v>
      </c>
      <c r="T1011" s="114" t="s">
        <v>3448</v>
      </c>
      <c r="U1011" s="285">
        <v>4</v>
      </c>
      <c r="V1011" s="258">
        <v>350</v>
      </c>
      <c r="W1011" s="258">
        <v>2200</v>
      </c>
      <c r="X1011" s="82" t="s">
        <v>84</v>
      </c>
      <c r="Y1011" s="96" t="s">
        <v>85</v>
      </c>
      <c r="Z1011" s="175" t="s">
        <v>86</v>
      </c>
      <c r="AA1011" s="82" t="s">
        <v>87</v>
      </c>
      <c r="AB1011" s="88">
        <v>1311.4</v>
      </c>
      <c r="AC1011" s="283">
        <f>IF(C1011="DENALI", AB1011*0.495, IF(C1011="SCHNEIDER ELECTRIC", AB1011*1.136, IF(C1011="WWT", AB1011*1.2, AC1011)))+AB1011</f>
        <v>1960.5430000000001</v>
      </c>
      <c r="AD1011" s="284">
        <f>AC1011-AB1011</f>
        <v>649.14300000000003</v>
      </c>
      <c r="AE1011" s="88">
        <v>269091.5</v>
      </c>
      <c r="AF1011" s="295">
        <f t="shared" si="39"/>
        <v>327.85</v>
      </c>
      <c r="AG1011" s="289">
        <f t="shared" si="40"/>
        <v>3.7468571428571433</v>
      </c>
      <c r="AH1011" s="247">
        <f t="shared" si="41"/>
        <v>0.61800188501413766</v>
      </c>
      <c r="AI1011" s="96">
        <v>1290</v>
      </c>
      <c r="AJ1011" s="76" t="s">
        <v>349</v>
      </c>
      <c r="AK1011"/>
      <c r="AM1011" s="80"/>
    </row>
    <row r="1012" spans="1:39" ht="28.5" customHeight="1">
      <c r="A1012" s="113" t="s">
        <v>3449</v>
      </c>
      <c r="B1012" s="114" t="s">
        <v>2828</v>
      </c>
      <c r="C1012" s="332" t="s">
        <v>951</v>
      </c>
      <c r="D1012" s="333" t="s">
        <v>109</v>
      </c>
      <c r="E1012" s="203" t="s">
        <v>1194</v>
      </c>
      <c r="F1012" s="203" t="s">
        <v>1103</v>
      </c>
      <c r="G1012" s="320">
        <v>24255384</v>
      </c>
      <c r="H1012" s="303">
        <v>46302</v>
      </c>
      <c r="I1012" s="304" t="s">
        <v>81</v>
      </c>
      <c r="J1012" s="229">
        <v>24255384</v>
      </c>
      <c r="K1012" s="269">
        <v>46293</v>
      </c>
      <c r="L1012" s="323" t="s">
        <v>81</v>
      </c>
      <c r="M1012" s="303">
        <v>46294</v>
      </c>
      <c r="N1012" s="273">
        <v>46294</v>
      </c>
      <c r="O1012" s="274">
        <f t="shared" ref="O1012:O1022" si="50">NETWORKDAYS.INTL(K1012,N1012,1,$AM$2:$AM$10)-1</f>
        <v>1</v>
      </c>
      <c r="P1012" s="323" t="s">
        <v>81</v>
      </c>
      <c r="Q1012" s="323" t="s">
        <v>79</v>
      </c>
      <c r="R1012" s="83" t="s">
        <v>3316</v>
      </c>
      <c r="S1012" s="212">
        <v>1264</v>
      </c>
      <c r="T1012" s="114" t="s">
        <v>3317</v>
      </c>
      <c r="U1012" s="212">
        <v>1</v>
      </c>
      <c r="V1012" s="291">
        <v>7</v>
      </c>
      <c r="W1012" s="291">
        <v>185</v>
      </c>
      <c r="X1012" s="174" t="s">
        <v>2213</v>
      </c>
      <c r="Y1012" s="154" t="s">
        <v>85</v>
      </c>
      <c r="Z1012" s="176" t="s">
        <v>2214</v>
      </c>
      <c r="AA1012" s="174" t="s">
        <v>87</v>
      </c>
      <c r="AB1012" s="292">
        <v>4725</v>
      </c>
      <c r="AC1012" s="298">
        <v>6200</v>
      </c>
      <c r="AD1012" s="299">
        <f>AC1012-AB1012</f>
        <v>1475</v>
      </c>
      <c r="AE1012" s="292">
        <v>6104.84</v>
      </c>
      <c r="AF1012" s="295">
        <f t="shared" si="39"/>
        <v>4725</v>
      </c>
      <c r="AG1012" s="289">
        <f t="shared" si="40"/>
        <v>675</v>
      </c>
      <c r="AH1012" s="247">
        <f t="shared" si="41"/>
        <v>3.7381329113924049</v>
      </c>
      <c r="AI1012" s="154">
        <v>1290</v>
      </c>
      <c r="AJ1012" s="174" t="s">
        <v>2221</v>
      </c>
      <c r="AK1012"/>
      <c r="AM1012" s="80"/>
    </row>
    <row r="1013" spans="1:39" ht="28.5" customHeight="1">
      <c r="A1013" s="113" t="s">
        <v>3449</v>
      </c>
      <c r="B1013" s="167" t="s">
        <v>2828</v>
      </c>
      <c r="C1013" s="148" t="s">
        <v>951</v>
      </c>
      <c r="D1013" s="76" t="s">
        <v>109</v>
      </c>
      <c r="E1013" s="76" t="s">
        <v>1086</v>
      </c>
      <c r="F1013" s="76" t="s">
        <v>218</v>
      </c>
      <c r="G1013" s="76">
        <v>24281913</v>
      </c>
      <c r="H1013" s="90">
        <v>46303</v>
      </c>
      <c r="I1013" s="82" t="s">
        <v>81</v>
      </c>
      <c r="J1013" s="151">
        <v>24281913</v>
      </c>
      <c r="K1013" s="90">
        <v>46295</v>
      </c>
      <c r="L1013" s="82" t="s">
        <v>81</v>
      </c>
      <c r="M1013" s="90">
        <v>46296</v>
      </c>
      <c r="N1013" s="131">
        <v>46296</v>
      </c>
      <c r="O1013" s="216">
        <f t="shared" si="50"/>
        <v>1</v>
      </c>
      <c r="P1013" s="82" t="s">
        <v>81</v>
      </c>
      <c r="Q1013" s="82" t="s">
        <v>79</v>
      </c>
      <c r="R1013" s="83" t="s">
        <v>3316</v>
      </c>
      <c r="S1013" s="231">
        <v>917</v>
      </c>
      <c r="T1013" s="114" t="s">
        <v>3317</v>
      </c>
      <c r="U1013" s="212">
        <v>1</v>
      </c>
      <c r="V1013" s="212">
        <v>12</v>
      </c>
      <c r="W1013" s="212">
        <v>150</v>
      </c>
      <c r="X1013" s="114" t="s">
        <v>2213</v>
      </c>
      <c r="Y1013" s="124" t="s">
        <v>85</v>
      </c>
      <c r="Z1013" s="115" t="s">
        <v>2214</v>
      </c>
      <c r="AA1013" s="114" t="s">
        <v>87</v>
      </c>
      <c r="AB1013" s="213">
        <v>5000</v>
      </c>
      <c r="AC1013" s="283">
        <v>6500</v>
      </c>
      <c r="AD1013" s="299">
        <f t="shared" ref="AD1013:AD1019" si="51">AC1013-AB1013</f>
        <v>1500</v>
      </c>
      <c r="AE1013" s="213">
        <v>10465.44</v>
      </c>
      <c r="AF1013" s="295">
        <f t="shared" si="39"/>
        <v>5000</v>
      </c>
      <c r="AG1013" s="289">
        <f t="shared" si="40"/>
        <v>416.66666666666669</v>
      </c>
      <c r="AH1013" s="247">
        <f t="shared" si="41"/>
        <v>5.4525627044711014</v>
      </c>
      <c r="AI1013" s="124">
        <v>1290</v>
      </c>
      <c r="AJ1013" s="124" t="s">
        <v>2985</v>
      </c>
      <c r="AK1013"/>
      <c r="AM1013" s="80"/>
    </row>
    <row r="1014" spans="1:39" ht="28.5" customHeight="1">
      <c r="A1014" s="113" t="s">
        <v>3449</v>
      </c>
      <c r="B1014" s="167" t="s">
        <v>2828</v>
      </c>
      <c r="C1014" s="148" t="s">
        <v>951</v>
      </c>
      <c r="D1014" s="76" t="s">
        <v>109</v>
      </c>
      <c r="E1014" s="76" t="s">
        <v>1066</v>
      </c>
      <c r="F1014" s="76" t="s">
        <v>370</v>
      </c>
      <c r="G1014" s="76">
        <v>24279799</v>
      </c>
      <c r="H1014" s="90">
        <v>46303</v>
      </c>
      <c r="I1014" s="82" t="s">
        <v>81</v>
      </c>
      <c r="J1014" s="151">
        <v>24279799</v>
      </c>
      <c r="K1014" s="90">
        <v>46295</v>
      </c>
      <c r="L1014" s="82" t="s">
        <v>81</v>
      </c>
      <c r="M1014" s="90">
        <v>46296</v>
      </c>
      <c r="N1014" s="131">
        <v>46296</v>
      </c>
      <c r="O1014" s="216">
        <f t="shared" si="50"/>
        <v>1</v>
      </c>
      <c r="P1014" s="82" t="s">
        <v>81</v>
      </c>
      <c r="Q1014" s="82" t="s">
        <v>79</v>
      </c>
      <c r="R1014" s="83" t="s">
        <v>3316</v>
      </c>
      <c r="S1014" s="231">
        <v>419</v>
      </c>
      <c r="T1014" s="114" t="s">
        <v>3317</v>
      </c>
      <c r="U1014" s="212">
        <v>1</v>
      </c>
      <c r="V1014" s="212">
        <v>6</v>
      </c>
      <c r="W1014" s="212">
        <v>75</v>
      </c>
      <c r="X1014" s="114" t="s">
        <v>113</v>
      </c>
      <c r="Y1014" s="124" t="s">
        <v>85</v>
      </c>
      <c r="Z1014" s="115" t="s">
        <v>3450</v>
      </c>
      <c r="AA1014" s="114" t="s">
        <v>87</v>
      </c>
      <c r="AB1014" s="213">
        <v>4725</v>
      </c>
      <c r="AC1014" s="283">
        <v>6200</v>
      </c>
      <c r="AD1014" s="299">
        <f t="shared" si="51"/>
        <v>1475</v>
      </c>
      <c r="AE1014" s="213">
        <v>5232.72</v>
      </c>
      <c r="AF1014" s="295">
        <f t="shared" si="39"/>
        <v>4725</v>
      </c>
      <c r="AG1014" s="289">
        <f t="shared" si="40"/>
        <v>787.5</v>
      </c>
      <c r="AH1014" s="247">
        <f t="shared" si="41"/>
        <v>11.276849642004773</v>
      </c>
      <c r="AI1014" s="124">
        <v>1290</v>
      </c>
      <c r="AJ1014" s="124" t="s">
        <v>2678</v>
      </c>
      <c r="AK1014"/>
      <c r="AM1014" s="80"/>
    </row>
    <row r="1015" spans="1:39" ht="28.5" customHeight="1">
      <c r="A1015" s="113" t="s">
        <v>3449</v>
      </c>
      <c r="B1015" s="167" t="s">
        <v>2828</v>
      </c>
      <c r="C1015" s="148" t="s">
        <v>951</v>
      </c>
      <c r="D1015" s="76" t="s">
        <v>109</v>
      </c>
      <c r="E1015" s="76" t="s">
        <v>3451</v>
      </c>
      <c r="F1015" s="76" t="s">
        <v>585</v>
      </c>
      <c r="G1015" s="76">
        <v>24280502</v>
      </c>
      <c r="H1015" s="90">
        <v>46303</v>
      </c>
      <c r="I1015" s="82" t="s">
        <v>81</v>
      </c>
      <c r="J1015" s="151">
        <v>24280502</v>
      </c>
      <c r="K1015" s="90">
        <v>46295</v>
      </c>
      <c r="L1015" s="82" t="s">
        <v>81</v>
      </c>
      <c r="M1015" s="90">
        <v>46296</v>
      </c>
      <c r="N1015" s="131">
        <v>46296</v>
      </c>
      <c r="O1015" s="216">
        <f t="shared" si="50"/>
        <v>1</v>
      </c>
      <c r="P1015" s="82" t="s">
        <v>81</v>
      </c>
      <c r="Q1015" s="82" t="s">
        <v>79</v>
      </c>
      <c r="R1015" s="83" t="s">
        <v>3316</v>
      </c>
      <c r="S1015" s="231">
        <v>2061</v>
      </c>
      <c r="T1015" s="114" t="s">
        <v>3317</v>
      </c>
      <c r="U1015" s="212">
        <v>1</v>
      </c>
      <c r="V1015" s="212">
        <v>16</v>
      </c>
      <c r="W1015" s="212">
        <v>200</v>
      </c>
      <c r="X1015" s="114" t="s">
        <v>2213</v>
      </c>
      <c r="Y1015" s="237" t="s">
        <v>85</v>
      </c>
      <c r="Z1015" s="169" t="s">
        <v>2214</v>
      </c>
      <c r="AA1015" s="83" t="s">
        <v>87</v>
      </c>
      <c r="AB1015" s="287">
        <v>5000</v>
      </c>
      <c r="AC1015" s="296">
        <v>6500</v>
      </c>
      <c r="AD1015" s="326">
        <f t="shared" si="51"/>
        <v>1500</v>
      </c>
      <c r="AE1015" s="287">
        <v>13953.92</v>
      </c>
      <c r="AF1015" s="295">
        <f t="shared" si="39"/>
        <v>5000</v>
      </c>
      <c r="AG1015" s="289">
        <f t="shared" si="40"/>
        <v>312.5</v>
      </c>
      <c r="AH1015" s="247">
        <f t="shared" si="41"/>
        <v>2.4260067928190199</v>
      </c>
      <c r="AI1015" s="237">
        <v>1290</v>
      </c>
      <c r="AJ1015" s="124" t="s">
        <v>2492</v>
      </c>
      <c r="AK1015"/>
      <c r="AM1015" s="80"/>
    </row>
    <row r="1016" spans="1:39" ht="28.5" customHeight="1">
      <c r="A1016" s="113" t="s">
        <v>3449</v>
      </c>
      <c r="B1016" s="167" t="s">
        <v>2828</v>
      </c>
      <c r="C1016" s="148" t="s">
        <v>951</v>
      </c>
      <c r="D1016" s="76" t="s">
        <v>109</v>
      </c>
      <c r="E1016" s="76" t="s">
        <v>1284</v>
      </c>
      <c r="F1016" s="76" t="s">
        <v>207</v>
      </c>
      <c r="G1016" s="76">
        <v>24280315</v>
      </c>
      <c r="H1016" s="90">
        <v>46303</v>
      </c>
      <c r="I1016" s="82" t="s">
        <v>81</v>
      </c>
      <c r="J1016" s="151">
        <v>24280315</v>
      </c>
      <c r="K1016" s="90">
        <v>46295</v>
      </c>
      <c r="L1016" s="82" t="s">
        <v>81</v>
      </c>
      <c r="M1016" s="90">
        <v>46296</v>
      </c>
      <c r="N1016" s="131">
        <v>46296</v>
      </c>
      <c r="O1016" s="216">
        <f t="shared" si="50"/>
        <v>1</v>
      </c>
      <c r="P1016" s="82" t="s">
        <v>81</v>
      </c>
      <c r="Q1016" s="82" t="s">
        <v>79</v>
      </c>
      <c r="R1016" s="83" t="s">
        <v>3316</v>
      </c>
      <c r="S1016" s="231">
        <v>928</v>
      </c>
      <c r="T1016" s="114" t="s">
        <v>3317</v>
      </c>
      <c r="U1016" s="212">
        <v>1</v>
      </c>
      <c r="V1016" s="212">
        <v>22</v>
      </c>
      <c r="W1016" s="212">
        <v>275</v>
      </c>
      <c r="X1016" s="167" t="s">
        <v>2213</v>
      </c>
      <c r="Y1016" s="76" t="s">
        <v>85</v>
      </c>
      <c r="Z1016" s="175" t="s">
        <v>2214</v>
      </c>
      <c r="AA1016" s="82" t="s">
        <v>87</v>
      </c>
      <c r="AB1016" s="88">
        <v>5000</v>
      </c>
      <c r="AC1016" s="283">
        <v>6500</v>
      </c>
      <c r="AD1016" s="284">
        <f t="shared" si="51"/>
        <v>1500</v>
      </c>
      <c r="AE1016" s="88">
        <v>19186.64</v>
      </c>
      <c r="AF1016" s="295">
        <f t="shared" si="39"/>
        <v>5000</v>
      </c>
      <c r="AG1016" s="289">
        <f t="shared" si="40"/>
        <v>227.27272727272728</v>
      </c>
      <c r="AH1016" s="247">
        <f t="shared" si="41"/>
        <v>5.3879310344827589</v>
      </c>
      <c r="AI1016" s="76">
        <v>1290</v>
      </c>
      <c r="AJ1016" s="350" t="s">
        <v>2218</v>
      </c>
      <c r="AK1016"/>
      <c r="AM1016" s="80"/>
    </row>
    <row r="1017" spans="1:39" ht="28.5" customHeight="1">
      <c r="A1017" s="113" t="s">
        <v>73</v>
      </c>
      <c r="B1017" s="167" t="s">
        <v>74</v>
      </c>
      <c r="C1017" s="330" t="s">
        <v>35</v>
      </c>
      <c r="D1017" s="77" t="s">
        <v>218</v>
      </c>
      <c r="E1017" s="77" t="s">
        <v>3452</v>
      </c>
      <c r="F1017" s="77" t="s">
        <v>207</v>
      </c>
      <c r="G1017" s="77" t="s">
        <v>3453</v>
      </c>
      <c r="H1017" s="94">
        <v>46303</v>
      </c>
      <c r="I1017" s="93" t="s">
        <v>79</v>
      </c>
      <c r="J1017" s="313">
        <v>5057002937</v>
      </c>
      <c r="K1017" s="94">
        <v>46295</v>
      </c>
      <c r="L1017" s="93" t="s">
        <v>81</v>
      </c>
      <c r="M1017" s="94">
        <v>46296</v>
      </c>
      <c r="N1017" s="131">
        <v>46296</v>
      </c>
      <c r="O1017" s="216">
        <f t="shared" si="50"/>
        <v>1</v>
      </c>
      <c r="P1017" s="82" t="s">
        <v>81</v>
      </c>
      <c r="Q1017" s="82" t="s">
        <v>79</v>
      </c>
      <c r="R1017" s="82"/>
      <c r="S1017" s="231">
        <v>122</v>
      </c>
      <c r="T1017" s="114" t="s">
        <v>3454</v>
      </c>
      <c r="U1017" s="212">
        <v>1</v>
      </c>
      <c r="V1017" s="286">
        <v>2</v>
      </c>
      <c r="W1017" s="286">
        <v>55</v>
      </c>
      <c r="X1017" s="83" t="s">
        <v>84</v>
      </c>
      <c r="Y1017" s="320" t="s">
        <v>85</v>
      </c>
      <c r="Z1017" s="328" t="s">
        <v>3031</v>
      </c>
      <c r="AA1017" s="323" t="s">
        <v>87</v>
      </c>
      <c r="AB1017" s="329">
        <v>186.52</v>
      </c>
      <c r="AC1017" s="298">
        <f>IF(C1017="DENALI", AB1017*0.495, IF(C1017="SCHNEIDER ELECTRIC", AB1017*1.136, IF(C1017="WWT", AB1017*1.2, AC1017)))+AB1017</f>
        <v>278.84739999999999</v>
      </c>
      <c r="AD1017" s="326">
        <f t="shared" si="51"/>
        <v>92.327399999999983</v>
      </c>
      <c r="AE1017" s="329">
        <v>469.03</v>
      </c>
      <c r="AF1017" s="295">
        <f t="shared" si="39"/>
        <v>186.52</v>
      </c>
      <c r="AG1017" s="289">
        <f t="shared" si="40"/>
        <v>93.26</v>
      </c>
      <c r="AH1017" s="247">
        <f t="shared" si="41"/>
        <v>1.5288524590163934</v>
      </c>
      <c r="AI1017" s="320">
        <v>1084</v>
      </c>
      <c r="AJ1017" s="237" t="s">
        <v>379</v>
      </c>
      <c r="AK1017"/>
      <c r="AM1017" s="80"/>
    </row>
    <row r="1018" spans="1:39" ht="28.5" customHeight="1">
      <c r="A1018" s="113" t="s">
        <v>73</v>
      </c>
      <c r="B1018" s="167" t="s">
        <v>74</v>
      </c>
      <c r="C1018" s="330" t="s">
        <v>35</v>
      </c>
      <c r="D1018" s="77" t="s">
        <v>218</v>
      </c>
      <c r="E1018" s="77" t="s">
        <v>992</v>
      </c>
      <c r="F1018" s="77" t="s">
        <v>75</v>
      </c>
      <c r="G1018" s="77" t="s">
        <v>3455</v>
      </c>
      <c r="H1018" s="94">
        <v>46303</v>
      </c>
      <c r="I1018" s="93" t="s">
        <v>79</v>
      </c>
      <c r="J1018" s="162">
        <v>5057002984</v>
      </c>
      <c r="K1018" s="94">
        <v>46295</v>
      </c>
      <c r="L1018" s="93" t="s">
        <v>81</v>
      </c>
      <c r="M1018" s="94">
        <v>46296</v>
      </c>
      <c r="N1018" s="161">
        <v>46300</v>
      </c>
      <c r="O1018" s="268">
        <f>NETWORKDAYS.INTL(K1018,N1018,1,$AM$2:$AM$10)-1</f>
        <v>3</v>
      </c>
      <c r="P1018" s="93" t="s">
        <v>81</v>
      </c>
      <c r="Q1018" s="93" t="s">
        <v>79</v>
      </c>
      <c r="R1018" s="82"/>
      <c r="S1018" s="231">
        <v>532</v>
      </c>
      <c r="T1018" s="114" t="s">
        <v>3456</v>
      </c>
      <c r="U1018" s="285">
        <v>1</v>
      </c>
      <c r="V1018" s="258">
        <v>2</v>
      </c>
      <c r="W1018" s="258">
        <v>250</v>
      </c>
      <c r="X1018" s="82" t="s">
        <v>84</v>
      </c>
      <c r="Y1018" s="76" t="s">
        <v>85</v>
      </c>
      <c r="Z1018" s="208" t="s">
        <v>3031</v>
      </c>
      <c r="AA1018" s="93" t="s">
        <v>87</v>
      </c>
      <c r="AB1018" s="178">
        <v>184</v>
      </c>
      <c r="AC1018" s="296">
        <f>IF(C1018="DENALI", AB1018*0.495, IF(C1018="SCHNEIDER ELECTRIC", AB1018*1.136, IF(C1018="WWT", AB1018*1.2, AC1018)))+AB1018</f>
        <v>275.08</v>
      </c>
      <c r="AD1018" s="297">
        <f t="shared" si="51"/>
        <v>91.079999999999984</v>
      </c>
      <c r="AE1018" s="178">
        <v>126675.98</v>
      </c>
      <c r="AF1018" s="295">
        <f t="shared" si="39"/>
        <v>184</v>
      </c>
      <c r="AG1018" s="289">
        <f t="shared" si="40"/>
        <v>92</v>
      </c>
      <c r="AH1018" s="247">
        <f t="shared" si="41"/>
        <v>0.34586466165413532</v>
      </c>
      <c r="AI1018" s="77">
        <v>1290</v>
      </c>
      <c r="AJ1018" s="77" t="s">
        <v>349</v>
      </c>
      <c r="AK1018"/>
      <c r="AM1018" s="80"/>
    </row>
    <row r="1019" spans="1:39" ht="28.5" customHeight="1">
      <c r="A1019" s="113" t="s">
        <v>73</v>
      </c>
      <c r="B1019" s="167" t="s">
        <v>74</v>
      </c>
      <c r="C1019" s="148" t="s">
        <v>35</v>
      </c>
      <c r="D1019" s="76" t="s">
        <v>218</v>
      </c>
      <c r="E1019" s="76" t="s">
        <v>657</v>
      </c>
      <c r="F1019" s="76" t="s">
        <v>644</v>
      </c>
      <c r="G1019" s="76" t="s">
        <v>3457</v>
      </c>
      <c r="H1019" s="90">
        <v>46304</v>
      </c>
      <c r="I1019" s="82" t="s">
        <v>79</v>
      </c>
      <c r="J1019" s="249">
        <v>5057002978</v>
      </c>
      <c r="K1019" s="90">
        <v>46296</v>
      </c>
      <c r="L1019" s="82" t="s">
        <v>81</v>
      </c>
      <c r="M1019" s="90">
        <v>46300</v>
      </c>
      <c r="N1019" s="131">
        <v>46301</v>
      </c>
      <c r="O1019" s="216">
        <f>NETWORKDAYS.INTL(K1019,N1019,1,$AM$2:$AM$10)-1</f>
        <v>3</v>
      </c>
      <c r="P1019" s="82" t="s">
        <v>81</v>
      </c>
      <c r="Q1019" s="82" t="s">
        <v>79</v>
      </c>
      <c r="R1019" s="259"/>
      <c r="S1019" s="231">
        <v>316.3</v>
      </c>
      <c r="T1019" s="114" t="s">
        <v>3458</v>
      </c>
      <c r="U1019" s="285">
        <v>4</v>
      </c>
      <c r="V1019" s="258">
        <v>140</v>
      </c>
      <c r="W1019" s="258">
        <v>2205</v>
      </c>
      <c r="X1019" s="82" t="s">
        <v>84</v>
      </c>
      <c r="Y1019" s="96" t="s">
        <v>85</v>
      </c>
      <c r="Z1019" s="175" t="s">
        <v>3031</v>
      </c>
      <c r="AA1019" s="82" t="s">
        <v>87</v>
      </c>
      <c r="AB1019" s="88">
        <v>332.97</v>
      </c>
      <c r="AC1019" s="283">
        <f>IF(C1019="DENALI", AB1019*0.495, IF(C1019="SCHNEIDER ELECTRIC", AB1019*1.136, IF(C1019="WWT", AB1019*1.2, AC1019)))+AB1019</f>
        <v>497.79015000000004</v>
      </c>
      <c r="AD1019" s="284">
        <f t="shared" si="51"/>
        <v>164.82015000000001</v>
      </c>
      <c r="AE1019" s="88">
        <v>204933.26</v>
      </c>
      <c r="AF1019" s="295">
        <f t="shared" si="39"/>
        <v>83.242500000000007</v>
      </c>
      <c r="AG1019" s="289">
        <f t="shared" si="40"/>
        <v>2.3783571428571428</v>
      </c>
      <c r="AH1019" s="247">
        <f t="shared" si="41"/>
        <v>1.0527031299399305</v>
      </c>
      <c r="AI1019" s="96">
        <v>1290</v>
      </c>
      <c r="AJ1019" s="76" t="s">
        <v>349</v>
      </c>
      <c r="AK1019"/>
      <c r="AM1019" s="80"/>
    </row>
    <row r="1020" spans="1:39" ht="28.5" customHeight="1">
      <c r="A1020" s="113" t="s">
        <v>73</v>
      </c>
      <c r="B1020" s="167" t="s">
        <v>74</v>
      </c>
      <c r="C1020" s="331" t="s">
        <v>35</v>
      </c>
      <c r="D1020" s="203" t="s">
        <v>218</v>
      </c>
      <c r="E1020" s="203" t="s">
        <v>141</v>
      </c>
      <c r="F1020" s="203" t="s">
        <v>142</v>
      </c>
      <c r="G1020" s="203">
        <v>24291258</v>
      </c>
      <c r="H1020" s="270">
        <v>46304</v>
      </c>
      <c r="I1020" s="207" t="s">
        <v>79</v>
      </c>
      <c r="J1020" s="229">
        <v>24291258</v>
      </c>
      <c r="K1020" s="270">
        <v>46296</v>
      </c>
      <c r="L1020" s="207" t="s">
        <v>81</v>
      </c>
      <c r="M1020" s="270">
        <v>46297</v>
      </c>
      <c r="N1020" s="335">
        <v>46297</v>
      </c>
      <c r="O1020" s="274">
        <f t="shared" si="50"/>
        <v>1</v>
      </c>
      <c r="P1020" s="207" t="s">
        <v>81</v>
      </c>
      <c r="Q1020" s="207" t="s">
        <v>79</v>
      </c>
      <c r="R1020" s="82"/>
      <c r="S1020" s="231">
        <v>441</v>
      </c>
      <c r="T1020" s="114" t="s">
        <v>3459</v>
      </c>
      <c r="U1020" s="285">
        <v>8</v>
      </c>
      <c r="V1020" s="258">
        <v>182</v>
      </c>
      <c r="W1020" s="258">
        <v>2830</v>
      </c>
      <c r="X1020" s="82" t="s">
        <v>113</v>
      </c>
      <c r="Y1020" s="76" t="s">
        <v>85</v>
      </c>
      <c r="Z1020" s="344" t="s">
        <v>3460</v>
      </c>
      <c r="AA1020" s="207" t="s">
        <v>87</v>
      </c>
      <c r="AB1020" s="345">
        <v>2262.11</v>
      </c>
      <c r="AC1020" s="325">
        <f>IF(C1020="DENALI", AB1020*0.495, IF(C1020="SCHNEIDER ELECTRIC", AB1020*1.136, IF(C1020="WWT", AB1020*1.2, AC1020)))+AB1020</f>
        <v>3381.8544500000003</v>
      </c>
      <c r="AD1020" s="326">
        <f t="shared" ref="AD1020" si="52">AC1020-AB1020</f>
        <v>1119.7444500000001</v>
      </c>
      <c r="AE1020" s="345">
        <v>83790.990000000005</v>
      </c>
      <c r="AF1020" s="295">
        <f t="shared" si="39"/>
        <v>282.76375000000002</v>
      </c>
      <c r="AG1020" s="289">
        <f t="shared" si="40"/>
        <v>12.429175824175825</v>
      </c>
      <c r="AH1020" s="247">
        <f t="shared" si="41"/>
        <v>5.1295011337868486</v>
      </c>
      <c r="AI1020" s="203">
        <v>1084</v>
      </c>
      <c r="AJ1020" s="203" t="s">
        <v>379</v>
      </c>
      <c r="AK1020"/>
      <c r="AM1020" s="80"/>
    </row>
    <row r="1021" spans="1:39" ht="28.5" customHeight="1">
      <c r="A1021" s="113" t="s">
        <v>73</v>
      </c>
      <c r="B1021" s="167" t="s">
        <v>74</v>
      </c>
      <c r="C1021" s="148" t="s">
        <v>35</v>
      </c>
      <c r="D1021" s="76" t="s">
        <v>218</v>
      </c>
      <c r="E1021" s="76" t="s">
        <v>3461</v>
      </c>
      <c r="F1021" s="76" t="s">
        <v>90</v>
      </c>
      <c r="G1021" s="76">
        <v>24292859</v>
      </c>
      <c r="H1021" s="90">
        <v>46307</v>
      </c>
      <c r="I1021" s="82" t="s">
        <v>79</v>
      </c>
      <c r="J1021" s="151">
        <v>24292859</v>
      </c>
      <c r="K1021" s="90">
        <v>46297</v>
      </c>
      <c r="L1021" s="82" t="s">
        <v>81</v>
      </c>
      <c r="M1021" s="90">
        <v>46300</v>
      </c>
      <c r="N1021" s="131">
        <v>46300</v>
      </c>
      <c r="O1021" s="216">
        <f t="shared" si="50"/>
        <v>1</v>
      </c>
      <c r="P1021" s="82" t="s">
        <v>81</v>
      </c>
      <c r="Q1021" s="82" t="s">
        <v>79</v>
      </c>
      <c r="R1021" s="259"/>
      <c r="S1021" s="342">
        <v>1168</v>
      </c>
      <c r="T1021" s="83" t="s">
        <v>3462</v>
      </c>
      <c r="U1021" s="286">
        <v>13</v>
      </c>
      <c r="V1021" s="327">
        <v>13</v>
      </c>
      <c r="W1021" s="327">
        <v>10910</v>
      </c>
      <c r="X1021" s="323" t="s">
        <v>113</v>
      </c>
      <c r="Y1021" s="333" t="s">
        <v>85</v>
      </c>
      <c r="Z1021" s="175" t="s">
        <v>3463</v>
      </c>
      <c r="AA1021" s="82" t="s">
        <v>87</v>
      </c>
      <c r="AB1021" s="88">
        <v>2114.7600000000002</v>
      </c>
      <c r="AC1021" s="283">
        <f>IF(C1021="DENALI", AB1021*0.495, IF(C1021="SCHNEIDER ELECTRIC", AB1021*1.136, IF(C1021="WWT", AB1021*1.2, AC1021)))+AB1021</f>
        <v>3161.5662000000002</v>
      </c>
      <c r="AD1021" s="284">
        <f t="shared" ref="AD1021" si="53">AC1021-AB1021</f>
        <v>1046.8062</v>
      </c>
      <c r="AE1021" s="88">
        <v>176339.8</v>
      </c>
      <c r="AF1021" s="295">
        <f t="shared" si="39"/>
        <v>162.67384615384617</v>
      </c>
      <c r="AG1021" s="289">
        <f t="shared" si="40"/>
        <v>162.67384615384617</v>
      </c>
      <c r="AH1021" s="247">
        <f t="shared" si="41"/>
        <v>1.810582191780822</v>
      </c>
      <c r="AI1021" s="96">
        <v>1060</v>
      </c>
      <c r="AJ1021" s="76" t="s">
        <v>343</v>
      </c>
      <c r="AK1021"/>
      <c r="AM1021" s="80"/>
    </row>
    <row r="1022" spans="1:39" ht="28.5" customHeight="1">
      <c r="A1022" s="113" t="s">
        <v>73</v>
      </c>
      <c r="B1022" s="167" t="s">
        <v>74</v>
      </c>
      <c r="C1022" s="148" t="s">
        <v>35</v>
      </c>
      <c r="D1022" s="76" t="s">
        <v>955</v>
      </c>
      <c r="E1022" s="76" t="s">
        <v>1989</v>
      </c>
      <c r="F1022" s="77" t="s">
        <v>92</v>
      </c>
      <c r="G1022" s="77" t="s">
        <v>3464</v>
      </c>
      <c r="H1022" s="94">
        <v>46308</v>
      </c>
      <c r="I1022" s="93" t="s">
        <v>79</v>
      </c>
      <c r="J1022" s="162">
        <v>557759241</v>
      </c>
      <c r="K1022" s="94">
        <v>46300</v>
      </c>
      <c r="L1022" s="93" t="s">
        <v>81</v>
      </c>
      <c r="M1022" s="90">
        <v>46302</v>
      </c>
      <c r="N1022" s="131">
        <v>46302</v>
      </c>
      <c r="O1022" s="216">
        <f t="shared" si="50"/>
        <v>2</v>
      </c>
      <c r="P1022" s="82" t="s">
        <v>81</v>
      </c>
      <c r="Q1022" s="82" t="s">
        <v>79</v>
      </c>
      <c r="R1022" s="343"/>
      <c r="S1022" s="258">
        <v>1184</v>
      </c>
      <c r="T1022" s="82" t="s">
        <v>2919</v>
      </c>
      <c r="U1022" s="258">
        <v>4</v>
      </c>
      <c r="V1022" s="258">
        <v>104</v>
      </c>
      <c r="W1022" s="258">
        <v>2945</v>
      </c>
      <c r="X1022" s="82" t="s">
        <v>84</v>
      </c>
      <c r="Y1022" s="96" t="s">
        <v>85</v>
      </c>
      <c r="Z1022" s="175" t="s">
        <v>86</v>
      </c>
      <c r="AA1022" s="82" t="s">
        <v>87</v>
      </c>
      <c r="AB1022" s="88">
        <v>1285.6199999999999</v>
      </c>
      <c r="AC1022" s="283">
        <f>IF(C1022="DENALI", AB1022*0.495, IF(C1022="SCHNEIDER ELECTRIC", AB1022*1.136, IF(C1022="WWT", AB1022*1.2, AC1022)))+AB1022</f>
        <v>1922.0018999999998</v>
      </c>
      <c r="AD1022" s="284">
        <f t="shared" ref="AD1022" si="54">AC1022-AB1022</f>
        <v>636.38189999999986</v>
      </c>
      <c r="AE1022" s="88">
        <v>202198.7</v>
      </c>
      <c r="AF1022" s="295">
        <f t="shared" si="39"/>
        <v>321.40499999999997</v>
      </c>
      <c r="AG1022" s="289">
        <f t="shared" si="40"/>
        <v>12.361730769230768</v>
      </c>
      <c r="AH1022" s="247">
        <f t="shared" si="41"/>
        <v>1.0858277027027026</v>
      </c>
      <c r="AI1022" s="96">
        <v>1060</v>
      </c>
      <c r="AJ1022" s="76" t="s">
        <v>343</v>
      </c>
      <c r="AK1022"/>
      <c r="AM1022" s="80"/>
    </row>
    <row r="1023" spans="1:39" ht="28.5" customHeight="1">
      <c r="A1023" s="113" t="s">
        <v>73</v>
      </c>
      <c r="B1023" s="167" t="s">
        <v>74</v>
      </c>
      <c r="C1023" s="148" t="s">
        <v>35</v>
      </c>
      <c r="D1023" s="76" t="s">
        <v>218</v>
      </c>
      <c r="E1023" s="96" t="s">
        <v>517</v>
      </c>
      <c r="F1023" s="76" t="s">
        <v>207</v>
      </c>
      <c r="G1023" s="76" t="s">
        <v>3465</v>
      </c>
      <c r="H1023" s="90">
        <v>46308</v>
      </c>
      <c r="I1023" s="82" t="s">
        <v>79</v>
      </c>
      <c r="J1023" s="151">
        <v>5057002918</v>
      </c>
      <c r="K1023" s="90">
        <v>46300</v>
      </c>
      <c r="L1023" s="82" t="s">
        <v>81</v>
      </c>
      <c r="M1023" s="165">
        <v>46301</v>
      </c>
      <c r="N1023" s="131">
        <v>46302</v>
      </c>
      <c r="O1023" s="216">
        <f>NETWORKDAYS.INTL(K1023,N1023,1,$AM$2:$AM$10)-1</f>
        <v>2</v>
      </c>
      <c r="P1023" s="82" t="s">
        <v>81</v>
      </c>
      <c r="Q1023" s="82" t="s">
        <v>79</v>
      </c>
      <c r="R1023" s="101"/>
      <c r="S1023" s="291">
        <v>90.8</v>
      </c>
      <c r="T1023" s="174" t="s">
        <v>3466</v>
      </c>
      <c r="U1023" s="291">
        <v>3</v>
      </c>
      <c r="V1023" s="291">
        <v>1120</v>
      </c>
      <c r="W1023" s="291">
        <v>2015</v>
      </c>
      <c r="X1023" s="174" t="s">
        <v>84</v>
      </c>
      <c r="Y1023" s="267" t="s">
        <v>85</v>
      </c>
      <c r="Z1023" s="175" t="s">
        <v>3031</v>
      </c>
      <c r="AA1023" s="82" t="s">
        <v>87</v>
      </c>
      <c r="AB1023" s="88">
        <v>248.24</v>
      </c>
      <c r="AC1023" s="283">
        <f>IF(C1023="DENALI", AB1023*0.495, IF(C1023="SCHNEIDER ELECTRIC", AB1023*1.136, IF(C1023="WWT", AB1023*1.2, AC1023)))+AB1023</f>
        <v>371.11880000000002</v>
      </c>
      <c r="AD1023" s="284">
        <f>AC1023-AB1023</f>
        <v>122.87880000000001</v>
      </c>
      <c r="AE1023" s="88">
        <v>72069.62</v>
      </c>
      <c r="AF1023" s="295">
        <f t="shared" ref="AF1023:AF1042" si="55">AB1023/U1023</f>
        <v>82.74666666666667</v>
      </c>
      <c r="AG1023" s="289">
        <f t="shared" ref="AG1023:AG1042" si="56">AB1023/V1023</f>
        <v>0.22164285714285714</v>
      </c>
      <c r="AH1023" s="247">
        <f t="shared" ref="AH1023:AH1042" si="57">AB1023/S1023</f>
        <v>2.733920704845815</v>
      </c>
      <c r="AI1023" s="96">
        <v>1060</v>
      </c>
      <c r="AJ1023" s="76" t="s">
        <v>343</v>
      </c>
      <c r="AK1023"/>
      <c r="AM1023" s="80"/>
    </row>
    <row r="1024" spans="1:39" ht="28.5" customHeight="1">
      <c r="A1024" s="113" t="s">
        <v>73</v>
      </c>
      <c r="B1024" s="167" t="s">
        <v>140</v>
      </c>
      <c r="C1024" s="148" t="s">
        <v>35</v>
      </c>
      <c r="D1024" s="76" t="s">
        <v>955</v>
      </c>
      <c r="E1024" s="96" t="s">
        <v>141</v>
      </c>
      <c r="F1024" s="76" t="s">
        <v>142</v>
      </c>
      <c r="G1024" s="76">
        <v>24318045</v>
      </c>
      <c r="H1024" s="90">
        <v>46308</v>
      </c>
      <c r="I1024" s="82" t="s">
        <v>79</v>
      </c>
      <c r="J1024" s="151">
        <v>24318045</v>
      </c>
      <c r="K1024" s="90">
        <v>46300</v>
      </c>
      <c r="L1024" s="82" t="s">
        <v>81</v>
      </c>
      <c r="M1024" s="165">
        <v>46301</v>
      </c>
      <c r="N1024" s="131">
        <v>46301</v>
      </c>
      <c r="O1024" s="216">
        <f>NETWORKDAYS.INTL(K1024,N1024,1,$AM$2:$AM$10)-1</f>
        <v>1</v>
      </c>
      <c r="P1024" s="82" t="s">
        <v>81</v>
      </c>
      <c r="Q1024" s="82" t="s">
        <v>79</v>
      </c>
      <c r="R1024" s="101"/>
      <c r="S1024" s="212">
        <v>441</v>
      </c>
      <c r="T1024" s="114" t="s">
        <v>3467</v>
      </c>
      <c r="U1024" s="212">
        <v>7</v>
      </c>
      <c r="V1024" s="212">
        <v>7</v>
      </c>
      <c r="W1024" s="212">
        <v>4610</v>
      </c>
      <c r="X1024" s="114" t="s">
        <v>113</v>
      </c>
      <c r="Y1024" s="260" t="s">
        <v>85</v>
      </c>
      <c r="Z1024" s="175" t="s">
        <v>3468</v>
      </c>
      <c r="AA1024" s="82" t="s">
        <v>87</v>
      </c>
      <c r="AB1024" s="88">
        <v>2454.38</v>
      </c>
      <c r="AC1024" s="283">
        <f>IF(C1024="DENALI", AB1024*0.495, IF(C1024="SCHNEIDER ELECTRIC", AB1024*1.136, IF(C1024="WWT", AB1024*1.2, AC1024)))+AB1024</f>
        <v>3669.2981</v>
      </c>
      <c r="AD1024" s="284">
        <f>AC1024-AB1024</f>
        <v>1214.9180999999999</v>
      </c>
      <c r="AE1024" s="346">
        <v>1464978.64</v>
      </c>
      <c r="AF1024" s="295">
        <f t="shared" si="55"/>
        <v>350.62571428571431</v>
      </c>
      <c r="AG1024" s="289">
        <f t="shared" si="56"/>
        <v>350.62571428571431</v>
      </c>
      <c r="AH1024" s="247">
        <f t="shared" si="57"/>
        <v>5.5654875283446712</v>
      </c>
      <c r="AI1024" s="96">
        <v>1173</v>
      </c>
      <c r="AJ1024" s="76" t="s">
        <v>107</v>
      </c>
      <c r="AK1024"/>
      <c r="AM1024" s="80"/>
    </row>
    <row r="1025" spans="1:39" ht="28.5" customHeight="1">
      <c r="A1025" s="113" t="s">
        <v>73</v>
      </c>
      <c r="B1025" s="167" t="s">
        <v>3469</v>
      </c>
      <c r="C1025" s="148" t="s">
        <v>141</v>
      </c>
      <c r="D1025" s="76" t="s">
        <v>142</v>
      </c>
      <c r="E1025" s="96" t="s">
        <v>3470</v>
      </c>
      <c r="F1025" s="76" t="s">
        <v>99</v>
      </c>
      <c r="G1025" s="76">
        <v>24281064</v>
      </c>
      <c r="H1025" s="90">
        <v>46304</v>
      </c>
      <c r="I1025" s="82" t="s">
        <v>81</v>
      </c>
      <c r="J1025" s="151">
        <v>24281064</v>
      </c>
      <c r="K1025" s="90">
        <v>46296</v>
      </c>
      <c r="L1025" s="82" t="s">
        <v>81</v>
      </c>
      <c r="M1025" s="293">
        <v>46300</v>
      </c>
      <c r="N1025" s="308">
        <v>46301</v>
      </c>
      <c r="O1025" s="216">
        <f>NETWORKDAYS.INTL(K1025,N1025,1,$AM$2:$AM$10)-1</f>
        <v>3</v>
      </c>
      <c r="P1025" s="174" t="s">
        <v>81</v>
      </c>
      <c r="Q1025" s="174" t="s">
        <v>79</v>
      </c>
      <c r="R1025" s="114"/>
      <c r="S1025" s="212">
        <v>2431</v>
      </c>
      <c r="T1025" s="114" t="s">
        <v>3471</v>
      </c>
      <c r="U1025" s="212">
        <v>3</v>
      </c>
      <c r="V1025" s="212">
        <v>40</v>
      </c>
      <c r="W1025" s="212">
        <v>1565</v>
      </c>
      <c r="X1025" s="114" t="s">
        <v>113</v>
      </c>
      <c r="Y1025" s="260" t="s">
        <v>85</v>
      </c>
      <c r="Z1025" s="176" t="s">
        <v>3472</v>
      </c>
      <c r="AA1025" s="82" t="s">
        <v>87</v>
      </c>
      <c r="AB1025" s="292">
        <v>7007</v>
      </c>
      <c r="AC1025" s="283">
        <f>(AB1025*0.495)+AB1025</f>
        <v>10475.465</v>
      </c>
      <c r="AD1025" s="284">
        <f>AC1025-AB1025</f>
        <v>3468.4650000000001</v>
      </c>
      <c r="AE1025" s="88" t="s">
        <v>3473</v>
      </c>
      <c r="AF1025" s="295">
        <f t="shared" si="55"/>
        <v>2335.6666666666665</v>
      </c>
      <c r="AG1025" s="289">
        <f t="shared" si="56"/>
        <v>175.17500000000001</v>
      </c>
      <c r="AH1025" s="247">
        <f t="shared" si="57"/>
        <v>2.8823529411764706</v>
      </c>
      <c r="AI1025" s="267">
        <v>1290</v>
      </c>
      <c r="AJ1025" s="76" t="s">
        <v>3320</v>
      </c>
      <c r="AK1025"/>
      <c r="AM1025" s="80"/>
    </row>
    <row r="1026" spans="1:39" ht="28.5" customHeight="1">
      <c r="A1026" s="113" t="s">
        <v>73</v>
      </c>
      <c r="B1026" s="167" t="s">
        <v>140</v>
      </c>
      <c r="C1026" s="113" t="s">
        <v>35</v>
      </c>
      <c r="D1026" s="237" t="s">
        <v>955</v>
      </c>
      <c r="E1026" s="266" t="s">
        <v>141</v>
      </c>
      <c r="F1026" s="77" t="s">
        <v>142</v>
      </c>
      <c r="G1026" s="77" t="s">
        <v>3474</v>
      </c>
      <c r="H1026" s="94">
        <v>46309</v>
      </c>
      <c r="I1026" s="93" t="s">
        <v>79</v>
      </c>
      <c r="J1026" s="162">
        <v>37410800</v>
      </c>
      <c r="K1026" s="94">
        <v>46301</v>
      </c>
      <c r="L1026" s="93" t="s">
        <v>81</v>
      </c>
      <c r="M1026" s="257">
        <v>46302</v>
      </c>
      <c r="N1026" s="306">
        <v>46303</v>
      </c>
      <c r="O1026" s="268">
        <f>NETWORKDAYS.INTL(K1026,N1026,1,$AM$2:$AM$10)-1</f>
        <v>2</v>
      </c>
      <c r="P1026" s="114" t="s">
        <v>81</v>
      </c>
      <c r="Q1026" s="114" t="s">
        <v>79</v>
      </c>
      <c r="R1026" s="114"/>
      <c r="S1026" s="212">
        <v>441</v>
      </c>
      <c r="T1026" s="114" t="s">
        <v>3475</v>
      </c>
      <c r="U1026" s="212">
        <v>2</v>
      </c>
      <c r="V1026" s="212">
        <v>555</v>
      </c>
      <c r="W1026" s="212">
        <v>1010</v>
      </c>
      <c r="X1026" s="114" t="s">
        <v>84</v>
      </c>
      <c r="Y1026" s="124" t="s">
        <v>85</v>
      </c>
      <c r="Z1026" s="115" t="s">
        <v>2723</v>
      </c>
      <c r="AA1026" s="114" t="s">
        <v>87</v>
      </c>
      <c r="AB1026" s="213">
        <v>321.33</v>
      </c>
      <c r="AC1026" s="283">
        <f>IF(C1026="DENALI", AB1026*0.495, IF(C1026="SCHNEIDER ELECTRIC", AB1026*1.136, IF(C1026="WWT", AB1026*1.2, AC1026)))+AB1026</f>
        <v>480.38834999999995</v>
      </c>
      <c r="AD1026" s="284">
        <f>AC1026-AB1026</f>
        <v>159.05834999999996</v>
      </c>
      <c r="AE1026" s="213">
        <v>194365.78</v>
      </c>
      <c r="AF1026" s="295">
        <f t="shared" si="55"/>
        <v>160.66499999999999</v>
      </c>
      <c r="AG1026" s="289">
        <f t="shared" si="56"/>
        <v>0.5789729729729729</v>
      </c>
      <c r="AH1026" s="247">
        <f t="shared" si="57"/>
        <v>0.72863945578231293</v>
      </c>
      <c r="AI1026" s="260">
        <v>1172</v>
      </c>
      <c r="AJ1026" s="76" t="s">
        <v>89</v>
      </c>
      <c r="AK1026"/>
      <c r="AM1026" s="80"/>
    </row>
    <row r="1027" spans="1:39" ht="28.5" customHeight="1">
      <c r="A1027" s="113" t="s">
        <v>73</v>
      </c>
      <c r="B1027" s="167" t="s">
        <v>74</v>
      </c>
      <c r="C1027" s="319" t="s">
        <v>35</v>
      </c>
      <c r="D1027" s="76" t="s">
        <v>218</v>
      </c>
      <c r="E1027" s="76" t="s">
        <v>1722</v>
      </c>
      <c r="F1027" s="76" t="s">
        <v>92</v>
      </c>
      <c r="G1027" s="76" t="s">
        <v>3476</v>
      </c>
      <c r="H1027" s="90">
        <v>46309</v>
      </c>
      <c r="I1027" s="82" t="s">
        <v>79</v>
      </c>
      <c r="J1027" s="151">
        <v>557762155</v>
      </c>
      <c r="K1027" s="90">
        <v>46301</v>
      </c>
      <c r="L1027" s="82" t="s">
        <v>81</v>
      </c>
      <c r="M1027" s="90">
        <v>46303</v>
      </c>
      <c r="N1027" s="131">
        <v>46304</v>
      </c>
      <c r="O1027" s="216">
        <f>NETWORKDAYS.INTL(K1027,N1027,1,$AM$2:$AM$10)-1</f>
        <v>3</v>
      </c>
      <c r="P1027" s="101" t="s">
        <v>81</v>
      </c>
      <c r="Q1027" s="114" t="s">
        <v>79</v>
      </c>
      <c r="R1027" s="114"/>
      <c r="S1027" s="212">
        <v>1046</v>
      </c>
      <c r="T1027" s="114" t="s">
        <v>1725</v>
      </c>
      <c r="U1027" s="212">
        <v>1</v>
      </c>
      <c r="V1027" s="212">
        <v>333</v>
      </c>
      <c r="W1027" s="212">
        <v>295</v>
      </c>
      <c r="X1027" s="114" t="s">
        <v>84</v>
      </c>
      <c r="Y1027" s="124" t="s">
        <v>85</v>
      </c>
      <c r="Z1027" s="175" t="s">
        <v>86</v>
      </c>
      <c r="AA1027" s="114" t="s">
        <v>87</v>
      </c>
      <c r="AB1027" s="213">
        <v>271.42</v>
      </c>
      <c r="AC1027" s="283">
        <f>IF(C1027="DENALI", AB1027*0.495, IF(C1027="SCHNEIDER ELECTRIC", AB1027*1.136, IF(C1027="WWT", AB1027*1.2, AC1027)))+AB1027</f>
        <v>405.77290000000005</v>
      </c>
      <c r="AD1027" s="284">
        <f>AC1027-AB1027</f>
        <v>134.35290000000003</v>
      </c>
      <c r="AE1027" s="213">
        <v>109450.44</v>
      </c>
      <c r="AF1027" s="295">
        <f t="shared" si="55"/>
        <v>271.42</v>
      </c>
      <c r="AG1027" s="289">
        <f t="shared" si="56"/>
        <v>0.81507507507507515</v>
      </c>
      <c r="AH1027" s="247">
        <f t="shared" si="57"/>
        <v>0.25948374760994264</v>
      </c>
      <c r="AI1027" s="124">
        <v>1235</v>
      </c>
      <c r="AJ1027" s="154" t="s">
        <v>670</v>
      </c>
      <c r="AK1027"/>
      <c r="AM1027" s="80"/>
    </row>
    <row r="1028" spans="1:39" ht="28.5" customHeight="1">
      <c r="A1028" s="113" t="s">
        <v>73</v>
      </c>
      <c r="B1028" s="167" t="s">
        <v>74</v>
      </c>
      <c r="C1028" s="148" t="s">
        <v>35</v>
      </c>
      <c r="D1028" s="203" t="s">
        <v>218</v>
      </c>
      <c r="E1028" s="204" t="s">
        <v>3477</v>
      </c>
      <c r="F1028" s="204" t="s">
        <v>644</v>
      </c>
      <c r="G1028" s="203" t="s">
        <v>3478</v>
      </c>
      <c r="H1028" s="270">
        <v>46309</v>
      </c>
      <c r="I1028" s="207" t="s">
        <v>79</v>
      </c>
      <c r="J1028" s="229">
        <v>82262035</v>
      </c>
      <c r="K1028" s="270">
        <v>46301</v>
      </c>
      <c r="L1028" s="207" t="s">
        <v>81</v>
      </c>
      <c r="M1028" s="270">
        <v>46302</v>
      </c>
      <c r="N1028" s="348">
        <v>46302</v>
      </c>
      <c r="O1028" s="274">
        <f>NETWORKDAYS.INTL(K1028,N1028,1,$AM$2:$AM$10)-1</f>
        <v>1</v>
      </c>
      <c r="P1028" s="114" t="s">
        <v>81</v>
      </c>
      <c r="Q1028" s="114" t="s">
        <v>79</v>
      </c>
      <c r="R1028" s="114"/>
      <c r="S1028" s="212">
        <v>312</v>
      </c>
      <c r="T1028" s="114" t="s">
        <v>3479</v>
      </c>
      <c r="U1028" s="212">
        <v>1</v>
      </c>
      <c r="V1028" s="212">
        <v>1</v>
      </c>
      <c r="W1028" s="212">
        <v>180</v>
      </c>
      <c r="X1028" s="114" t="s">
        <v>84</v>
      </c>
      <c r="Y1028" s="124" t="s">
        <v>85</v>
      </c>
      <c r="Z1028" s="115" t="s">
        <v>1540</v>
      </c>
      <c r="AA1028" s="114" t="s">
        <v>87</v>
      </c>
      <c r="AB1028" s="213">
        <v>189.33</v>
      </c>
      <c r="AC1028" s="283">
        <f>IF(C1028="DENALI", AB1028*0.495, IF(C1028="SCHNEIDER ELECTRIC", AB1028*1.136, IF(C1028="WWT", AB1028*1.2, AC1028)))+AB1028</f>
        <v>283.04835000000003</v>
      </c>
      <c r="AD1028" s="284">
        <f>AC1028-AB1028</f>
        <v>93.718350000000015</v>
      </c>
      <c r="AE1028" s="213">
        <v>442.92</v>
      </c>
      <c r="AF1028" s="295">
        <f t="shared" si="55"/>
        <v>189.33</v>
      </c>
      <c r="AG1028" s="289">
        <f t="shared" si="56"/>
        <v>189.33</v>
      </c>
      <c r="AH1028" s="247">
        <f t="shared" si="57"/>
        <v>0.6068269230769231</v>
      </c>
      <c r="AI1028" s="124">
        <v>1290</v>
      </c>
      <c r="AJ1028" s="124" t="s">
        <v>349</v>
      </c>
      <c r="AK1028"/>
      <c r="AM1028" s="80"/>
    </row>
    <row r="1029" spans="1:39" ht="28.5" customHeight="1">
      <c r="A1029" s="113" t="s">
        <v>73</v>
      </c>
      <c r="B1029" s="167" t="s">
        <v>74</v>
      </c>
      <c r="C1029" s="319" t="s">
        <v>35</v>
      </c>
      <c r="D1029" s="76" t="s">
        <v>218</v>
      </c>
      <c r="E1029" s="76" t="s">
        <v>141</v>
      </c>
      <c r="F1029" s="76" t="s">
        <v>142</v>
      </c>
      <c r="G1029" s="76" t="s">
        <v>3480</v>
      </c>
      <c r="H1029" s="90">
        <v>46310</v>
      </c>
      <c r="I1029" s="82" t="s">
        <v>79</v>
      </c>
      <c r="J1029" s="151">
        <v>37410836</v>
      </c>
      <c r="K1029" s="90">
        <v>46302</v>
      </c>
      <c r="L1029" s="82" t="s">
        <v>81</v>
      </c>
      <c r="M1029" s="90">
        <v>46303</v>
      </c>
      <c r="N1029" s="131">
        <v>46307</v>
      </c>
      <c r="O1029" s="216">
        <f t="shared" ref="O1029:O1030" si="58">NETWORKDAYS.INTL(K1029,N1029,1,$AM$2:$AM$10)-1</f>
        <v>3</v>
      </c>
      <c r="P1029" s="101" t="s">
        <v>81</v>
      </c>
      <c r="Q1029" s="114" t="s">
        <v>79</v>
      </c>
      <c r="R1029" s="114"/>
      <c r="S1029" s="212">
        <v>441</v>
      </c>
      <c r="T1029" s="114" t="s">
        <v>3481</v>
      </c>
      <c r="U1029" s="212">
        <v>5</v>
      </c>
      <c r="V1029" s="212">
        <v>4784</v>
      </c>
      <c r="W1029" s="212">
        <v>1995</v>
      </c>
      <c r="X1029" s="114" t="s">
        <v>84</v>
      </c>
      <c r="Y1029" s="124" t="s">
        <v>85</v>
      </c>
      <c r="Z1029" s="115" t="s">
        <v>2723</v>
      </c>
      <c r="AA1029" s="114" t="s">
        <v>87</v>
      </c>
      <c r="AB1029" s="213">
        <v>591</v>
      </c>
      <c r="AC1029" s="283">
        <f>IF(C1029="DENALI", AB1029*0.495, IF(C1029="SCHNEIDER ELECTRIC", AB1029*1.136, IF(C1029="WWT", AB1029*1.2, AC1029)))+AB1029</f>
        <v>883.54500000000007</v>
      </c>
      <c r="AD1029" s="284">
        <f t="shared" ref="AD1029:AD1030" si="59">AC1029-AB1029</f>
        <v>292.54500000000007</v>
      </c>
      <c r="AE1029" s="213">
        <v>159533.81</v>
      </c>
      <c r="AF1029" s="295">
        <f t="shared" si="55"/>
        <v>118.2</v>
      </c>
      <c r="AG1029" s="289">
        <f t="shared" si="56"/>
        <v>0.12353678929765886</v>
      </c>
      <c r="AH1029" s="247">
        <f t="shared" si="57"/>
        <v>1.3401360544217686</v>
      </c>
      <c r="AI1029" s="124">
        <v>1172</v>
      </c>
      <c r="AJ1029" s="124" t="s">
        <v>89</v>
      </c>
      <c r="AK1029"/>
      <c r="AM1029" s="80"/>
    </row>
    <row r="1030" spans="1:39" ht="28.5" customHeight="1">
      <c r="A1030" s="113" t="s">
        <v>73</v>
      </c>
      <c r="B1030" s="167" t="s">
        <v>74</v>
      </c>
      <c r="C1030" s="324" t="s">
        <v>35</v>
      </c>
      <c r="D1030" s="77" t="s">
        <v>218</v>
      </c>
      <c r="E1030" s="77" t="s">
        <v>3482</v>
      </c>
      <c r="F1030" s="77" t="s">
        <v>370</v>
      </c>
      <c r="G1030" s="77" t="s">
        <v>3483</v>
      </c>
      <c r="H1030" s="94">
        <v>46310</v>
      </c>
      <c r="I1030" s="93" t="s">
        <v>79</v>
      </c>
      <c r="J1030" s="162">
        <v>557763581</v>
      </c>
      <c r="K1030" s="94">
        <v>46302</v>
      </c>
      <c r="L1030" s="93" t="s">
        <v>81</v>
      </c>
      <c r="M1030" s="94">
        <v>46304</v>
      </c>
      <c r="N1030" s="132">
        <v>46304</v>
      </c>
      <c r="O1030" s="216">
        <f t="shared" si="58"/>
        <v>2</v>
      </c>
      <c r="P1030" s="101" t="s">
        <v>81</v>
      </c>
      <c r="Q1030" s="114" t="s">
        <v>79</v>
      </c>
      <c r="R1030" s="114"/>
      <c r="S1030" s="212">
        <v>676</v>
      </c>
      <c r="T1030" s="114" t="s">
        <v>3484</v>
      </c>
      <c r="U1030" s="212">
        <v>1</v>
      </c>
      <c r="V1030" s="212">
        <v>28</v>
      </c>
      <c r="W1030" s="212">
        <v>290</v>
      </c>
      <c r="X1030" s="114" t="s">
        <v>84</v>
      </c>
      <c r="Y1030" s="124" t="s">
        <v>85</v>
      </c>
      <c r="Z1030" s="175" t="s">
        <v>86</v>
      </c>
      <c r="AA1030" s="114" t="s">
        <v>87</v>
      </c>
      <c r="AB1030" s="213">
        <v>277.83</v>
      </c>
      <c r="AC1030" s="283">
        <f>IF(C1030="DENALI", AB1030*0.495, IF(C1030="SCHNEIDER ELECTRIC", AB1030*1.136, IF(C1030="WWT", AB1030*1.2, AC1030)))+AB1030</f>
        <v>415.35584999999998</v>
      </c>
      <c r="AD1030" s="284">
        <f t="shared" si="59"/>
        <v>137.52584999999999</v>
      </c>
      <c r="AE1030" s="213">
        <v>9703.68</v>
      </c>
      <c r="AF1030" s="295">
        <f t="shared" si="55"/>
        <v>277.83</v>
      </c>
      <c r="AG1030" s="289">
        <f t="shared" si="56"/>
        <v>9.9224999999999994</v>
      </c>
      <c r="AH1030" s="247">
        <f t="shared" si="57"/>
        <v>0.410991124260355</v>
      </c>
      <c r="AI1030" s="124">
        <v>1290</v>
      </c>
      <c r="AJ1030" s="124" t="s">
        <v>349</v>
      </c>
      <c r="AK1030"/>
      <c r="AM1030" s="80"/>
    </row>
    <row r="1031" spans="1:39" ht="28.5" customHeight="1">
      <c r="A1031" s="113" t="s">
        <v>73</v>
      </c>
      <c r="B1031" s="167" t="s">
        <v>74</v>
      </c>
      <c r="C1031" s="148" t="s">
        <v>227</v>
      </c>
      <c r="D1031" s="76" t="s">
        <v>228</v>
      </c>
      <c r="E1031" s="76" t="s">
        <v>141</v>
      </c>
      <c r="F1031" s="76" t="s">
        <v>142</v>
      </c>
      <c r="G1031" s="76" t="s">
        <v>3485</v>
      </c>
      <c r="H1031" s="90">
        <v>46310</v>
      </c>
      <c r="I1031" s="82" t="s">
        <v>79</v>
      </c>
      <c r="J1031" s="151">
        <v>37410852</v>
      </c>
      <c r="K1031" s="90">
        <v>46302</v>
      </c>
      <c r="L1031" s="82" t="s">
        <v>79</v>
      </c>
      <c r="M1031" s="90">
        <v>46303</v>
      </c>
      <c r="N1031" s="131">
        <v>46307</v>
      </c>
      <c r="O1031" s="314">
        <f>NETWORKDAYS.INTL(K1031,N1031,1,$AM$2:$AM$10)-1</f>
        <v>3</v>
      </c>
      <c r="P1031" s="101" t="s">
        <v>81</v>
      </c>
      <c r="Q1031" s="114" t="s">
        <v>79</v>
      </c>
      <c r="R1031" s="114"/>
      <c r="S1031" s="212">
        <v>327</v>
      </c>
      <c r="T1031" s="114" t="s">
        <v>3486</v>
      </c>
      <c r="U1031" s="212">
        <v>2</v>
      </c>
      <c r="V1031" s="212">
        <v>60</v>
      </c>
      <c r="W1031" s="212">
        <v>919</v>
      </c>
      <c r="X1031" s="114" t="s">
        <v>84</v>
      </c>
      <c r="Y1031" s="124" t="s">
        <v>85</v>
      </c>
      <c r="Z1031" s="115" t="s">
        <v>2723</v>
      </c>
      <c r="AA1031" s="114" t="s">
        <v>87</v>
      </c>
      <c r="AB1031" s="213">
        <v>282.60000000000002</v>
      </c>
      <c r="AC1031" s="283">
        <f>IF(C1031="DENALI", AB1031*0.495, IF(C1031="SCHNEIDER ELECTRIC", AB1031*1.136, IF(C1031="WWT", AB1031*1.2, AC1031)))+AB1031</f>
        <v>621.72</v>
      </c>
      <c r="AD1031" s="284">
        <f t="shared" ref="AD1031:AD1033" si="60">AC1031-AB1031</f>
        <v>339.12</v>
      </c>
      <c r="AE1031" s="213">
        <v>125700</v>
      </c>
      <c r="AF1031" s="295">
        <f t="shared" si="55"/>
        <v>141.30000000000001</v>
      </c>
      <c r="AG1031" s="289">
        <f t="shared" si="56"/>
        <v>4.71</v>
      </c>
      <c r="AH1031" s="247">
        <f t="shared" si="57"/>
        <v>0.86422018348623864</v>
      </c>
      <c r="AI1031" s="124">
        <v>1290</v>
      </c>
      <c r="AJ1031" s="124" t="s">
        <v>349</v>
      </c>
      <c r="AK1031"/>
      <c r="AM1031" s="80"/>
    </row>
    <row r="1032" spans="1:39" ht="28.5" customHeight="1">
      <c r="A1032" s="113" t="s">
        <v>73</v>
      </c>
      <c r="B1032" s="167" t="s">
        <v>74</v>
      </c>
      <c r="C1032" s="148" t="s">
        <v>227</v>
      </c>
      <c r="D1032" s="76" t="s">
        <v>228</v>
      </c>
      <c r="E1032" s="76" t="s">
        <v>3452</v>
      </c>
      <c r="F1032" s="76" t="s">
        <v>207</v>
      </c>
      <c r="G1032" s="76" t="s">
        <v>3487</v>
      </c>
      <c r="H1032" s="90">
        <v>46310</v>
      </c>
      <c r="I1032" s="82" t="s">
        <v>79</v>
      </c>
      <c r="J1032" s="151">
        <v>37410853</v>
      </c>
      <c r="K1032" s="90">
        <v>46302</v>
      </c>
      <c r="L1032" s="82" t="s">
        <v>81</v>
      </c>
      <c r="M1032" s="90">
        <v>46303</v>
      </c>
      <c r="N1032" s="131">
        <v>46303</v>
      </c>
      <c r="O1032" s="314">
        <f t="shared" ref="O1032:O1033" si="61">NETWORKDAYS.INTL(K1032,N1032,1,$AM$2:$AM$10)-1</f>
        <v>1</v>
      </c>
      <c r="P1032" s="101" t="s">
        <v>81</v>
      </c>
      <c r="Q1032" s="114" t="s">
        <v>79</v>
      </c>
      <c r="R1032" s="114"/>
      <c r="S1032" s="212">
        <v>405</v>
      </c>
      <c r="T1032" s="114" t="s">
        <v>3488</v>
      </c>
      <c r="U1032" s="212">
        <v>1</v>
      </c>
      <c r="V1032" s="212">
        <v>45</v>
      </c>
      <c r="W1032" s="212">
        <v>187</v>
      </c>
      <c r="X1032" s="114" t="s">
        <v>84</v>
      </c>
      <c r="Y1032" s="124" t="s">
        <v>85</v>
      </c>
      <c r="Z1032" s="115" t="s">
        <v>2723</v>
      </c>
      <c r="AA1032" s="114" t="s">
        <v>87</v>
      </c>
      <c r="AB1032" s="213">
        <v>202.85</v>
      </c>
      <c r="AC1032" s="283">
        <f>IF(C1032="DENALI", AB1032*0.495, IF(C1032="SCHNEIDER ELECTRIC", AB1032*1.136, IF(C1032="WWT", AB1032*1.2, AC1032)))+AB1032</f>
        <v>446.27</v>
      </c>
      <c r="AD1032" s="284">
        <f t="shared" si="60"/>
        <v>243.42</v>
      </c>
      <c r="AE1032" s="213">
        <v>4460.8</v>
      </c>
      <c r="AF1032" s="295">
        <f t="shared" si="55"/>
        <v>202.85</v>
      </c>
      <c r="AG1032" s="289">
        <f t="shared" si="56"/>
        <v>4.5077777777777772</v>
      </c>
      <c r="AH1032" s="247">
        <f t="shared" si="57"/>
        <v>0.5008641975308642</v>
      </c>
      <c r="AI1032" s="124">
        <v>1084</v>
      </c>
      <c r="AJ1032" s="124" t="s">
        <v>349</v>
      </c>
      <c r="AK1032"/>
      <c r="AM1032" s="80"/>
    </row>
    <row r="1033" spans="1:39" ht="28.5" customHeight="1">
      <c r="A1033" s="113" t="s">
        <v>73</v>
      </c>
      <c r="B1033" s="167" t="s">
        <v>74</v>
      </c>
      <c r="C1033" s="148" t="s">
        <v>227</v>
      </c>
      <c r="D1033" s="76" t="s">
        <v>228</v>
      </c>
      <c r="E1033" s="76" t="s">
        <v>1885</v>
      </c>
      <c r="F1033" s="76" t="s">
        <v>77</v>
      </c>
      <c r="G1033" s="76" t="s">
        <v>3489</v>
      </c>
      <c r="H1033" s="90">
        <v>46311</v>
      </c>
      <c r="I1033" s="82" t="s">
        <v>79</v>
      </c>
      <c r="J1033" s="151">
        <v>82262048</v>
      </c>
      <c r="K1033" s="90">
        <v>46303</v>
      </c>
      <c r="L1033" s="82" t="s">
        <v>81</v>
      </c>
      <c r="M1033" s="90">
        <v>46307</v>
      </c>
      <c r="N1033" s="131">
        <v>46304</v>
      </c>
      <c r="O1033" s="314">
        <f t="shared" si="61"/>
        <v>1</v>
      </c>
      <c r="P1033" s="101" t="s">
        <v>81</v>
      </c>
      <c r="Q1033" s="114" t="s">
        <v>79</v>
      </c>
      <c r="R1033" s="114"/>
      <c r="S1033" s="212">
        <v>937</v>
      </c>
      <c r="T1033" s="114" t="s">
        <v>3490</v>
      </c>
      <c r="U1033" s="212">
        <v>1</v>
      </c>
      <c r="V1033" s="212">
        <v>275</v>
      </c>
      <c r="W1033" s="212">
        <v>253</v>
      </c>
      <c r="X1033" s="114" t="s">
        <v>84</v>
      </c>
      <c r="Y1033" s="124" t="s">
        <v>85</v>
      </c>
      <c r="Z1033" s="115" t="s">
        <v>3491</v>
      </c>
      <c r="AA1033" s="114" t="s">
        <v>87</v>
      </c>
      <c r="AB1033" s="213">
        <v>337.79</v>
      </c>
      <c r="AC1033" s="283">
        <f>IF(C1033="DENALI", AB1033*0.495, IF(C1033="SCHNEIDER ELECTRIC", AB1033*1.136, IF(C1033="WWT", AB1033*1.2, AC1033)))+AB1033</f>
        <v>743.13800000000003</v>
      </c>
      <c r="AD1033" s="284">
        <f t="shared" si="60"/>
        <v>405.34800000000001</v>
      </c>
      <c r="AE1033" s="213">
        <v>57258.400000000001</v>
      </c>
      <c r="AF1033" s="295">
        <f t="shared" si="55"/>
        <v>337.79</v>
      </c>
      <c r="AG1033" s="289">
        <f t="shared" si="56"/>
        <v>1.2283272727272727</v>
      </c>
      <c r="AH1033" s="247">
        <f t="shared" si="57"/>
        <v>0.36050160085378868</v>
      </c>
      <c r="AI1033" s="124">
        <v>1060</v>
      </c>
      <c r="AJ1033" s="124" t="s">
        <v>349</v>
      </c>
      <c r="AK1033"/>
      <c r="AM1033" s="80"/>
    </row>
    <row r="1034" spans="1:39" ht="28.5" customHeight="1">
      <c r="A1034" s="113" t="s">
        <v>73</v>
      </c>
      <c r="B1034" s="167" t="s">
        <v>74</v>
      </c>
      <c r="C1034" s="148" t="s">
        <v>35</v>
      </c>
      <c r="D1034" s="76" t="s">
        <v>99</v>
      </c>
      <c r="E1034" s="76" t="s">
        <v>1460</v>
      </c>
      <c r="F1034" s="76" t="s">
        <v>585</v>
      </c>
      <c r="G1034" s="77" t="s">
        <v>3492</v>
      </c>
      <c r="H1034" s="94">
        <v>46311</v>
      </c>
      <c r="I1034" s="93" t="s">
        <v>79</v>
      </c>
      <c r="J1034" s="162">
        <v>557770124</v>
      </c>
      <c r="K1034" s="94">
        <v>46303</v>
      </c>
      <c r="L1034" s="93" t="s">
        <v>81</v>
      </c>
      <c r="M1034" s="94">
        <v>46308</v>
      </c>
      <c r="N1034" s="132">
        <v>46308</v>
      </c>
      <c r="O1034" s="314">
        <f>NETWORKDAYS.INTL(K1034,N1034,1,$AM$2:$AM$10)-1</f>
        <v>3</v>
      </c>
      <c r="P1034" s="101" t="s">
        <v>81</v>
      </c>
      <c r="Q1034" s="114" t="s">
        <v>79</v>
      </c>
      <c r="R1034" s="114"/>
      <c r="S1034" s="212">
        <v>1553</v>
      </c>
      <c r="T1034" s="114" t="s">
        <v>3493</v>
      </c>
      <c r="U1034" s="212">
        <v>3</v>
      </c>
      <c r="V1034" s="212">
        <v>60</v>
      </c>
      <c r="W1034" s="212">
        <v>1410</v>
      </c>
      <c r="X1034" s="114" t="s">
        <v>84</v>
      </c>
      <c r="Y1034" s="124" t="s">
        <v>85</v>
      </c>
      <c r="Z1034" s="115" t="s">
        <v>86</v>
      </c>
      <c r="AA1034" s="114" t="s">
        <v>87</v>
      </c>
      <c r="AB1034" s="213">
        <v>755.15</v>
      </c>
      <c r="AC1034" s="283">
        <f>IF(C1034="DENALI", AB1034*0.495, IF(C1034="SCHNEIDER ELECTRIC", AB1034*1.136, IF(C1034="WWT", AB1034*1.2, AC1034)))+AB1034</f>
        <v>1128.9492499999999</v>
      </c>
      <c r="AD1034" s="284">
        <f>AC1034-AB1034</f>
        <v>373.79924999999992</v>
      </c>
      <c r="AE1034" s="213">
        <v>152034</v>
      </c>
      <c r="AF1034" s="295">
        <f t="shared" si="55"/>
        <v>251.71666666666667</v>
      </c>
      <c r="AG1034" s="289">
        <f t="shared" si="56"/>
        <v>12.585833333333333</v>
      </c>
      <c r="AH1034" s="247">
        <f t="shared" si="57"/>
        <v>0.48625241468126207</v>
      </c>
      <c r="AI1034" s="124">
        <v>1060</v>
      </c>
      <c r="AJ1034" s="124" t="s">
        <v>343</v>
      </c>
      <c r="AK1034"/>
      <c r="AM1034" s="80"/>
    </row>
    <row r="1035" spans="1:39" ht="28.5" customHeight="1">
      <c r="A1035" s="113" t="s">
        <v>73</v>
      </c>
      <c r="B1035" s="167" t="s">
        <v>74</v>
      </c>
      <c r="C1035" s="148" t="s">
        <v>35</v>
      </c>
      <c r="D1035" s="76" t="s">
        <v>218</v>
      </c>
      <c r="E1035" s="76" t="s">
        <v>3494</v>
      </c>
      <c r="F1035" s="96" t="s">
        <v>90</v>
      </c>
      <c r="G1035" s="76" t="s">
        <v>3495</v>
      </c>
      <c r="H1035" s="90">
        <v>46314</v>
      </c>
      <c r="I1035" s="82" t="s">
        <v>79</v>
      </c>
      <c r="J1035" s="151">
        <v>557769483</v>
      </c>
      <c r="K1035" s="90">
        <v>46304</v>
      </c>
      <c r="L1035" s="82" t="s">
        <v>81</v>
      </c>
      <c r="M1035" s="90">
        <v>46310</v>
      </c>
      <c r="N1035" s="131">
        <v>46309</v>
      </c>
      <c r="O1035" s="314">
        <f>NETWORKDAYS.INTL(K1035,N1035,1,$AM$2:$AM$10)-1</f>
        <v>3</v>
      </c>
      <c r="P1035" s="114" t="s">
        <v>81</v>
      </c>
      <c r="Q1035" s="114" t="s">
        <v>79</v>
      </c>
      <c r="R1035" s="114"/>
      <c r="S1035" s="212">
        <v>2245</v>
      </c>
      <c r="T1035" s="114" t="s">
        <v>2930</v>
      </c>
      <c r="U1035" s="212">
        <v>1</v>
      </c>
      <c r="V1035" s="212">
        <v>121</v>
      </c>
      <c r="W1035" s="212">
        <v>370</v>
      </c>
      <c r="X1035" s="114" t="s">
        <v>84</v>
      </c>
      <c r="Y1035" s="124" t="s">
        <v>85</v>
      </c>
      <c r="Z1035" s="115" t="s">
        <v>86</v>
      </c>
      <c r="AA1035" s="114" t="s">
        <v>87</v>
      </c>
      <c r="AB1035" s="213">
        <v>448.84</v>
      </c>
      <c r="AC1035" s="283">
        <f>IF(C1035="DENALI", AB1035*0.495, IF(C1035="SCHNEIDER ELECTRIC", AB1035*1.136, IF(C1035="WWT", AB1035*1.2, AC1035)))+AB1035</f>
        <v>671.0157999999999</v>
      </c>
      <c r="AD1035" s="284">
        <f t="shared" ref="AD1035:AD1039" si="62">AC1035-AB1035</f>
        <v>222.17579999999992</v>
      </c>
      <c r="AE1035" s="213">
        <v>13694.88</v>
      </c>
      <c r="AF1035" s="295">
        <f t="shared" si="55"/>
        <v>448.84</v>
      </c>
      <c r="AG1035" s="289">
        <f t="shared" si="56"/>
        <v>3.7094214876033056</v>
      </c>
      <c r="AH1035" s="247">
        <f t="shared" si="57"/>
        <v>0.19992873051224944</v>
      </c>
      <c r="AI1035" s="124">
        <v>1289</v>
      </c>
      <c r="AJ1035" s="124" t="s">
        <v>349</v>
      </c>
      <c r="AK1035"/>
      <c r="AM1035" s="80"/>
    </row>
    <row r="1036" spans="1:39" ht="28.5" customHeight="1">
      <c r="A1036" s="113" t="s">
        <v>73</v>
      </c>
      <c r="B1036" s="167" t="s">
        <v>74</v>
      </c>
      <c r="C1036" s="148" t="s">
        <v>35</v>
      </c>
      <c r="D1036" s="76" t="s">
        <v>218</v>
      </c>
      <c r="E1036" s="76" t="s">
        <v>3496</v>
      </c>
      <c r="F1036" s="96" t="s">
        <v>99</v>
      </c>
      <c r="G1036" s="76" t="s">
        <v>3497</v>
      </c>
      <c r="H1036" s="90">
        <v>46314</v>
      </c>
      <c r="I1036" s="82" t="s">
        <v>79</v>
      </c>
      <c r="J1036" s="151">
        <v>557770161</v>
      </c>
      <c r="K1036" s="90">
        <v>46304</v>
      </c>
      <c r="L1036" s="82" t="s">
        <v>81</v>
      </c>
      <c r="M1036" s="90">
        <v>46310</v>
      </c>
      <c r="N1036" s="131">
        <v>46309</v>
      </c>
      <c r="O1036" s="314">
        <f>NETWORKDAYS.INTL(K1036,N1036,1,$AM$2:$AM$10)-1</f>
        <v>3</v>
      </c>
      <c r="P1036" s="114" t="s">
        <v>81</v>
      </c>
      <c r="Q1036" s="114" t="s">
        <v>79</v>
      </c>
      <c r="R1036" s="114"/>
      <c r="S1036" s="212">
        <v>2229</v>
      </c>
      <c r="T1036" s="114" t="s">
        <v>3498</v>
      </c>
      <c r="U1036" s="212">
        <v>1</v>
      </c>
      <c r="V1036" s="212">
        <v>100000</v>
      </c>
      <c r="W1036" s="212">
        <v>1400</v>
      </c>
      <c r="X1036" s="114" t="s">
        <v>84</v>
      </c>
      <c r="Y1036" s="124" t="s">
        <v>85</v>
      </c>
      <c r="Z1036" s="115" t="s">
        <v>86</v>
      </c>
      <c r="AA1036" s="114" t="s">
        <v>87</v>
      </c>
      <c r="AB1036" s="213">
        <v>653.91999999999996</v>
      </c>
      <c r="AC1036" s="283">
        <f>IF(C1036="DENALI", AB1036*0.495, IF(C1036="SCHNEIDER ELECTRIC", AB1036*1.136, IF(C1036="WWT", AB1036*1.2, AC1036)))+AB1036</f>
        <v>977.61039999999991</v>
      </c>
      <c r="AD1036" s="284">
        <f t="shared" si="62"/>
        <v>323.69039999999995</v>
      </c>
      <c r="AE1036" s="213">
        <v>205279</v>
      </c>
      <c r="AF1036" s="295">
        <f t="shared" si="55"/>
        <v>653.91999999999996</v>
      </c>
      <c r="AG1036" s="289">
        <f t="shared" si="56"/>
        <v>6.5391999999999994E-3</v>
      </c>
      <c r="AH1036" s="247">
        <f t="shared" si="57"/>
        <v>0.29336922386720499</v>
      </c>
      <c r="AI1036" s="124">
        <v>8143</v>
      </c>
      <c r="AJ1036" s="124" t="s">
        <v>349</v>
      </c>
      <c r="AK1036"/>
      <c r="AM1036" s="80"/>
    </row>
    <row r="1037" spans="1:39" ht="28.5" customHeight="1">
      <c r="A1037" s="113" t="s">
        <v>73</v>
      </c>
      <c r="B1037" s="167" t="s">
        <v>74</v>
      </c>
      <c r="C1037" s="148" t="s">
        <v>35</v>
      </c>
      <c r="D1037" s="76" t="s">
        <v>218</v>
      </c>
      <c r="E1037" s="76" t="s">
        <v>1876</v>
      </c>
      <c r="F1037" s="96" t="s">
        <v>228</v>
      </c>
      <c r="G1037" s="76" t="s">
        <v>3499</v>
      </c>
      <c r="H1037" s="90">
        <v>46314</v>
      </c>
      <c r="I1037" s="82" t="s">
        <v>79</v>
      </c>
      <c r="J1037" s="151">
        <v>5057003047</v>
      </c>
      <c r="K1037" s="90">
        <v>46304</v>
      </c>
      <c r="L1037" s="82" t="s">
        <v>81</v>
      </c>
      <c r="M1037" s="90">
        <v>46308</v>
      </c>
      <c r="N1037" s="131">
        <v>46308</v>
      </c>
      <c r="O1037" s="314">
        <f>NETWORKDAYS.INTL(K1037,N1037,1,$AM$2:$AM$10)-1</f>
        <v>2</v>
      </c>
      <c r="P1037" s="114" t="s">
        <v>81</v>
      </c>
      <c r="Q1037" s="114" t="s">
        <v>79</v>
      </c>
      <c r="R1037" s="114"/>
      <c r="S1037" s="212">
        <v>380</v>
      </c>
      <c r="T1037" s="114" t="s">
        <v>3500</v>
      </c>
      <c r="U1037" s="212">
        <v>1</v>
      </c>
      <c r="V1037" s="212">
        <v>1963</v>
      </c>
      <c r="W1037" s="212">
        <v>1515</v>
      </c>
      <c r="X1037" s="114" t="s">
        <v>84</v>
      </c>
      <c r="Y1037" s="124" t="s">
        <v>85</v>
      </c>
      <c r="Z1037" s="115" t="s">
        <v>3031</v>
      </c>
      <c r="AA1037" s="114" t="s">
        <v>87</v>
      </c>
      <c r="AB1037" s="213">
        <v>238.98</v>
      </c>
      <c r="AC1037" s="283">
        <f>IF(C1037="DENALI", AB1037*0.495, IF(C1037="SCHNEIDER ELECTRIC", AB1037*1.136, IF(C1037="WWT", AB1037*1.2, AC1037)))+AB1037</f>
        <v>357.27509999999995</v>
      </c>
      <c r="AD1037" s="284">
        <f t="shared" si="62"/>
        <v>118.29509999999996</v>
      </c>
      <c r="AE1037" s="213">
        <v>367669.9</v>
      </c>
      <c r="AF1037" s="295">
        <f t="shared" si="55"/>
        <v>238.98</v>
      </c>
      <c r="AG1037" s="289">
        <f t="shared" si="56"/>
        <v>0.12174223127865512</v>
      </c>
      <c r="AH1037" s="247">
        <f t="shared" si="57"/>
        <v>0.62889473684210528</v>
      </c>
      <c r="AI1037" s="124">
        <v>1173</v>
      </c>
      <c r="AJ1037" s="124" t="s">
        <v>107</v>
      </c>
      <c r="AK1037"/>
      <c r="AM1037" s="80"/>
    </row>
    <row r="1038" spans="1:39" ht="28.5" customHeight="1">
      <c r="A1038" s="113" t="s">
        <v>73</v>
      </c>
      <c r="B1038" s="167" t="s">
        <v>74</v>
      </c>
      <c r="C1038" s="148" t="s">
        <v>35</v>
      </c>
      <c r="D1038" s="76" t="s">
        <v>218</v>
      </c>
      <c r="E1038" s="76" t="s">
        <v>141</v>
      </c>
      <c r="F1038" s="96" t="s">
        <v>142</v>
      </c>
      <c r="G1038" s="76">
        <v>24360599</v>
      </c>
      <c r="H1038" s="90">
        <v>46314</v>
      </c>
      <c r="I1038" s="82" t="s">
        <v>79</v>
      </c>
      <c r="J1038" s="151">
        <v>24360599</v>
      </c>
      <c r="K1038" s="90">
        <v>46307</v>
      </c>
      <c r="L1038" s="82" t="s">
        <v>81</v>
      </c>
      <c r="M1038" s="90">
        <v>46308</v>
      </c>
      <c r="N1038" s="131">
        <v>46308</v>
      </c>
      <c r="O1038" s="314">
        <f>NETWORKDAYS.INTL(K1038,N1038,1,$AM$2:$AM$10)-1</f>
        <v>1</v>
      </c>
      <c r="P1038" s="114" t="s">
        <v>81</v>
      </c>
      <c r="Q1038" s="114" t="s">
        <v>79</v>
      </c>
      <c r="R1038" s="114"/>
      <c r="S1038" s="212">
        <v>441</v>
      </c>
      <c r="T1038" s="114" t="s">
        <v>3501</v>
      </c>
      <c r="U1038" s="212">
        <v>8</v>
      </c>
      <c r="V1038" s="212">
        <v>116</v>
      </c>
      <c r="W1038" s="212">
        <v>2530</v>
      </c>
      <c r="X1038" s="114" t="s">
        <v>113</v>
      </c>
      <c r="Y1038" s="124" t="s">
        <v>85</v>
      </c>
      <c r="Z1038" s="115" t="s">
        <v>3502</v>
      </c>
      <c r="AA1038" s="114" t="s">
        <v>87</v>
      </c>
      <c r="AB1038" s="213">
        <v>2359.84</v>
      </c>
      <c r="AC1038" s="283">
        <f>IF(C1038="DENALI", AB1038*0.495, IF(C1038="SCHNEIDER ELECTRIC", AB1038*1.136, IF(C1038="WWT", AB1038*1.2, AC1038)))+AB1038</f>
        <v>3527.9608000000003</v>
      </c>
      <c r="AD1038" s="284">
        <f t="shared" si="62"/>
        <v>1168.1208000000001</v>
      </c>
      <c r="AE1038" s="213">
        <v>11509.11</v>
      </c>
      <c r="AF1038" s="295">
        <f t="shared" si="55"/>
        <v>294.98</v>
      </c>
      <c r="AG1038" s="289">
        <f t="shared" si="56"/>
        <v>20.34344827586207</v>
      </c>
      <c r="AH1038" s="247">
        <f t="shared" si="57"/>
        <v>5.3511111111111118</v>
      </c>
      <c r="AI1038" s="124">
        <v>1084</v>
      </c>
      <c r="AJ1038" s="124" t="s">
        <v>379</v>
      </c>
      <c r="AK1038"/>
      <c r="AM1038" s="80"/>
    </row>
    <row r="1039" spans="1:39" ht="28.5" customHeight="1">
      <c r="A1039" s="113" t="s">
        <v>73</v>
      </c>
      <c r="B1039" s="167" t="s">
        <v>74</v>
      </c>
      <c r="C1039" s="148" t="s">
        <v>35</v>
      </c>
      <c r="D1039" s="76" t="s">
        <v>218</v>
      </c>
      <c r="E1039" s="76" t="s">
        <v>3503</v>
      </c>
      <c r="F1039" s="113" t="s">
        <v>1321</v>
      </c>
      <c r="G1039" s="76" t="s">
        <v>3504</v>
      </c>
      <c r="H1039" s="90">
        <v>46314</v>
      </c>
      <c r="I1039" s="82" t="s">
        <v>79</v>
      </c>
      <c r="J1039" s="151">
        <v>312684120</v>
      </c>
      <c r="K1039" s="90">
        <v>46304</v>
      </c>
      <c r="L1039" s="82" t="s">
        <v>81</v>
      </c>
      <c r="M1039" s="90">
        <v>46309</v>
      </c>
      <c r="N1039" s="131"/>
      <c r="O1039" s="314">
        <f>NETWORKDAYS.INTL(K1039,N1039,1,$AM$2:$AM$10)-1</f>
        <v>-33071</v>
      </c>
      <c r="P1039" s="114"/>
      <c r="Q1039" s="114"/>
      <c r="R1039" s="114" t="s">
        <v>3505</v>
      </c>
      <c r="S1039" s="212">
        <v>1870</v>
      </c>
      <c r="T1039" s="114" t="s">
        <v>3506</v>
      </c>
      <c r="U1039" s="212">
        <v>1</v>
      </c>
      <c r="V1039" s="212">
        <v>9</v>
      </c>
      <c r="W1039" s="212">
        <v>500</v>
      </c>
      <c r="X1039" s="114" t="s">
        <v>84</v>
      </c>
      <c r="Y1039" s="124" t="s">
        <v>85</v>
      </c>
      <c r="Z1039" s="115" t="s">
        <v>2585</v>
      </c>
      <c r="AA1039" s="114" t="s">
        <v>87</v>
      </c>
      <c r="AB1039" s="213">
        <v>546.12</v>
      </c>
      <c r="AC1039" s="283">
        <f>IF(C1039="DENALI", AB1039*0.495, IF(C1039="SCHNEIDER ELECTRIC", AB1039*1.136, IF(C1039="WWT", AB1039*1.2, AC1039)))+AB1039</f>
        <v>816.44939999999997</v>
      </c>
      <c r="AD1039" s="284">
        <f t="shared" si="62"/>
        <v>270.32939999999996</v>
      </c>
      <c r="AE1039" s="213">
        <v>11509.11</v>
      </c>
      <c r="AF1039" s="295">
        <f t="shared" si="55"/>
        <v>546.12</v>
      </c>
      <c r="AG1039" s="289">
        <f t="shared" si="56"/>
        <v>60.68</v>
      </c>
      <c r="AH1039" s="247">
        <f t="shared" si="57"/>
        <v>0.29204278074866308</v>
      </c>
      <c r="AI1039" s="124">
        <v>1290</v>
      </c>
      <c r="AJ1039" s="124" t="s">
        <v>349</v>
      </c>
      <c r="AK1039"/>
      <c r="AM1039" s="80"/>
    </row>
    <row r="1040" spans="1:39" ht="28.5" customHeight="1">
      <c r="A1040" s="113" t="s">
        <v>73</v>
      </c>
      <c r="B1040" s="167" t="s">
        <v>74</v>
      </c>
      <c r="C1040" s="148" t="s">
        <v>35</v>
      </c>
      <c r="D1040" s="76" t="s">
        <v>218</v>
      </c>
      <c r="E1040" s="76" t="s">
        <v>1268</v>
      </c>
      <c r="F1040" s="96" t="s">
        <v>75</v>
      </c>
      <c r="G1040" s="76">
        <v>24366482</v>
      </c>
      <c r="H1040" s="90">
        <v>46314</v>
      </c>
      <c r="I1040" s="82" t="s">
        <v>79</v>
      </c>
      <c r="J1040" s="151">
        <v>24366482</v>
      </c>
      <c r="K1040" s="90">
        <v>46304</v>
      </c>
      <c r="L1040" s="82" t="s">
        <v>81</v>
      </c>
      <c r="M1040" s="90">
        <v>46307</v>
      </c>
      <c r="N1040" s="131">
        <v>46307</v>
      </c>
      <c r="O1040" s="314">
        <f>NETWORKDAYS.INTL(K1040,N1040,1,$AM$2:$AM$10)-1</f>
        <v>1</v>
      </c>
      <c r="P1040" s="114" t="s">
        <v>81</v>
      </c>
      <c r="Q1040" s="114" t="s">
        <v>79</v>
      </c>
      <c r="R1040" s="114"/>
      <c r="S1040" s="212">
        <v>575</v>
      </c>
      <c r="T1040" s="114" t="s">
        <v>3507</v>
      </c>
      <c r="U1040" s="212">
        <v>15</v>
      </c>
      <c r="V1040" s="212">
        <v>13710</v>
      </c>
      <c r="W1040" s="212">
        <v>10950</v>
      </c>
      <c r="X1040" s="114" t="s">
        <v>113</v>
      </c>
      <c r="Y1040" s="124" t="s">
        <v>85</v>
      </c>
      <c r="Z1040" s="115" t="s">
        <v>3508</v>
      </c>
      <c r="AA1040" s="114" t="s">
        <v>87</v>
      </c>
      <c r="AB1040" s="213">
        <v>3286.71</v>
      </c>
      <c r="AC1040" s="283">
        <f>IF(C1040="DENALI", AB1040*0.495, IF(C1040="SCHNEIDER ELECTRIC", AB1040*1.136, IF(C1040="WWT", AB1040*1.2, AC1040)))+AB1040</f>
        <v>4913.6314499999999</v>
      </c>
      <c r="AD1040" s="284">
        <f t="shared" ref="AD1040" si="63">AC1040-AB1040</f>
        <v>1626.9214499999998</v>
      </c>
      <c r="AE1040" s="213">
        <v>785107.7</v>
      </c>
      <c r="AF1040" s="295">
        <f t="shared" si="55"/>
        <v>219.114</v>
      </c>
      <c r="AG1040" s="289">
        <f t="shared" si="56"/>
        <v>0.2397308533916849</v>
      </c>
      <c r="AH1040" s="247">
        <f t="shared" si="57"/>
        <v>5.7160173913043479</v>
      </c>
      <c r="AI1040" s="124">
        <v>1290</v>
      </c>
      <c r="AJ1040" s="124" t="s">
        <v>349</v>
      </c>
      <c r="AK1040"/>
      <c r="AM1040" s="80"/>
    </row>
    <row r="1041" spans="1:39" ht="28.5" customHeight="1">
      <c r="A1041" s="113" t="s">
        <v>73</v>
      </c>
      <c r="B1041" s="167" t="s">
        <v>74</v>
      </c>
      <c r="C1041" s="113" t="s">
        <v>36</v>
      </c>
      <c r="D1041" s="124" t="s">
        <v>75</v>
      </c>
      <c r="E1041" s="124" t="s">
        <v>141</v>
      </c>
      <c r="F1041" s="260" t="s">
        <v>142</v>
      </c>
      <c r="G1041" s="76" t="s">
        <v>3509</v>
      </c>
      <c r="H1041" s="90">
        <v>46315</v>
      </c>
      <c r="I1041" s="82" t="s">
        <v>79</v>
      </c>
      <c r="J1041" s="162">
        <v>557773215</v>
      </c>
      <c r="K1041" s="90">
        <v>46307</v>
      </c>
      <c r="L1041" s="82" t="s">
        <v>81</v>
      </c>
      <c r="M1041" s="90">
        <v>46309</v>
      </c>
      <c r="N1041" s="131">
        <v>46314</v>
      </c>
      <c r="O1041" s="314">
        <f>NETWORKDAYS.INTL(K1041,N1041,1,$AM$2:$AM$10)-1</f>
        <v>5</v>
      </c>
      <c r="P1041" s="114" t="s">
        <v>81</v>
      </c>
      <c r="Q1041" s="114" t="s">
        <v>79</v>
      </c>
      <c r="R1041" s="114"/>
      <c r="S1041" s="212">
        <v>721</v>
      </c>
      <c r="T1041" s="114" t="s">
        <v>3510</v>
      </c>
      <c r="U1041" s="212">
        <v>3</v>
      </c>
      <c r="V1041" s="212">
        <v>3</v>
      </c>
      <c r="W1041" s="212">
        <v>1722</v>
      </c>
      <c r="X1041" s="114" t="s">
        <v>84</v>
      </c>
      <c r="Y1041" s="124" t="s">
        <v>85</v>
      </c>
      <c r="Z1041" s="115" t="s">
        <v>86</v>
      </c>
      <c r="AA1041" s="114" t="s">
        <v>87</v>
      </c>
      <c r="AB1041" s="213">
        <v>915.12</v>
      </c>
      <c r="AC1041" s="283">
        <f>IF(C1041="DENALI", AB1041*0.495, IF(C1041="SCHNEIDER ELECTRIC", AB1041*1.136, IF(C1041="WWT", AB1041*1.2, AC1041)))+AB1041</f>
        <v>1954.69632</v>
      </c>
      <c r="AD1041" s="284">
        <f t="shared" ref="AD1041" si="64">AC1041-AB1041</f>
        <v>1039.5763200000001</v>
      </c>
      <c r="AE1041" s="213">
        <v>11417.94</v>
      </c>
      <c r="AF1041" s="295">
        <f t="shared" si="55"/>
        <v>305.04000000000002</v>
      </c>
      <c r="AG1041" s="289">
        <f t="shared" si="56"/>
        <v>305.04000000000002</v>
      </c>
      <c r="AH1041" s="247">
        <f t="shared" si="57"/>
        <v>1.2692371705963938</v>
      </c>
      <c r="AI1041" s="124">
        <v>1290</v>
      </c>
      <c r="AJ1041" s="124" t="s">
        <v>349</v>
      </c>
      <c r="AK1041"/>
      <c r="AM1041" s="80"/>
    </row>
    <row r="1042" spans="1:39" ht="28.5" customHeight="1">
      <c r="A1042" s="113" t="s">
        <v>73</v>
      </c>
      <c r="B1042" s="167" t="s">
        <v>74</v>
      </c>
      <c r="C1042" s="148" t="s">
        <v>35</v>
      </c>
      <c r="D1042" s="76" t="s">
        <v>218</v>
      </c>
      <c r="E1042" s="124" t="s">
        <v>3511</v>
      </c>
      <c r="F1042" s="260" t="s">
        <v>92</v>
      </c>
      <c r="G1042" s="76" t="s">
        <v>3512</v>
      </c>
      <c r="H1042" s="90">
        <v>46317</v>
      </c>
      <c r="I1042" s="170" t="s">
        <v>79</v>
      </c>
      <c r="J1042" s="151">
        <v>557777216</v>
      </c>
      <c r="K1042" s="165">
        <v>46309</v>
      </c>
      <c r="L1042" s="82" t="s">
        <v>81</v>
      </c>
      <c r="M1042" s="90">
        <v>46311</v>
      </c>
      <c r="N1042" s="131">
        <v>46311</v>
      </c>
      <c r="O1042" s="314">
        <f>NETWORKDAYS.INTL(K1042,N1042,1,$AM$2:$AM$10)-1</f>
        <v>2</v>
      </c>
      <c r="P1042" s="114" t="s">
        <v>81</v>
      </c>
      <c r="Q1042" s="114" t="s">
        <v>79</v>
      </c>
      <c r="R1042" s="114"/>
      <c r="S1042" s="212">
        <v>1022</v>
      </c>
      <c r="T1042" s="114" t="s">
        <v>3513</v>
      </c>
      <c r="U1042" s="212">
        <v>4</v>
      </c>
      <c r="V1042" s="212">
        <v>16</v>
      </c>
      <c r="W1042" s="212">
        <v>2420</v>
      </c>
      <c r="X1042" s="114" t="s">
        <v>84</v>
      </c>
      <c r="Y1042" s="124" t="s">
        <v>85</v>
      </c>
      <c r="Z1042" s="115" t="s">
        <v>86</v>
      </c>
      <c r="AA1042" s="114" t="s">
        <v>87</v>
      </c>
      <c r="AB1042" s="213">
        <v>1190.6600000000001</v>
      </c>
      <c r="AC1042" s="283">
        <f>IF(C1042="DENALI", AB1042*0.495, IF(C1042="SCHNEIDER ELECTRIC", AB1042*1.136, IF(C1042="WWT", AB1042*1.2, AC1042)))+AB1042</f>
        <v>1780.0367000000001</v>
      </c>
      <c r="AD1042" s="284">
        <f>AC1042-AB1042</f>
        <v>589.37670000000003</v>
      </c>
      <c r="AE1042" s="213">
        <v>7086.72</v>
      </c>
      <c r="AF1042" s="295">
        <f t="shared" si="55"/>
        <v>297.66500000000002</v>
      </c>
      <c r="AG1042" s="289">
        <f t="shared" si="56"/>
        <v>74.416250000000005</v>
      </c>
      <c r="AH1042" s="247">
        <f t="shared" si="57"/>
        <v>1.1650293542074366</v>
      </c>
      <c r="AI1042" s="124">
        <v>1290</v>
      </c>
      <c r="AJ1042" s="124" t="s">
        <v>349</v>
      </c>
      <c r="AK1042"/>
      <c r="AM1042" s="80"/>
    </row>
    <row r="1043" spans="1:39" ht="28.5" customHeight="1">
      <c r="A1043" s="113" t="s">
        <v>73</v>
      </c>
      <c r="B1043" s="167" t="s">
        <v>74</v>
      </c>
      <c r="C1043" s="148" t="s">
        <v>35</v>
      </c>
      <c r="D1043" s="76" t="s">
        <v>218</v>
      </c>
      <c r="E1043" s="124" t="s">
        <v>3143</v>
      </c>
      <c r="F1043" s="260" t="s">
        <v>207</v>
      </c>
      <c r="G1043" s="154" t="s">
        <v>3514</v>
      </c>
      <c r="H1043" s="253">
        <v>46317</v>
      </c>
      <c r="I1043" s="174" t="s">
        <v>79</v>
      </c>
      <c r="J1043" s="277">
        <v>5057003053</v>
      </c>
      <c r="K1043" s="253">
        <v>46309</v>
      </c>
      <c r="L1043" s="174" t="s">
        <v>81</v>
      </c>
      <c r="M1043" s="253">
        <v>46310</v>
      </c>
      <c r="N1043" s="308">
        <v>46310</v>
      </c>
      <c r="O1043" s="314">
        <f>NETWORKDAYS.INTL(K1043,N1043,1,$AM$2:$AM$10)-1</f>
        <v>1</v>
      </c>
      <c r="P1043" s="114" t="s">
        <v>81</v>
      </c>
      <c r="Q1043" s="114" t="s">
        <v>79</v>
      </c>
      <c r="R1043" s="114"/>
      <c r="S1043" s="212">
        <v>207</v>
      </c>
      <c r="T1043" s="114" t="s">
        <v>3515</v>
      </c>
      <c r="U1043" s="212">
        <v>1</v>
      </c>
      <c r="V1043" s="212">
        <v>20</v>
      </c>
      <c r="W1043" s="212">
        <v>390</v>
      </c>
      <c r="X1043" s="114" t="s">
        <v>84</v>
      </c>
      <c r="Y1043" s="124" t="s">
        <v>85</v>
      </c>
      <c r="Z1043" s="115" t="s">
        <v>3031</v>
      </c>
      <c r="AA1043" s="114" t="s">
        <v>87</v>
      </c>
      <c r="AB1043" s="213">
        <v>184.91</v>
      </c>
      <c r="AC1043" s="283">
        <f>IF(C1043="DENALI", AB1043*0.495, IF(C1043="SCHNEIDER ELECTRIC", AB1043*1.136, IF(C1043="WWT", AB1043*1.2, AC1043)))+AB1043</f>
        <v>276.44045</v>
      </c>
      <c r="AD1043" s="284">
        <f>AC1043-AB1043</f>
        <v>91.530450000000002</v>
      </c>
      <c r="AE1043" s="213">
        <v>5706.2</v>
      </c>
      <c r="AF1043" s="295">
        <f t="shared" ref="AF1043" si="65">AB1043/U1043</f>
        <v>184.91</v>
      </c>
      <c r="AG1043" s="289">
        <f t="shared" ref="AG1043" si="66">AB1043/V1043</f>
        <v>9.2454999999999998</v>
      </c>
      <c r="AH1043" s="247">
        <f t="shared" ref="AH1043" si="67">AB1043/S1043</f>
        <v>0.89328502415458932</v>
      </c>
      <c r="AI1043" s="124">
        <v>1904</v>
      </c>
      <c r="AJ1043" s="124" t="s">
        <v>349</v>
      </c>
      <c r="AK1043"/>
      <c r="AM1043" s="80"/>
    </row>
    <row r="1044" spans="1:39" ht="28.5" customHeight="1">
      <c r="A1044" s="113" t="s">
        <v>73</v>
      </c>
      <c r="B1044" s="167" t="s">
        <v>74</v>
      </c>
      <c r="C1044" s="148" t="s">
        <v>35</v>
      </c>
      <c r="D1044" s="76" t="s">
        <v>218</v>
      </c>
      <c r="E1044" s="124" t="s">
        <v>416</v>
      </c>
      <c r="F1044" s="260" t="s">
        <v>142</v>
      </c>
      <c r="G1044" s="124" t="s">
        <v>3516</v>
      </c>
      <c r="H1044" s="209">
        <v>46317</v>
      </c>
      <c r="I1044" s="167" t="s">
        <v>79</v>
      </c>
      <c r="J1044" s="151">
        <v>557780344</v>
      </c>
      <c r="K1044" s="250">
        <v>46309</v>
      </c>
      <c r="L1044" s="114" t="s">
        <v>81</v>
      </c>
      <c r="M1044" s="209">
        <v>46315</v>
      </c>
      <c r="N1044" s="211"/>
      <c r="O1044" s="314">
        <f>NETWORKDAYS.INTL(K1044,N1044,1,$AM$2:$AM$10)-1</f>
        <v>-33074</v>
      </c>
      <c r="P1044" s="114"/>
      <c r="Q1044" s="114"/>
      <c r="R1044" s="114"/>
      <c r="S1044" s="212">
        <v>2264</v>
      </c>
      <c r="T1044" s="114" t="s">
        <v>3517</v>
      </c>
      <c r="U1044" s="212">
        <v>1</v>
      </c>
      <c r="V1044" s="212">
        <v>600</v>
      </c>
      <c r="W1044" s="212">
        <v>375</v>
      </c>
      <c r="X1044" s="114" t="s">
        <v>84</v>
      </c>
      <c r="Y1044" s="124" t="s">
        <v>85</v>
      </c>
      <c r="Z1044" s="115" t="s">
        <v>86</v>
      </c>
      <c r="AA1044" s="114" t="s">
        <v>87</v>
      </c>
      <c r="AB1044" s="213">
        <v>373.85</v>
      </c>
      <c r="AC1044" s="283">
        <f>IF(C1044="DENALI", AB1044*0.495, IF(C1044="SCHNEIDER ELECTRIC", AB1044*1.136, IF(C1044="WWT", AB1044*1.2, AC1044)))+AB1044</f>
        <v>558.90575000000001</v>
      </c>
      <c r="AD1044" s="284">
        <f>AC1044-AB1044</f>
        <v>185.05574999999999</v>
      </c>
      <c r="AE1044" s="213">
        <v>10728</v>
      </c>
      <c r="AF1044" s="295">
        <f t="shared" ref="AF1044" si="68">AB1044/U1044</f>
        <v>373.85</v>
      </c>
      <c r="AG1044" s="289">
        <f t="shared" ref="AG1044" si="69">AB1044/V1044</f>
        <v>0.62308333333333332</v>
      </c>
      <c r="AH1044" s="247">
        <f t="shared" ref="AH1044" si="70">AB1044/S1044</f>
        <v>0.16512809187279154</v>
      </c>
      <c r="AI1044" s="124">
        <v>1290</v>
      </c>
      <c r="AJ1044" s="124" t="s">
        <v>349</v>
      </c>
      <c r="AK1044"/>
      <c r="AM1044" s="80"/>
    </row>
    <row r="1045" spans="1:39" ht="28.5" customHeight="1">
      <c r="A1045" s="113" t="s">
        <v>73</v>
      </c>
      <c r="B1045" s="167" t="s">
        <v>74</v>
      </c>
      <c r="C1045" s="148" t="s">
        <v>35</v>
      </c>
      <c r="D1045" s="124" t="s">
        <v>218</v>
      </c>
      <c r="E1045" s="124" t="s">
        <v>3518</v>
      </c>
      <c r="F1045" s="124" t="s">
        <v>75</v>
      </c>
      <c r="G1045" s="124" t="s">
        <v>3519</v>
      </c>
      <c r="H1045" s="209">
        <v>46317</v>
      </c>
      <c r="I1045" s="114" t="s">
        <v>79</v>
      </c>
      <c r="J1045" s="277">
        <v>5057003080</v>
      </c>
      <c r="K1045" s="209">
        <v>46309</v>
      </c>
      <c r="L1045" s="114" t="s">
        <v>81</v>
      </c>
      <c r="M1045" s="209">
        <v>46310</v>
      </c>
      <c r="N1045" s="211">
        <v>46311</v>
      </c>
      <c r="O1045" s="314">
        <f>NETWORKDAYS.INTL(K1045,N1045,1,$AM$2:$AM$10)-1</f>
        <v>2</v>
      </c>
      <c r="P1045" s="114" t="s">
        <v>81</v>
      </c>
      <c r="Q1045" s="114" t="s">
        <v>79</v>
      </c>
      <c r="R1045" s="114"/>
      <c r="S1045" s="212">
        <v>547</v>
      </c>
      <c r="T1045" s="114" t="s">
        <v>3520</v>
      </c>
      <c r="U1045" s="212">
        <v>1</v>
      </c>
      <c r="V1045" s="212">
        <v>1</v>
      </c>
      <c r="W1045" s="212">
        <v>170</v>
      </c>
      <c r="X1045" s="114" t="s">
        <v>84</v>
      </c>
      <c r="Y1045" s="124" t="s">
        <v>85</v>
      </c>
      <c r="Z1045" s="115" t="s">
        <v>3031</v>
      </c>
      <c r="AA1045" s="114" t="s">
        <v>87</v>
      </c>
      <c r="AB1045" s="213">
        <v>182.42</v>
      </c>
      <c r="AC1045" s="283">
        <f>IF(C1045="DENALI", AB1045*0.495, IF(C1045="SCHNEIDER ELECTRIC", AB1045*1.136, IF(C1045="WWT", AB1045*1.2, AC1045)))+AB1045</f>
        <v>272.71789999999999</v>
      </c>
      <c r="AD1045" s="284">
        <f>AC1045-AB1045</f>
        <v>90.297899999999998</v>
      </c>
      <c r="AE1045" s="213">
        <v>442.92</v>
      </c>
      <c r="AF1045" s="295">
        <f t="shared" ref="AF1045" si="71">AB1045/U1045</f>
        <v>182.42</v>
      </c>
      <c r="AG1045" s="289">
        <f t="shared" ref="AG1045" si="72">AB1045/V1045</f>
        <v>182.42</v>
      </c>
      <c r="AH1045" s="247">
        <f t="shared" ref="AH1045:AH1047" si="73">AB1045/S1045</f>
        <v>0.33349177330895791</v>
      </c>
      <c r="AI1045" s="124">
        <v>1290</v>
      </c>
      <c r="AJ1045" s="124" t="s">
        <v>349</v>
      </c>
      <c r="AK1045"/>
      <c r="AM1045" s="80"/>
    </row>
    <row r="1046" spans="1:39" ht="28.5" customHeight="1">
      <c r="A1046" s="113" t="s">
        <v>73</v>
      </c>
      <c r="B1046" s="167" t="s">
        <v>74</v>
      </c>
      <c r="C1046" s="148" t="s">
        <v>35</v>
      </c>
      <c r="D1046" s="124" t="s">
        <v>99</v>
      </c>
      <c r="E1046" s="124" t="s">
        <v>2825</v>
      </c>
      <c r="F1046" s="124" t="s">
        <v>131</v>
      </c>
      <c r="G1046" s="124">
        <v>24406957</v>
      </c>
      <c r="H1046" s="209">
        <v>46317</v>
      </c>
      <c r="I1046" s="167" t="s">
        <v>79</v>
      </c>
      <c r="J1046" s="151">
        <v>24406957</v>
      </c>
      <c r="K1046" s="250">
        <v>46309</v>
      </c>
      <c r="L1046" s="114" t="s">
        <v>81</v>
      </c>
      <c r="M1046" s="209">
        <v>46314</v>
      </c>
      <c r="N1046" s="211">
        <v>46314</v>
      </c>
      <c r="O1046" s="314">
        <f>NETWORKDAYS.INTL(K1046,N1046,1,$AM$2:$AM$10)-1</f>
        <v>3</v>
      </c>
      <c r="P1046" s="114" t="s">
        <v>81</v>
      </c>
      <c r="Q1046" s="114" t="s">
        <v>79</v>
      </c>
      <c r="R1046" s="114"/>
      <c r="S1046" s="212">
        <v>3063</v>
      </c>
      <c r="T1046" s="114" t="s">
        <v>3521</v>
      </c>
      <c r="U1046" s="212">
        <v>1</v>
      </c>
      <c r="V1046" s="212">
        <v>21</v>
      </c>
      <c r="W1046" s="212">
        <v>710</v>
      </c>
      <c r="X1046" s="114" t="s">
        <v>113</v>
      </c>
      <c r="Y1046" s="124" t="s">
        <v>85</v>
      </c>
      <c r="Z1046" s="115" t="s">
        <v>3522</v>
      </c>
      <c r="AA1046" s="114" t="s">
        <v>87</v>
      </c>
      <c r="AB1046" s="213">
        <v>7566.24</v>
      </c>
      <c r="AC1046" s="283">
        <f>IF(C1046="DENALI", AB1046*0.495, IF(C1046="SCHNEIDER ELECTRIC", AB1046*1.136, IF(C1046="WWT", AB1046*1.2, AC1046)))+AB1046</f>
        <v>11311.5288</v>
      </c>
      <c r="AD1046" s="284">
        <f>AC1046-AB1046</f>
        <v>3745.2888000000003</v>
      </c>
      <c r="AE1046" s="213">
        <v>8488.5</v>
      </c>
      <c r="AF1046" s="295">
        <f t="shared" ref="AF1046:AF1047" si="74">AB1046/U1046</f>
        <v>7566.24</v>
      </c>
      <c r="AG1046" s="289">
        <f t="shared" ref="AG1046:AG1047" si="75">AB1046/V1046</f>
        <v>360.29714285714283</v>
      </c>
      <c r="AH1046" s="247">
        <f t="shared" ref="AH1046:AH1047" si="76">AB1046/S1046</f>
        <v>2.4702056807051909</v>
      </c>
      <c r="AI1046" s="124">
        <v>5776</v>
      </c>
      <c r="AJ1046" s="124" t="s">
        <v>349</v>
      </c>
      <c r="AK1046"/>
      <c r="AM1046" s="80"/>
    </row>
    <row r="1047" spans="1:39" ht="28.5" customHeight="1">
      <c r="A1047" s="113" t="s">
        <v>73</v>
      </c>
      <c r="B1047" s="167" t="s">
        <v>140</v>
      </c>
      <c r="C1047" s="148" t="s">
        <v>35</v>
      </c>
      <c r="D1047" s="124" t="s">
        <v>218</v>
      </c>
      <c r="E1047" s="124" t="s">
        <v>141</v>
      </c>
      <c r="F1047" s="124" t="s">
        <v>142</v>
      </c>
      <c r="G1047" s="124" t="s">
        <v>3523</v>
      </c>
      <c r="H1047" s="209">
        <v>46318</v>
      </c>
      <c r="I1047" s="114" t="s">
        <v>79</v>
      </c>
      <c r="J1047" s="162">
        <v>24430680</v>
      </c>
      <c r="K1047" s="250">
        <v>46311</v>
      </c>
      <c r="L1047" s="114" t="s">
        <v>81</v>
      </c>
      <c r="M1047" s="209">
        <v>46314</v>
      </c>
      <c r="N1047" s="211">
        <v>46315</v>
      </c>
      <c r="O1047" s="314">
        <f>NETWORKDAYS.INTL(K1047,N1047,1,$AM$2:$AM$10)-1</f>
        <v>2</v>
      </c>
      <c r="P1047" s="114" t="s">
        <v>81</v>
      </c>
      <c r="Q1047" s="114" t="s">
        <v>79</v>
      </c>
      <c r="R1047" s="114"/>
      <c r="S1047" s="212">
        <v>441</v>
      </c>
      <c r="T1047" s="114" t="s">
        <v>3524</v>
      </c>
      <c r="U1047" s="212">
        <v>2</v>
      </c>
      <c r="V1047" s="212">
        <v>537</v>
      </c>
      <c r="W1047" s="212">
        <v>1130</v>
      </c>
      <c r="X1047" s="114" t="s">
        <v>84</v>
      </c>
      <c r="Y1047" s="124" t="s">
        <v>85</v>
      </c>
      <c r="Z1047" s="115" t="s">
        <v>2723</v>
      </c>
      <c r="AA1047" s="114" t="s">
        <v>87</v>
      </c>
      <c r="AB1047" s="213">
        <v>307.70999999999998</v>
      </c>
      <c r="AC1047" s="283">
        <f>IF(C1047="DENALI", AB1047*0.495, IF(C1047="SCHNEIDER ELECTRIC", AB1047*1.136, IF(C1047="WWT", AB1047*1.2, AC1047)))+AB1047</f>
        <v>460.02644999999995</v>
      </c>
      <c r="AD1047" s="284">
        <f>AC1047-AB1047</f>
        <v>152.31644999999997</v>
      </c>
      <c r="AE1047" s="213">
        <v>77167.94</v>
      </c>
      <c r="AF1047" s="295">
        <f t="shared" si="74"/>
        <v>153.85499999999999</v>
      </c>
      <c r="AG1047" s="289">
        <f t="shared" si="75"/>
        <v>0.57301675977653632</v>
      </c>
      <c r="AH1047" s="247">
        <f t="shared" si="73"/>
        <v>0.69775510204081626</v>
      </c>
      <c r="AI1047" s="124">
        <v>1173</v>
      </c>
      <c r="AJ1047" s="124" t="s">
        <v>107</v>
      </c>
      <c r="AK1047"/>
      <c r="AM1047" s="80"/>
    </row>
    <row r="1048" spans="1:39" ht="28.5" customHeight="1">
      <c r="A1048" s="113" t="s">
        <v>73</v>
      </c>
      <c r="B1048" s="167" t="s">
        <v>74</v>
      </c>
      <c r="C1048" s="148" t="s">
        <v>35</v>
      </c>
      <c r="D1048" s="124" t="s">
        <v>99</v>
      </c>
      <c r="E1048" s="124" t="s">
        <v>1885</v>
      </c>
      <c r="F1048" s="124" t="s">
        <v>77</v>
      </c>
      <c r="G1048" s="124">
        <v>24434633</v>
      </c>
      <c r="H1048" s="209">
        <v>46318</v>
      </c>
      <c r="I1048" s="167" t="s">
        <v>79</v>
      </c>
      <c r="J1048" s="151">
        <v>24434633</v>
      </c>
      <c r="K1048" s="250">
        <v>46311</v>
      </c>
      <c r="L1048" s="114" t="s">
        <v>81</v>
      </c>
      <c r="M1048" s="209">
        <v>46315</v>
      </c>
      <c r="N1048" s="211">
        <v>46315</v>
      </c>
      <c r="O1048" s="314">
        <f>NETWORKDAYS.INTL(K1048,N1048,1,$AM$2:$AM$10)-1</f>
        <v>2</v>
      </c>
      <c r="P1048" s="114" t="s">
        <v>81</v>
      </c>
      <c r="Q1048" s="114" t="s">
        <v>79</v>
      </c>
      <c r="R1048" s="114"/>
      <c r="S1048" s="212">
        <v>2809</v>
      </c>
      <c r="T1048" s="114" t="s">
        <v>3525</v>
      </c>
      <c r="U1048" s="212">
        <v>1</v>
      </c>
      <c r="V1048" s="212">
        <v>1</v>
      </c>
      <c r="W1048" s="212">
        <v>530</v>
      </c>
      <c r="X1048" s="114" t="s">
        <v>113</v>
      </c>
      <c r="Y1048" s="124" t="s">
        <v>85</v>
      </c>
      <c r="Z1048" s="115" t="s">
        <v>3526</v>
      </c>
      <c r="AA1048" s="114" t="s">
        <v>87</v>
      </c>
      <c r="AB1048" s="213">
        <v>7821.06</v>
      </c>
      <c r="AC1048" s="283">
        <f>IF(C1048="DENALI", AB1048*0.495, IF(C1048="SCHNEIDER ELECTRIC", AB1048*1.136, IF(C1048="WWT", AB1048*1.2, AC1048)))+AB1048</f>
        <v>11692.484700000001</v>
      </c>
      <c r="AD1048" s="284">
        <f>AC1048-AB1048</f>
        <v>3871.4247000000005</v>
      </c>
      <c r="AE1048" s="213">
        <v>3570.41</v>
      </c>
      <c r="AF1048" s="356">
        <f t="shared" ref="AF1048" si="77">AB1048/U1048</f>
        <v>7821.06</v>
      </c>
      <c r="AG1048" s="232">
        <f t="shared" ref="AG1048" si="78">AB1048/V1048</f>
        <v>7821.06</v>
      </c>
      <c r="AH1048" s="357">
        <f t="shared" ref="AH1048" si="79">AB1048/S1048</f>
        <v>2.7842862228551088</v>
      </c>
      <c r="AI1048" s="124">
        <v>1060</v>
      </c>
      <c r="AJ1048" s="124" t="s">
        <v>343</v>
      </c>
      <c r="AK1048"/>
      <c r="AM1048" s="80"/>
    </row>
    <row r="1049" spans="1:39" ht="28.5" customHeight="1">
      <c r="A1049" s="113" t="s">
        <v>73</v>
      </c>
      <c r="B1049" s="167" t="s">
        <v>74</v>
      </c>
      <c r="C1049" s="148" t="s">
        <v>36</v>
      </c>
      <c r="D1049" s="124" t="s">
        <v>75</v>
      </c>
      <c r="E1049" s="124" t="s">
        <v>141</v>
      </c>
      <c r="F1049" s="124" t="s">
        <v>142</v>
      </c>
      <c r="G1049" s="124" t="s">
        <v>3527</v>
      </c>
      <c r="H1049" s="209">
        <v>46324</v>
      </c>
      <c r="I1049" s="114" t="s">
        <v>79</v>
      </c>
      <c r="J1049" s="358"/>
      <c r="K1049" s="209">
        <v>46316</v>
      </c>
      <c r="L1049" s="114"/>
      <c r="M1049" s="209">
        <v>46318</v>
      </c>
      <c r="N1049" s="211"/>
      <c r="O1049" s="314">
        <f>NETWORKDAYS.INTL(K1049,N1049,1,$AM$2:$AM$10)-1</f>
        <v>-33079</v>
      </c>
      <c r="P1049" s="114"/>
      <c r="Q1049" s="114"/>
      <c r="R1049" s="114"/>
      <c r="S1049" s="212"/>
      <c r="T1049" s="114" t="s">
        <v>3528</v>
      </c>
      <c r="U1049" s="212">
        <v>3</v>
      </c>
      <c r="V1049" s="212">
        <v>3</v>
      </c>
      <c r="W1049" s="212">
        <v>1722</v>
      </c>
      <c r="X1049" s="114" t="s">
        <v>84</v>
      </c>
      <c r="Y1049" s="124" t="s">
        <v>85</v>
      </c>
      <c r="Z1049" s="115" t="s">
        <v>86</v>
      </c>
      <c r="AA1049" s="114" t="s">
        <v>87</v>
      </c>
      <c r="AB1049" s="213">
        <v>915.12</v>
      </c>
      <c r="AC1049" s="283">
        <f>IF(C1049="DENALI", AB1049*0.495, IF(C1049="SCHNEIDER ELECTRIC", AB1049*1.136, IF(C1049="WWT", AB1049*1.2, AC1049)))+AB1049</f>
        <v>1954.69632</v>
      </c>
      <c r="AD1049" s="284">
        <f>AC1049-AB1049</f>
        <v>1039.5763200000001</v>
      </c>
      <c r="AE1049" s="213">
        <v>11417.94</v>
      </c>
      <c r="AF1049" s="356">
        <f t="shared" ref="AF1049" si="80">AB1049/U1049</f>
        <v>305.04000000000002</v>
      </c>
      <c r="AG1049" s="232">
        <f t="shared" ref="AG1049" si="81">AB1049/V1049</f>
        <v>305.04000000000002</v>
      </c>
      <c r="AH1049" s="357" t="e">
        <f t="shared" ref="AH1049" si="82">AB1049/S1049</f>
        <v>#DIV/0!</v>
      </c>
      <c r="AI1049" s="124">
        <v>1173</v>
      </c>
      <c r="AJ1049" s="124" t="s">
        <v>2353</v>
      </c>
      <c r="AK1049"/>
      <c r="AM1049" s="80"/>
    </row>
    <row r="1050" spans="1:39" ht="28.5" customHeight="1">
      <c r="A1050" s="113" t="s">
        <v>73</v>
      </c>
      <c r="B1050" s="167" t="s">
        <v>74</v>
      </c>
      <c r="C1050" s="148" t="s">
        <v>35</v>
      </c>
      <c r="D1050" s="124" t="s">
        <v>99</v>
      </c>
      <c r="E1050" s="124" t="s">
        <v>1849</v>
      </c>
      <c r="F1050" s="124" t="s">
        <v>644</v>
      </c>
      <c r="G1050" s="124" t="s">
        <v>3529</v>
      </c>
      <c r="H1050" s="209">
        <v>46323</v>
      </c>
      <c r="I1050" s="114" t="s">
        <v>79</v>
      </c>
      <c r="J1050" s="375"/>
      <c r="K1050" s="209">
        <v>46315</v>
      </c>
      <c r="L1050" s="114"/>
      <c r="M1050" s="209">
        <v>46321</v>
      </c>
      <c r="N1050" s="211"/>
      <c r="O1050" s="314">
        <f>NETWORKDAYS.INTL(K1050,N1050,1,$AM$2:$AM$10)-1</f>
        <v>-33078</v>
      </c>
      <c r="P1050" s="114"/>
      <c r="Q1050" s="114"/>
      <c r="R1050" s="114"/>
      <c r="S1050" s="212"/>
      <c r="T1050" s="114" t="s">
        <v>3530</v>
      </c>
      <c r="U1050" s="212">
        <v>1</v>
      </c>
      <c r="V1050" s="212">
        <v>42</v>
      </c>
      <c r="W1050" s="212">
        <v>510</v>
      </c>
      <c r="X1050" s="114" t="s">
        <v>84</v>
      </c>
      <c r="Y1050" s="124" t="s">
        <v>85</v>
      </c>
      <c r="Z1050" s="115" t="s">
        <v>86</v>
      </c>
      <c r="AA1050" s="114" t="s">
        <v>87</v>
      </c>
      <c r="AB1050" s="213">
        <v>367.58</v>
      </c>
      <c r="AC1050" s="283">
        <f>IF(C1050="DENALI", AB1050*0.495, IF(C1050="SCHNEIDER ELECTRIC", AB1050*1.136, IF(C1050="WWT", AB1050*1.2, AC1050)))+AB1050</f>
        <v>549.53210000000001</v>
      </c>
      <c r="AD1050" s="284">
        <f>AC1050-AB1050</f>
        <v>181.95210000000003</v>
      </c>
      <c r="AE1050" s="213">
        <v>2425.6799999999998</v>
      </c>
      <c r="AF1050" s="356">
        <f t="shared" ref="AF1050" si="83">AB1050/U1050</f>
        <v>367.58</v>
      </c>
      <c r="AG1050" s="232">
        <f t="shared" ref="AG1050" si="84">AB1050/V1050</f>
        <v>8.7519047619047612</v>
      </c>
      <c r="AH1050" s="357" t="e">
        <f t="shared" ref="AH1050" si="85">AB1050/S1050</f>
        <v>#DIV/0!</v>
      </c>
      <c r="AI1050" s="124">
        <v>1060</v>
      </c>
      <c r="AJ1050" s="124" t="s">
        <v>343</v>
      </c>
      <c r="AK1050"/>
      <c r="AM1050" s="80"/>
    </row>
    <row r="1051" spans="1:39" ht="28.5" customHeight="1">
      <c r="A1051" s="113"/>
      <c r="B1051" s="114"/>
      <c r="C1051" s="113"/>
      <c r="D1051" s="124"/>
      <c r="E1051" s="124"/>
      <c r="F1051" s="124"/>
      <c r="G1051" s="124"/>
      <c r="H1051" s="209"/>
      <c r="I1051" s="114"/>
      <c r="J1051" s="210"/>
      <c r="K1051" s="209"/>
      <c r="L1051" s="114"/>
      <c r="M1051" s="209"/>
      <c r="N1051" s="211"/>
      <c r="O1051" s="120"/>
      <c r="P1051" s="114"/>
      <c r="Q1051" s="114"/>
      <c r="R1051" s="114"/>
      <c r="S1051" s="212"/>
      <c r="T1051" s="114"/>
      <c r="U1051" s="212"/>
      <c r="V1051" s="212"/>
      <c r="W1051" s="212"/>
      <c r="X1051" s="114"/>
      <c r="Y1051" s="124"/>
      <c r="Z1051" s="115"/>
      <c r="AA1051" s="114"/>
      <c r="AB1051" s="213"/>
      <c r="AC1051" s="122"/>
      <c r="AD1051" s="129"/>
      <c r="AE1051" s="213"/>
      <c r="AF1051" s="130"/>
      <c r="AG1051" s="130"/>
      <c r="AH1051" s="123"/>
      <c r="AI1051" s="124"/>
      <c r="AJ1051" s="124"/>
      <c r="AK1051"/>
      <c r="AM1051" s="80"/>
    </row>
    <row r="1052" spans="1:39" ht="28.5" customHeight="1">
      <c r="A1052" s="113"/>
      <c r="B1052" s="114"/>
      <c r="C1052" s="113"/>
      <c r="D1052" s="124"/>
      <c r="E1052" s="124"/>
      <c r="F1052" s="124"/>
      <c r="G1052" s="124"/>
      <c r="H1052" s="209"/>
      <c r="I1052" s="114"/>
      <c r="J1052" s="210"/>
      <c r="K1052" s="209"/>
      <c r="L1052" s="114"/>
      <c r="M1052" s="209"/>
      <c r="N1052" s="211"/>
      <c r="O1052" s="120"/>
      <c r="P1052" s="114"/>
      <c r="Q1052" s="114"/>
      <c r="R1052" s="114"/>
      <c r="S1052" s="212"/>
      <c r="T1052" s="114"/>
      <c r="U1052" s="212"/>
      <c r="V1052" s="212"/>
      <c r="W1052" s="212"/>
      <c r="X1052" s="114"/>
      <c r="Y1052" s="124"/>
      <c r="Z1052" s="115"/>
      <c r="AA1052" s="114"/>
      <c r="AB1052" s="213"/>
      <c r="AC1052" s="122"/>
      <c r="AD1052" s="129"/>
      <c r="AE1052" s="213"/>
      <c r="AF1052" s="130"/>
      <c r="AG1052" s="130"/>
      <c r="AH1052" s="123"/>
      <c r="AI1052" s="124"/>
      <c r="AJ1052" s="124"/>
      <c r="AK1052"/>
      <c r="AM1052" s="80"/>
    </row>
    <row r="1053" spans="1:39" ht="28.5" customHeight="1">
      <c r="A1053" s="113"/>
      <c r="B1053" s="114"/>
      <c r="C1053" s="113"/>
      <c r="D1053" s="124"/>
      <c r="E1053" s="124"/>
      <c r="F1053" s="124"/>
      <c r="G1053" s="124"/>
      <c r="H1053" s="209"/>
      <c r="I1053" s="114"/>
      <c r="J1053" s="210"/>
      <c r="K1053" s="209"/>
      <c r="L1053" s="114"/>
      <c r="M1053" s="209"/>
      <c r="N1053" s="211"/>
      <c r="O1053" s="120"/>
      <c r="P1053" s="114"/>
      <c r="Q1053" s="114"/>
      <c r="R1053" s="114"/>
      <c r="S1053" s="212"/>
      <c r="T1053" s="114"/>
      <c r="U1053" s="212"/>
      <c r="V1053" s="212"/>
      <c r="W1053" s="212"/>
      <c r="X1053" s="114"/>
      <c r="Y1053" s="124"/>
      <c r="Z1053" s="115"/>
      <c r="AA1053" s="114"/>
      <c r="AB1053" s="213"/>
      <c r="AC1053" s="122"/>
      <c r="AD1053" s="129"/>
      <c r="AE1053" s="213"/>
      <c r="AF1053" s="130"/>
      <c r="AG1053" s="130"/>
      <c r="AH1053" s="123"/>
      <c r="AI1053" s="124"/>
      <c r="AJ1053" s="124"/>
      <c r="AK1053"/>
      <c r="AM1053" s="80"/>
    </row>
    <row r="1054" spans="1:39" ht="28.5" customHeight="1">
      <c r="A1054" s="113"/>
      <c r="B1054" s="114"/>
      <c r="C1054" s="113"/>
      <c r="D1054" s="124"/>
      <c r="E1054" s="124"/>
      <c r="F1054" s="124"/>
      <c r="G1054" s="124"/>
      <c r="H1054" s="209"/>
      <c r="I1054" s="114"/>
      <c r="J1054" s="210"/>
      <c r="K1054" s="209"/>
      <c r="L1054" s="114"/>
      <c r="M1054" s="209"/>
      <c r="N1054" s="211"/>
      <c r="O1054" s="120"/>
      <c r="P1054" s="114"/>
      <c r="Q1054" s="114"/>
      <c r="R1054" s="114"/>
      <c r="S1054" s="212"/>
      <c r="T1054" s="114"/>
      <c r="U1054" s="212"/>
      <c r="V1054" s="212"/>
      <c r="W1054" s="212"/>
      <c r="X1054" s="114"/>
      <c r="Y1054" s="124"/>
      <c r="Z1054" s="115"/>
      <c r="AA1054" s="114"/>
      <c r="AB1054" s="213"/>
      <c r="AC1054" s="122"/>
      <c r="AD1054" s="129"/>
      <c r="AE1054" s="213"/>
      <c r="AF1054" s="130"/>
      <c r="AG1054" s="130"/>
      <c r="AH1054" s="123"/>
      <c r="AI1054" s="124"/>
      <c r="AJ1054" s="124"/>
      <c r="AK1054"/>
      <c r="AM1054" s="80"/>
    </row>
    <row r="1055" spans="1:39" ht="28.5" customHeight="1">
      <c r="A1055" s="113"/>
      <c r="B1055" s="114"/>
      <c r="C1055" s="113"/>
      <c r="D1055" s="124"/>
      <c r="E1055" s="124"/>
      <c r="F1055" s="124"/>
      <c r="G1055" s="124"/>
      <c r="H1055" s="209"/>
      <c r="I1055" s="114"/>
      <c r="J1055" s="210"/>
      <c r="K1055" s="209"/>
      <c r="L1055" s="114"/>
      <c r="M1055" s="209"/>
      <c r="N1055" s="211"/>
      <c r="O1055" s="120"/>
      <c r="P1055" s="114"/>
      <c r="Q1055" s="114"/>
      <c r="R1055" s="114"/>
      <c r="S1055" s="212"/>
      <c r="T1055" s="114"/>
      <c r="U1055" s="212"/>
      <c r="V1055" s="212"/>
      <c r="W1055" s="212"/>
      <c r="X1055" s="114"/>
      <c r="Y1055" s="124"/>
      <c r="Z1055" s="115"/>
      <c r="AA1055" s="114"/>
      <c r="AB1055" s="213"/>
      <c r="AC1055" s="122"/>
      <c r="AD1055" s="129"/>
      <c r="AE1055" s="213"/>
      <c r="AF1055" s="130"/>
      <c r="AG1055" s="130"/>
      <c r="AH1055" s="123"/>
      <c r="AI1055" s="124"/>
      <c r="AJ1055" s="124"/>
      <c r="AK1055"/>
      <c r="AM1055" s="80"/>
    </row>
    <row r="1056" spans="1:39" ht="28.5" customHeight="1">
      <c r="A1056" s="113"/>
      <c r="B1056" s="114"/>
      <c r="C1056" s="113"/>
      <c r="D1056" s="124"/>
      <c r="E1056" s="124"/>
      <c r="F1056" s="124"/>
      <c r="G1056" s="124"/>
      <c r="H1056" s="209"/>
      <c r="I1056" s="114"/>
      <c r="J1056" s="210"/>
      <c r="K1056" s="209"/>
      <c r="L1056" s="114"/>
      <c r="M1056" s="209"/>
      <c r="N1056" s="211"/>
      <c r="O1056" s="120"/>
      <c r="P1056" s="114"/>
      <c r="Q1056" s="114"/>
      <c r="R1056" s="114"/>
      <c r="S1056" s="212"/>
      <c r="T1056" s="114"/>
      <c r="U1056" s="212"/>
      <c r="V1056" s="212"/>
      <c r="W1056" s="212"/>
      <c r="X1056" s="114"/>
      <c r="Y1056" s="124"/>
      <c r="Z1056" s="115"/>
      <c r="AA1056" s="114"/>
      <c r="AB1056" s="213"/>
      <c r="AC1056" s="122"/>
      <c r="AD1056" s="129"/>
      <c r="AE1056" s="213"/>
      <c r="AF1056" s="130"/>
      <c r="AG1056" s="130"/>
      <c r="AH1056" s="123"/>
      <c r="AI1056" s="124"/>
      <c r="AJ1056" s="124"/>
      <c r="AK1056"/>
      <c r="AM1056" s="80"/>
    </row>
    <row r="1057" spans="1:39" ht="28.5" customHeight="1">
      <c r="A1057" s="113"/>
      <c r="B1057" s="114"/>
      <c r="C1057" s="113"/>
      <c r="D1057" s="124"/>
      <c r="E1057" s="124"/>
      <c r="F1057" s="124"/>
      <c r="G1057" s="124"/>
      <c r="H1057" s="209"/>
      <c r="I1057" s="114"/>
      <c r="J1057" s="210"/>
      <c r="K1057" s="209"/>
      <c r="L1057" s="114"/>
      <c r="M1057" s="209"/>
      <c r="N1057" s="211"/>
      <c r="O1057" s="120"/>
      <c r="P1057" s="114"/>
      <c r="Q1057" s="114"/>
      <c r="R1057" s="114"/>
      <c r="S1057" s="212"/>
      <c r="T1057" s="114"/>
      <c r="U1057" s="212"/>
      <c r="V1057" s="212"/>
      <c r="W1057" s="212"/>
      <c r="X1057" s="114"/>
      <c r="Y1057" s="124"/>
      <c r="Z1057" s="115"/>
      <c r="AA1057" s="114"/>
      <c r="AB1057" s="213"/>
      <c r="AC1057" s="122"/>
      <c r="AD1057" s="129"/>
      <c r="AE1057" s="213"/>
      <c r="AF1057" s="130"/>
      <c r="AG1057" s="130"/>
      <c r="AH1057" s="123"/>
      <c r="AI1057" s="124"/>
      <c r="AJ1057" s="124"/>
      <c r="AK1057"/>
      <c r="AM1057" s="80"/>
    </row>
    <row r="1058" spans="1:39" ht="28.5" customHeight="1">
      <c r="A1058" s="113"/>
      <c r="B1058" s="114"/>
      <c r="C1058" s="113"/>
      <c r="D1058" s="124"/>
      <c r="E1058" s="124"/>
      <c r="F1058" s="124"/>
      <c r="G1058" s="124"/>
      <c r="H1058" s="209"/>
      <c r="I1058" s="114"/>
      <c r="J1058" s="210"/>
      <c r="K1058" s="209"/>
      <c r="L1058" s="114"/>
      <c r="M1058" s="209"/>
      <c r="N1058" s="211"/>
      <c r="O1058" s="120"/>
      <c r="P1058" s="114"/>
      <c r="Q1058" s="114"/>
      <c r="R1058" s="114"/>
      <c r="S1058" s="212"/>
      <c r="T1058" s="114"/>
      <c r="U1058" s="212"/>
      <c r="V1058" s="212"/>
      <c r="W1058" s="212"/>
      <c r="X1058" s="114"/>
      <c r="Y1058" s="124"/>
      <c r="Z1058" s="115"/>
      <c r="AA1058" s="114"/>
      <c r="AB1058" s="213"/>
      <c r="AC1058" s="122"/>
      <c r="AD1058" s="129"/>
      <c r="AE1058" s="213"/>
      <c r="AF1058" s="130"/>
      <c r="AG1058" s="130"/>
      <c r="AH1058" s="123"/>
      <c r="AI1058" s="124"/>
      <c r="AJ1058" s="124"/>
      <c r="AK1058"/>
      <c r="AM1058" s="80"/>
    </row>
    <row r="1059" spans="1:39" ht="28.5" customHeight="1">
      <c r="A1059" s="113"/>
      <c r="B1059" s="114"/>
      <c r="C1059" s="113"/>
      <c r="D1059" s="124"/>
      <c r="E1059" s="124"/>
      <c r="F1059" s="124"/>
      <c r="G1059" s="124"/>
      <c r="H1059" s="209"/>
      <c r="I1059" s="114"/>
      <c r="J1059" s="210"/>
      <c r="K1059" s="209"/>
      <c r="L1059" s="114"/>
      <c r="M1059" s="209"/>
      <c r="N1059" s="211"/>
      <c r="O1059" s="120"/>
      <c r="P1059" s="114"/>
      <c r="Q1059" s="114"/>
      <c r="R1059" s="114"/>
      <c r="S1059" s="212"/>
      <c r="T1059" s="114"/>
      <c r="U1059" s="212"/>
      <c r="V1059" s="212"/>
      <c r="W1059" s="212"/>
      <c r="X1059" s="114"/>
      <c r="Y1059" s="124"/>
      <c r="Z1059" s="115"/>
      <c r="AA1059" s="114"/>
      <c r="AB1059" s="213"/>
      <c r="AC1059" s="122"/>
      <c r="AD1059" s="129"/>
      <c r="AE1059" s="213"/>
      <c r="AF1059" s="130"/>
      <c r="AG1059" s="130"/>
      <c r="AH1059" s="123"/>
      <c r="AI1059" s="124"/>
      <c r="AJ1059" s="124"/>
      <c r="AK1059"/>
      <c r="AM1059" s="80"/>
    </row>
    <row r="1060" spans="1:39" ht="28.5" customHeight="1">
      <c r="A1060" s="113"/>
      <c r="B1060" s="114"/>
      <c r="C1060" s="113"/>
      <c r="D1060" s="124"/>
      <c r="E1060" s="124"/>
      <c r="F1060" s="124"/>
      <c r="G1060" s="124"/>
      <c r="H1060" s="209"/>
      <c r="I1060" s="114"/>
      <c r="J1060" s="210"/>
      <c r="K1060" s="209"/>
      <c r="L1060" s="114"/>
      <c r="M1060" s="209"/>
      <c r="N1060" s="211"/>
      <c r="O1060" s="120"/>
      <c r="P1060" s="114"/>
      <c r="Q1060" s="114"/>
      <c r="R1060" s="114"/>
      <c r="S1060" s="212"/>
      <c r="T1060" s="114"/>
      <c r="U1060" s="212"/>
      <c r="V1060" s="212"/>
      <c r="W1060" s="212"/>
      <c r="X1060" s="114"/>
      <c r="Y1060" s="124"/>
      <c r="Z1060" s="115"/>
      <c r="AA1060" s="114"/>
      <c r="AB1060" s="213"/>
      <c r="AC1060" s="122"/>
      <c r="AD1060" s="129"/>
      <c r="AE1060" s="213"/>
      <c r="AF1060" s="130"/>
      <c r="AG1060" s="130"/>
      <c r="AH1060" s="123"/>
      <c r="AI1060" s="124"/>
      <c r="AJ1060" s="124"/>
      <c r="AK1060"/>
      <c r="AM1060" s="80"/>
    </row>
    <row r="1061" spans="1:39" ht="28.5" customHeight="1">
      <c r="A1061" s="113"/>
      <c r="B1061" s="114"/>
      <c r="C1061" s="113"/>
      <c r="D1061" s="124"/>
      <c r="E1061" s="124"/>
      <c r="F1061" s="124"/>
      <c r="G1061" s="124"/>
      <c r="H1061" s="209"/>
      <c r="I1061" s="114"/>
      <c r="J1061" s="210"/>
      <c r="K1061" s="209"/>
      <c r="L1061" s="114"/>
      <c r="M1061" s="209"/>
      <c r="N1061" s="211"/>
      <c r="O1061" s="120"/>
      <c r="P1061" s="114"/>
      <c r="Q1061" s="114"/>
      <c r="R1061" s="114"/>
      <c r="S1061" s="212"/>
      <c r="T1061" s="114"/>
      <c r="U1061" s="212"/>
      <c r="V1061" s="212"/>
      <c r="W1061" s="212"/>
      <c r="X1061" s="114"/>
      <c r="Y1061" s="124"/>
      <c r="Z1061" s="115"/>
      <c r="AA1061" s="114"/>
      <c r="AB1061" s="213"/>
      <c r="AC1061" s="122"/>
      <c r="AD1061" s="129"/>
      <c r="AE1061" s="213"/>
      <c r="AF1061" s="130"/>
      <c r="AG1061" s="130"/>
      <c r="AH1061" s="123"/>
      <c r="AI1061" s="124"/>
      <c r="AJ1061" s="124"/>
      <c r="AK1061"/>
      <c r="AM1061" s="80"/>
    </row>
    <row r="1062" spans="1:39" ht="28.5" customHeight="1">
      <c r="A1062" s="113"/>
      <c r="B1062" s="114"/>
      <c r="C1062" s="113"/>
      <c r="D1062" s="124"/>
      <c r="E1062" s="124"/>
      <c r="F1062" s="124"/>
      <c r="G1062" s="124"/>
      <c r="H1062" s="209"/>
      <c r="I1062" s="114"/>
      <c r="J1062" s="210"/>
      <c r="K1062" s="209"/>
      <c r="L1062" s="114"/>
      <c r="M1062" s="209"/>
      <c r="N1062" s="211"/>
      <c r="O1062" s="120"/>
      <c r="P1062" s="114"/>
      <c r="Q1062" s="114"/>
      <c r="R1062" s="114"/>
      <c r="S1062" s="212"/>
      <c r="T1062" s="114"/>
      <c r="U1062" s="212"/>
      <c r="V1062" s="212"/>
      <c r="W1062" s="212"/>
      <c r="X1062" s="114"/>
      <c r="Y1062" s="124"/>
      <c r="Z1062" s="115"/>
      <c r="AA1062" s="114"/>
      <c r="AB1062" s="213"/>
      <c r="AC1062" s="122"/>
      <c r="AD1062" s="129"/>
      <c r="AE1062" s="213"/>
      <c r="AF1062" s="130"/>
      <c r="AG1062" s="130"/>
      <c r="AH1062" s="123"/>
      <c r="AI1062" s="124"/>
      <c r="AJ1062" s="124"/>
      <c r="AK1062"/>
      <c r="AM1062" s="80"/>
    </row>
    <row r="1063" spans="1:39" ht="28.5" customHeight="1">
      <c r="A1063" s="113"/>
      <c r="B1063" s="114"/>
      <c r="C1063" s="113"/>
      <c r="D1063" s="124"/>
      <c r="E1063" s="124"/>
      <c r="F1063" s="124"/>
      <c r="G1063" s="124"/>
      <c r="H1063" s="209"/>
      <c r="I1063" s="114"/>
      <c r="J1063" s="210"/>
      <c r="K1063" s="209"/>
      <c r="L1063" s="114"/>
      <c r="M1063" s="209"/>
      <c r="N1063" s="211"/>
      <c r="O1063" s="120"/>
      <c r="P1063" s="114"/>
      <c r="Q1063" s="114"/>
      <c r="R1063" s="114"/>
      <c r="S1063" s="212"/>
      <c r="T1063" s="114"/>
      <c r="U1063" s="212"/>
      <c r="V1063" s="212"/>
      <c r="W1063" s="212"/>
      <c r="X1063" s="114"/>
      <c r="Y1063" s="124"/>
      <c r="Z1063" s="115"/>
      <c r="AA1063" s="114"/>
      <c r="AB1063" s="213"/>
      <c r="AC1063" s="122"/>
      <c r="AD1063" s="129"/>
      <c r="AE1063" s="213"/>
      <c r="AF1063" s="130"/>
      <c r="AG1063" s="130"/>
      <c r="AH1063" s="123"/>
      <c r="AI1063" s="124"/>
      <c r="AJ1063" s="124"/>
      <c r="AK1063"/>
      <c r="AM1063" s="80"/>
    </row>
    <row r="1064" spans="1:39" ht="28.5" customHeight="1">
      <c r="A1064" s="113"/>
      <c r="B1064" s="114"/>
      <c r="C1064" s="113"/>
      <c r="D1064" s="124"/>
      <c r="E1064" s="124"/>
      <c r="F1064" s="124"/>
      <c r="G1064" s="124"/>
      <c r="H1064" s="209"/>
      <c r="I1064" s="114"/>
      <c r="J1064" s="210"/>
      <c r="K1064" s="209"/>
      <c r="L1064" s="114"/>
      <c r="M1064" s="209"/>
      <c r="N1064" s="211"/>
      <c r="O1064" s="120"/>
      <c r="P1064" s="114"/>
      <c r="Q1064" s="114"/>
      <c r="R1064" s="114"/>
      <c r="S1064" s="212"/>
      <c r="T1064" s="114"/>
      <c r="U1064" s="212"/>
      <c r="V1064" s="212"/>
      <c r="W1064" s="212"/>
      <c r="X1064" s="114"/>
      <c r="Y1064" s="124"/>
      <c r="Z1064" s="115"/>
      <c r="AA1064" s="114"/>
      <c r="AB1064" s="213"/>
      <c r="AC1064" s="122"/>
      <c r="AD1064" s="129"/>
      <c r="AE1064" s="213"/>
      <c r="AF1064" s="130"/>
      <c r="AG1064" s="130"/>
      <c r="AH1064" s="123"/>
      <c r="AI1064" s="124"/>
      <c r="AJ1064" s="124"/>
      <c r="AK1064"/>
      <c r="AM1064" s="80"/>
    </row>
    <row r="1065" spans="1:39" ht="28.5" customHeight="1">
      <c r="A1065" s="113"/>
      <c r="B1065" s="114"/>
      <c r="C1065" s="113"/>
      <c r="D1065" s="124"/>
      <c r="E1065" s="124"/>
      <c r="F1065" s="124"/>
      <c r="G1065" s="124"/>
      <c r="H1065" s="209"/>
      <c r="I1065" s="114"/>
      <c r="J1065" s="210"/>
      <c r="K1065" s="209"/>
      <c r="L1065" s="114"/>
      <c r="M1065" s="209"/>
      <c r="N1065" s="211"/>
      <c r="O1065" s="120"/>
      <c r="P1065" s="114"/>
      <c r="Q1065" s="114"/>
      <c r="R1065" s="114"/>
      <c r="S1065" s="212"/>
      <c r="T1065" s="114"/>
      <c r="U1065" s="212"/>
      <c r="V1065" s="212"/>
      <c r="W1065" s="212"/>
      <c r="X1065" s="114"/>
      <c r="Y1065" s="124"/>
      <c r="Z1065" s="115"/>
      <c r="AA1065" s="114"/>
      <c r="AB1065" s="213"/>
      <c r="AC1065" s="122"/>
      <c r="AD1065" s="129"/>
      <c r="AE1065" s="213"/>
      <c r="AF1065" s="130"/>
      <c r="AG1065" s="130"/>
      <c r="AH1065" s="123"/>
      <c r="AI1065" s="124"/>
      <c r="AJ1065" s="124"/>
      <c r="AK1065"/>
      <c r="AM1065" s="80"/>
    </row>
    <row r="1066" spans="1:39" ht="28.5" customHeight="1">
      <c r="A1066" s="113"/>
      <c r="B1066" s="114"/>
      <c r="C1066" s="113"/>
      <c r="D1066" s="124"/>
      <c r="E1066" s="124"/>
      <c r="F1066" s="124"/>
      <c r="G1066" s="124"/>
      <c r="H1066" s="209"/>
      <c r="I1066" s="114"/>
      <c r="J1066" s="210"/>
      <c r="K1066" s="209"/>
      <c r="L1066" s="114"/>
      <c r="M1066" s="209"/>
      <c r="N1066" s="211"/>
      <c r="O1066" s="120"/>
      <c r="P1066" s="114"/>
      <c r="Q1066" s="114"/>
      <c r="R1066" s="114"/>
      <c r="S1066" s="212"/>
      <c r="T1066" s="114"/>
      <c r="U1066" s="212"/>
      <c r="V1066" s="212"/>
      <c r="W1066" s="212"/>
      <c r="X1066" s="114"/>
      <c r="Y1066" s="124"/>
      <c r="Z1066" s="115"/>
      <c r="AA1066" s="114"/>
      <c r="AB1066" s="213"/>
      <c r="AC1066" s="122"/>
      <c r="AD1066" s="129"/>
      <c r="AE1066" s="213"/>
      <c r="AF1066" s="130"/>
      <c r="AG1066" s="130"/>
      <c r="AH1066" s="123"/>
      <c r="AI1066" s="124"/>
      <c r="AJ1066" s="124"/>
      <c r="AK1066"/>
      <c r="AM1066" s="80"/>
    </row>
    <row r="1067" spans="1:39" ht="28.5" customHeight="1">
      <c r="A1067" s="113"/>
      <c r="B1067" s="114"/>
      <c r="C1067" s="113"/>
      <c r="D1067" s="124"/>
      <c r="E1067" s="124"/>
      <c r="F1067" s="124"/>
      <c r="G1067" s="124"/>
      <c r="H1067" s="209"/>
      <c r="I1067" s="114"/>
      <c r="J1067" s="210"/>
      <c r="K1067" s="209"/>
      <c r="L1067" s="114"/>
      <c r="M1067" s="209"/>
      <c r="N1067" s="211"/>
      <c r="O1067" s="120"/>
      <c r="P1067" s="114"/>
      <c r="Q1067" s="114"/>
      <c r="R1067" s="114"/>
      <c r="S1067" s="212"/>
      <c r="T1067" s="114"/>
      <c r="U1067" s="212"/>
      <c r="V1067" s="212"/>
      <c r="W1067" s="212"/>
      <c r="X1067" s="114"/>
      <c r="Y1067" s="124"/>
      <c r="Z1067" s="115"/>
      <c r="AA1067" s="114"/>
      <c r="AB1067" s="213"/>
      <c r="AC1067" s="122"/>
      <c r="AD1067" s="129"/>
      <c r="AE1067" s="213"/>
      <c r="AF1067" s="130"/>
      <c r="AG1067" s="130"/>
      <c r="AH1067" s="123"/>
      <c r="AI1067" s="124"/>
      <c r="AJ1067" s="124"/>
      <c r="AK1067"/>
      <c r="AM1067" s="80"/>
    </row>
    <row r="1068" spans="1:39" ht="28.5" customHeight="1">
      <c r="A1068" s="113"/>
      <c r="B1068" s="114"/>
      <c r="C1068" s="113"/>
      <c r="D1068" s="124"/>
      <c r="E1068" s="124"/>
      <c r="F1068" s="124"/>
      <c r="G1068" s="124"/>
      <c r="H1068" s="209"/>
      <c r="I1068" s="114"/>
      <c r="J1068" s="210"/>
      <c r="K1068" s="209"/>
      <c r="L1068" s="114"/>
      <c r="M1068" s="209"/>
      <c r="N1068" s="211"/>
      <c r="O1068" s="120"/>
      <c r="P1068" s="114"/>
      <c r="Q1068" s="114"/>
      <c r="R1068" s="114"/>
      <c r="S1068" s="212"/>
      <c r="T1068" s="114"/>
      <c r="U1068" s="212"/>
      <c r="V1068" s="212"/>
      <c r="W1068" s="212"/>
      <c r="X1068" s="114"/>
      <c r="Y1068" s="124"/>
      <c r="Z1068" s="115"/>
      <c r="AA1068" s="114"/>
      <c r="AB1068" s="213"/>
      <c r="AC1068" s="122"/>
      <c r="AD1068" s="129"/>
      <c r="AE1068" s="213"/>
      <c r="AF1068" s="130"/>
      <c r="AG1068" s="130"/>
      <c r="AH1068" s="123"/>
      <c r="AI1068" s="124"/>
      <c r="AJ1068" s="124"/>
      <c r="AK1068"/>
      <c r="AM1068" s="80"/>
    </row>
    <row r="1069" spans="1:39" ht="28.5" customHeight="1">
      <c r="A1069" s="113"/>
      <c r="B1069" s="114"/>
      <c r="C1069" s="113"/>
      <c r="D1069" s="124"/>
      <c r="E1069" s="124"/>
      <c r="F1069" s="124"/>
      <c r="G1069" s="124"/>
      <c r="H1069" s="209"/>
      <c r="I1069" s="114"/>
      <c r="J1069" s="210"/>
      <c r="K1069" s="209"/>
      <c r="L1069" s="114"/>
      <c r="M1069" s="209"/>
      <c r="N1069" s="211"/>
      <c r="O1069" s="120"/>
      <c r="P1069" s="114"/>
      <c r="Q1069" s="114"/>
      <c r="R1069" s="114"/>
      <c r="S1069" s="212"/>
      <c r="T1069" s="114"/>
      <c r="U1069" s="212"/>
      <c r="V1069" s="212"/>
      <c r="W1069" s="212"/>
      <c r="X1069" s="114"/>
      <c r="Y1069" s="124"/>
      <c r="Z1069" s="115"/>
      <c r="AA1069" s="114"/>
      <c r="AB1069" s="213"/>
      <c r="AC1069" s="122"/>
      <c r="AD1069" s="129"/>
      <c r="AE1069" s="213"/>
      <c r="AF1069" s="130"/>
      <c r="AG1069" s="130"/>
      <c r="AH1069" s="123"/>
      <c r="AI1069" s="124"/>
      <c r="AJ1069" s="124"/>
      <c r="AK1069"/>
      <c r="AM1069" s="80"/>
    </row>
    <row r="1070" spans="1:39" ht="28.5" customHeight="1">
      <c r="A1070" s="113"/>
      <c r="B1070" s="114"/>
      <c r="C1070" s="113"/>
      <c r="D1070" s="124"/>
      <c r="E1070" s="124"/>
      <c r="F1070" s="124"/>
      <c r="G1070" s="124"/>
      <c r="H1070" s="209"/>
      <c r="I1070" s="114"/>
      <c r="J1070" s="210"/>
      <c r="K1070" s="209"/>
      <c r="L1070" s="114"/>
      <c r="M1070" s="209"/>
      <c r="N1070" s="211"/>
      <c r="O1070" s="120"/>
      <c r="P1070" s="114"/>
      <c r="Q1070" s="114"/>
      <c r="R1070" s="114"/>
      <c r="S1070" s="212"/>
      <c r="T1070" s="114"/>
      <c r="U1070" s="212"/>
      <c r="V1070" s="212"/>
      <c r="W1070" s="212"/>
      <c r="X1070" s="114"/>
      <c r="Y1070" s="124"/>
      <c r="Z1070" s="115"/>
      <c r="AA1070" s="114"/>
      <c r="AB1070" s="213"/>
      <c r="AC1070" s="122"/>
      <c r="AD1070" s="129"/>
      <c r="AE1070" s="213"/>
      <c r="AF1070" s="130"/>
      <c r="AG1070" s="130"/>
      <c r="AH1070" s="123"/>
      <c r="AI1070" s="124"/>
      <c r="AJ1070" s="124"/>
      <c r="AK1070"/>
      <c r="AM1070" s="80"/>
    </row>
    <row r="1071" spans="1:39" ht="28.5" customHeight="1">
      <c r="A1071" s="113"/>
      <c r="B1071" s="114"/>
      <c r="C1071" s="113"/>
      <c r="D1071" s="124"/>
      <c r="E1071" s="124"/>
      <c r="F1071" s="124"/>
      <c r="G1071" s="124"/>
      <c r="H1071" s="209"/>
      <c r="I1071" s="114"/>
      <c r="J1071" s="210"/>
      <c r="K1071" s="209"/>
      <c r="L1071" s="114"/>
      <c r="M1071" s="209"/>
      <c r="N1071" s="211"/>
      <c r="O1071" s="120"/>
      <c r="P1071" s="114"/>
      <c r="Q1071" s="114"/>
      <c r="R1071" s="114"/>
      <c r="S1071" s="212"/>
      <c r="T1071" s="114"/>
      <c r="U1071" s="212"/>
      <c r="V1071" s="212"/>
      <c r="W1071" s="212"/>
      <c r="X1071" s="114"/>
      <c r="Y1071" s="124"/>
      <c r="Z1071" s="115"/>
      <c r="AA1071" s="114"/>
      <c r="AB1071" s="213"/>
      <c r="AC1071" s="122"/>
      <c r="AD1071" s="129"/>
      <c r="AE1071" s="213"/>
      <c r="AF1071" s="130"/>
      <c r="AG1071" s="130"/>
      <c r="AH1071" s="123"/>
      <c r="AI1071" s="124"/>
      <c r="AJ1071" s="124"/>
      <c r="AK1071"/>
      <c r="AM1071" s="80"/>
    </row>
    <row r="1072" spans="1:39" ht="28.5" customHeight="1">
      <c r="A1072" s="113"/>
      <c r="B1072" s="114"/>
      <c r="C1072" s="113"/>
      <c r="D1072" s="124"/>
      <c r="E1072" s="124"/>
      <c r="F1072" s="124"/>
      <c r="G1072" s="124"/>
      <c r="H1072" s="209"/>
      <c r="I1072" s="114"/>
      <c r="J1072" s="210"/>
      <c r="K1072" s="209"/>
      <c r="L1072" s="114"/>
      <c r="M1072" s="209"/>
      <c r="N1072" s="211"/>
      <c r="O1072" s="120"/>
      <c r="P1072" s="114"/>
      <c r="Q1072" s="114"/>
      <c r="R1072" s="114"/>
      <c r="S1072" s="212"/>
      <c r="T1072" s="114"/>
      <c r="U1072" s="212"/>
      <c r="V1072" s="212"/>
      <c r="W1072" s="212"/>
      <c r="X1072" s="114"/>
      <c r="Y1072" s="124"/>
      <c r="Z1072" s="115"/>
      <c r="AA1072" s="114"/>
      <c r="AB1072" s="213"/>
      <c r="AC1072" s="122"/>
      <c r="AD1072" s="129"/>
      <c r="AE1072" s="213"/>
      <c r="AF1072" s="130"/>
      <c r="AG1072" s="130"/>
      <c r="AH1072" s="123"/>
      <c r="AI1072" s="124"/>
      <c r="AJ1072" s="124"/>
      <c r="AK1072"/>
      <c r="AM1072" s="80"/>
    </row>
    <row r="1073" spans="1:39" ht="28.5" customHeight="1">
      <c r="A1073" s="113"/>
      <c r="B1073" s="114"/>
      <c r="C1073" s="113"/>
      <c r="D1073" s="124"/>
      <c r="E1073" s="124"/>
      <c r="F1073" s="124"/>
      <c r="G1073" s="124"/>
      <c r="H1073" s="209"/>
      <c r="I1073" s="114"/>
      <c r="J1073" s="210"/>
      <c r="K1073" s="209"/>
      <c r="L1073" s="114"/>
      <c r="M1073" s="209"/>
      <c r="N1073" s="211"/>
      <c r="O1073" s="120"/>
      <c r="P1073" s="114"/>
      <c r="Q1073" s="114"/>
      <c r="R1073" s="114"/>
      <c r="S1073" s="212"/>
      <c r="T1073" s="114"/>
      <c r="U1073" s="212"/>
      <c r="V1073" s="212"/>
      <c r="W1073" s="212"/>
      <c r="X1073" s="114"/>
      <c r="Y1073" s="124"/>
      <c r="Z1073" s="115"/>
      <c r="AA1073" s="114"/>
      <c r="AB1073" s="213"/>
      <c r="AC1073" s="122"/>
      <c r="AD1073" s="129"/>
      <c r="AE1073" s="213"/>
      <c r="AF1073" s="130"/>
      <c r="AG1073" s="130"/>
      <c r="AH1073" s="123"/>
      <c r="AI1073" s="124"/>
      <c r="AJ1073" s="124"/>
      <c r="AK1073"/>
      <c r="AM1073" s="80"/>
    </row>
    <row r="1074" spans="1:39" ht="28.5" customHeight="1">
      <c r="A1074" s="113"/>
      <c r="B1074" s="114"/>
      <c r="C1074" s="113"/>
      <c r="D1074" s="124"/>
      <c r="E1074" s="124"/>
      <c r="F1074" s="124"/>
      <c r="G1074" s="124"/>
      <c r="H1074" s="209"/>
      <c r="I1074" s="114"/>
      <c r="J1074" s="210"/>
      <c r="K1074" s="209"/>
      <c r="L1074" s="114"/>
      <c r="M1074" s="209"/>
      <c r="N1074" s="211"/>
      <c r="O1074" s="120"/>
      <c r="P1074" s="114"/>
      <c r="Q1074" s="114"/>
      <c r="R1074" s="114"/>
      <c r="S1074" s="212"/>
      <c r="T1074" s="114"/>
      <c r="U1074" s="212"/>
      <c r="V1074" s="212"/>
      <c r="W1074" s="212"/>
      <c r="X1074" s="114"/>
      <c r="Y1074" s="124"/>
      <c r="Z1074" s="115"/>
      <c r="AA1074" s="114"/>
      <c r="AB1074" s="213"/>
      <c r="AC1074" s="122"/>
      <c r="AD1074" s="129"/>
      <c r="AE1074" s="213"/>
      <c r="AF1074" s="130"/>
      <c r="AG1074" s="130"/>
      <c r="AH1074" s="123"/>
      <c r="AI1074" s="124"/>
      <c r="AJ1074" s="124"/>
      <c r="AK1074"/>
      <c r="AM1074" s="80"/>
    </row>
    <row r="1075" spans="1:39" ht="28.5" customHeight="1">
      <c r="A1075" s="113"/>
      <c r="B1075" s="114"/>
      <c r="C1075" s="113"/>
      <c r="D1075" s="124"/>
      <c r="E1075" s="124"/>
      <c r="F1075" s="124"/>
      <c r="G1075" s="124"/>
      <c r="H1075" s="209"/>
      <c r="I1075" s="114"/>
      <c r="J1075" s="210"/>
      <c r="K1075" s="209"/>
      <c r="L1075" s="114"/>
      <c r="M1075" s="209"/>
      <c r="N1075" s="211"/>
      <c r="O1075" s="120"/>
      <c r="P1075" s="114"/>
      <c r="Q1075" s="114"/>
      <c r="R1075" s="114"/>
      <c r="S1075" s="212"/>
      <c r="T1075" s="114"/>
      <c r="U1075" s="212"/>
      <c r="V1075" s="212"/>
      <c r="W1075" s="212"/>
      <c r="X1075" s="114"/>
      <c r="Y1075" s="124"/>
      <c r="Z1075" s="115"/>
      <c r="AA1075" s="114"/>
      <c r="AB1075" s="213"/>
      <c r="AC1075" s="122"/>
      <c r="AD1075" s="129"/>
      <c r="AE1075" s="213"/>
      <c r="AF1075" s="130"/>
      <c r="AG1075" s="130"/>
      <c r="AH1075" s="123"/>
      <c r="AI1075" s="124"/>
      <c r="AJ1075" s="124"/>
      <c r="AK1075"/>
      <c r="AM1075" s="80"/>
    </row>
    <row r="1076" spans="1:39" ht="28.5" customHeight="1">
      <c r="A1076" s="113"/>
      <c r="B1076" s="114"/>
      <c r="C1076" s="113"/>
      <c r="D1076" s="124"/>
      <c r="E1076" s="124"/>
      <c r="F1076" s="124"/>
      <c r="G1076" s="124"/>
      <c r="H1076" s="209"/>
      <c r="I1076" s="114"/>
      <c r="J1076" s="210"/>
      <c r="K1076" s="209"/>
      <c r="L1076" s="114"/>
      <c r="M1076" s="209"/>
      <c r="N1076" s="211"/>
      <c r="O1076" s="120"/>
      <c r="P1076" s="114"/>
      <c r="Q1076" s="114"/>
      <c r="R1076" s="114"/>
      <c r="S1076" s="212"/>
      <c r="T1076" s="114"/>
      <c r="U1076" s="212"/>
      <c r="V1076" s="212"/>
      <c r="W1076" s="212"/>
      <c r="X1076" s="114"/>
      <c r="Y1076" s="124"/>
      <c r="Z1076" s="115"/>
      <c r="AA1076" s="114"/>
      <c r="AB1076" s="213"/>
      <c r="AC1076" s="122"/>
      <c r="AD1076" s="129"/>
      <c r="AE1076" s="213"/>
      <c r="AF1076" s="130"/>
      <c r="AG1076" s="130"/>
      <c r="AH1076" s="123"/>
      <c r="AI1076" s="124"/>
      <c r="AJ1076" s="124"/>
      <c r="AK1076"/>
      <c r="AM1076" s="80"/>
    </row>
    <row r="1077" spans="1:39" ht="28.5" customHeight="1">
      <c r="A1077" s="113"/>
      <c r="B1077" s="114"/>
      <c r="C1077" s="113"/>
      <c r="D1077" s="124"/>
      <c r="E1077" s="124"/>
      <c r="F1077" s="124"/>
      <c r="G1077" s="124"/>
      <c r="H1077" s="209"/>
      <c r="I1077" s="114"/>
      <c r="J1077" s="210"/>
      <c r="K1077" s="209"/>
      <c r="L1077" s="114"/>
      <c r="M1077" s="209"/>
      <c r="N1077" s="211"/>
      <c r="O1077" s="120"/>
      <c r="P1077" s="114"/>
      <c r="Q1077" s="114"/>
      <c r="R1077" s="114"/>
      <c r="S1077" s="212"/>
      <c r="T1077" s="114"/>
      <c r="U1077" s="212"/>
      <c r="V1077" s="212"/>
      <c r="W1077" s="212"/>
      <c r="X1077" s="114"/>
      <c r="Y1077" s="124"/>
      <c r="Z1077" s="115"/>
      <c r="AA1077" s="114"/>
      <c r="AB1077" s="213"/>
      <c r="AC1077" s="122"/>
      <c r="AD1077" s="129"/>
      <c r="AE1077" s="213"/>
      <c r="AF1077" s="130"/>
      <c r="AG1077" s="130"/>
      <c r="AH1077" s="123"/>
      <c r="AI1077" s="124"/>
      <c r="AJ1077" s="124"/>
      <c r="AK1077"/>
      <c r="AM1077" s="80"/>
    </row>
    <row r="1078" spans="1:39" ht="28.5" customHeight="1">
      <c r="A1078" s="113"/>
      <c r="B1078" s="114"/>
      <c r="C1078" s="113"/>
      <c r="D1078" s="124"/>
      <c r="E1078" s="124"/>
      <c r="F1078" s="124"/>
      <c r="G1078" s="124"/>
      <c r="H1078" s="209"/>
      <c r="I1078" s="114"/>
      <c r="J1078" s="210"/>
      <c r="K1078" s="209"/>
      <c r="L1078" s="114"/>
      <c r="M1078" s="209"/>
      <c r="N1078" s="211"/>
      <c r="O1078" s="120"/>
      <c r="P1078" s="114"/>
      <c r="Q1078" s="114"/>
      <c r="R1078" s="114"/>
      <c r="S1078" s="212"/>
      <c r="T1078" s="114"/>
      <c r="U1078" s="212"/>
      <c r="V1078" s="212"/>
      <c r="W1078" s="212"/>
      <c r="X1078" s="114"/>
      <c r="Y1078" s="124"/>
      <c r="Z1078" s="115"/>
      <c r="AA1078" s="114"/>
      <c r="AB1078" s="213"/>
      <c r="AC1078" s="122"/>
      <c r="AD1078" s="129"/>
      <c r="AE1078" s="213"/>
      <c r="AF1078" s="130"/>
      <c r="AG1078" s="130"/>
      <c r="AH1078" s="123"/>
      <c r="AI1078" s="124"/>
      <c r="AJ1078" s="124"/>
      <c r="AK1078"/>
      <c r="AM1078" s="80"/>
    </row>
    <row r="1079" spans="1:39" ht="28.5" customHeight="1">
      <c r="A1079" s="113"/>
      <c r="B1079" s="114"/>
      <c r="C1079" s="113"/>
      <c r="D1079" s="124"/>
      <c r="E1079" s="124"/>
      <c r="F1079" s="124"/>
      <c r="G1079" s="124"/>
      <c r="H1079" s="209"/>
      <c r="I1079" s="114"/>
      <c r="J1079" s="210"/>
      <c r="K1079" s="209"/>
      <c r="L1079" s="114"/>
      <c r="M1079" s="209"/>
      <c r="N1079" s="211"/>
      <c r="O1079" s="120"/>
      <c r="P1079" s="114"/>
      <c r="Q1079" s="114"/>
      <c r="R1079" s="114"/>
      <c r="S1079" s="212"/>
      <c r="T1079" s="114"/>
      <c r="U1079" s="212"/>
      <c r="V1079" s="212"/>
      <c r="W1079" s="212"/>
      <c r="X1079" s="114"/>
      <c r="Y1079" s="124"/>
      <c r="Z1079" s="115"/>
      <c r="AA1079" s="114"/>
      <c r="AB1079" s="213"/>
      <c r="AC1079" s="122"/>
      <c r="AD1079" s="129"/>
      <c r="AE1079" s="213"/>
      <c r="AF1079" s="130"/>
      <c r="AG1079" s="130"/>
      <c r="AH1079" s="123"/>
      <c r="AI1079" s="124"/>
      <c r="AJ1079" s="124"/>
      <c r="AK1079"/>
      <c r="AM1079" s="80"/>
    </row>
    <row r="1080" spans="1:39" ht="28.5" customHeight="1">
      <c r="A1080" s="113"/>
      <c r="B1080" s="114"/>
      <c r="C1080" s="113"/>
      <c r="D1080" s="124"/>
      <c r="E1080" s="124"/>
      <c r="F1080" s="124"/>
      <c r="G1080" s="124"/>
      <c r="H1080" s="209"/>
      <c r="I1080" s="114"/>
      <c r="J1080" s="210"/>
      <c r="K1080" s="209"/>
      <c r="L1080" s="114"/>
      <c r="M1080" s="209"/>
      <c r="N1080" s="211"/>
      <c r="O1080" s="120"/>
      <c r="P1080" s="114"/>
      <c r="Q1080" s="114"/>
      <c r="R1080" s="114"/>
      <c r="S1080" s="212"/>
      <c r="T1080" s="114"/>
      <c r="U1080" s="212"/>
      <c r="V1080" s="212"/>
      <c r="W1080" s="212"/>
      <c r="X1080" s="114"/>
      <c r="Y1080" s="124"/>
      <c r="Z1080" s="115"/>
      <c r="AA1080" s="114"/>
      <c r="AB1080" s="213"/>
      <c r="AC1080" s="122"/>
      <c r="AD1080" s="129"/>
      <c r="AE1080" s="213"/>
      <c r="AF1080" s="130"/>
      <c r="AG1080" s="130"/>
      <c r="AH1080" s="123"/>
      <c r="AI1080" s="124"/>
      <c r="AJ1080" s="124"/>
      <c r="AK1080"/>
      <c r="AM1080" s="80"/>
    </row>
    <row r="1081" spans="1:39" ht="28.5" customHeight="1">
      <c r="A1081" s="113"/>
      <c r="B1081" s="114"/>
      <c r="C1081" s="113"/>
      <c r="D1081" s="124"/>
      <c r="E1081" s="124"/>
      <c r="F1081" s="124"/>
      <c r="G1081" s="124"/>
      <c r="H1081" s="209"/>
      <c r="I1081" s="114"/>
      <c r="J1081" s="210"/>
      <c r="K1081" s="209"/>
      <c r="L1081" s="114"/>
      <c r="M1081" s="209"/>
      <c r="N1081" s="211"/>
      <c r="O1081" s="120"/>
      <c r="P1081" s="114"/>
      <c r="Q1081" s="114"/>
      <c r="R1081" s="114"/>
      <c r="S1081" s="212"/>
      <c r="T1081" s="114"/>
      <c r="U1081" s="212"/>
      <c r="V1081" s="212"/>
      <c r="W1081" s="212"/>
      <c r="X1081" s="114"/>
      <c r="Y1081" s="124"/>
      <c r="Z1081" s="115"/>
      <c r="AA1081" s="114"/>
      <c r="AB1081" s="213"/>
      <c r="AC1081" s="122"/>
      <c r="AD1081" s="129"/>
      <c r="AE1081" s="213"/>
      <c r="AF1081" s="130"/>
      <c r="AG1081" s="130"/>
      <c r="AH1081" s="123"/>
      <c r="AI1081" s="124"/>
      <c r="AJ1081" s="124"/>
      <c r="AK1081"/>
      <c r="AM1081" s="80"/>
    </row>
    <row r="1082" spans="1:39" ht="28.5" customHeight="1">
      <c r="A1082" s="113"/>
      <c r="B1082" s="114"/>
      <c r="C1082" s="113"/>
      <c r="D1082" s="124"/>
      <c r="E1082" s="124"/>
      <c r="F1082" s="124"/>
      <c r="G1082" s="124"/>
      <c r="H1082" s="209"/>
      <c r="I1082" s="114"/>
      <c r="J1082" s="210"/>
      <c r="K1082" s="209"/>
      <c r="L1082" s="114"/>
      <c r="M1082" s="209"/>
      <c r="N1082" s="211"/>
      <c r="O1082" s="120"/>
      <c r="P1082" s="114"/>
      <c r="Q1082" s="114"/>
      <c r="R1082" s="114"/>
      <c r="S1082" s="212"/>
      <c r="T1082" s="114"/>
      <c r="U1082" s="212"/>
      <c r="V1082" s="212"/>
      <c r="W1082" s="212"/>
      <c r="X1082" s="114"/>
      <c r="Y1082" s="124"/>
      <c r="Z1082" s="115"/>
      <c r="AA1082" s="114"/>
      <c r="AB1082" s="213"/>
      <c r="AC1082" s="122"/>
      <c r="AD1082" s="129"/>
      <c r="AE1082" s="213"/>
      <c r="AF1082" s="130"/>
      <c r="AG1082" s="130"/>
      <c r="AH1082" s="123"/>
      <c r="AI1082" s="124"/>
      <c r="AJ1082" s="124"/>
      <c r="AK1082"/>
      <c r="AM1082" s="80"/>
    </row>
    <row r="1083" spans="1:39" ht="28.5" customHeight="1">
      <c r="A1083" s="113"/>
      <c r="B1083" s="114"/>
      <c r="C1083" s="113"/>
      <c r="D1083" s="124"/>
      <c r="E1083" s="124"/>
      <c r="F1083" s="124"/>
      <c r="G1083" s="124"/>
      <c r="H1083" s="209"/>
      <c r="I1083" s="114"/>
      <c r="J1083" s="210"/>
      <c r="K1083" s="209"/>
      <c r="L1083" s="114"/>
      <c r="M1083" s="209"/>
      <c r="N1083" s="211"/>
      <c r="O1083" s="120"/>
      <c r="P1083" s="114"/>
      <c r="Q1083" s="114"/>
      <c r="R1083" s="114"/>
      <c r="S1083" s="212"/>
      <c r="T1083" s="114"/>
      <c r="U1083" s="212"/>
      <c r="V1083" s="212"/>
      <c r="W1083" s="212"/>
      <c r="X1083" s="114"/>
      <c r="Y1083" s="124"/>
      <c r="Z1083" s="115"/>
      <c r="AA1083" s="114"/>
      <c r="AB1083" s="213"/>
      <c r="AC1083" s="122"/>
      <c r="AD1083" s="129"/>
      <c r="AE1083" s="213"/>
      <c r="AF1083" s="130"/>
      <c r="AG1083" s="130"/>
      <c r="AH1083" s="123"/>
      <c r="AI1083" s="124"/>
      <c r="AJ1083" s="124"/>
      <c r="AK1083"/>
      <c r="AM1083" s="80"/>
    </row>
    <row r="1084" spans="1:39" ht="28.5" customHeight="1">
      <c r="A1084" s="113"/>
      <c r="B1084" s="114"/>
      <c r="C1084" s="113"/>
      <c r="D1084" s="124"/>
      <c r="E1084" s="124"/>
      <c r="F1084" s="124"/>
      <c r="G1084" s="124"/>
      <c r="H1084" s="209"/>
      <c r="I1084" s="114"/>
      <c r="J1084" s="210"/>
      <c r="K1084" s="209"/>
      <c r="L1084" s="114"/>
      <c r="M1084" s="209"/>
      <c r="N1084" s="211"/>
      <c r="O1084" s="120"/>
      <c r="P1084" s="114"/>
      <c r="Q1084" s="114"/>
      <c r="R1084" s="114"/>
      <c r="S1084" s="212"/>
      <c r="T1084" s="114"/>
      <c r="U1084" s="212"/>
      <c r="V1084" s="212"/>
      <c r="W1084" s="212"/>
      <c r="X1084" s="114"/>
      <c r="Y1084" s="124"/>
      <c r="Z1084" s="115"/>
      <c r="AA1084" s="114"/>
      <c r="AB1084" s="213"/>
      <c r="AC1084" s="122"/>
      <c r="AD1084" s="129"/>
      <c r="AE1084" s="213"/>
      <c r="AF1084" s="130"/>
      <c r="AG1084" s="130"/>
      <c r="AH1084" s="123"/>
      <c r="AI1084" s="124"/>
      <c r="AJ1084" s="124"/>
      <c r="AK1084"/>
      <c r="AM1084" s="80"/>
    </row>
    <row r="1085" spans="1:39" ht="28.5" customHeight="1">
      <c r="A1085" s="113"/>
      <c r="B1085" s="114"/>
      <c r="C1085" s="113"/>
      <c r="D1085" s="124"/>
      <c r="E1085" s="124"/>
      <c r="F1085" s="124"/>
      <c r="G1085" s="124"/>
      <c r="H1085" s="209"/>
      <c r="I1085" s="114"/>
      <c r="J1085" s="210"/>
      <c r="K1085" s="209"/>
      <c r="L1085" s="114"/>
      <c r="M1085" s="209"/>
      <c r="N1085" s="211"/>
      <c r="O1085" s="120"/>
      <c r="P1085" s="114"/>
      <c r="Q1085" s="114"/>
      <c r="R1085" s="114"/>
      <c r="S1085" s="212"/>
      <c r="T1085" s="114"/>
      <c r="U1085" s="212"/>
      <c r="V1085" s="212"/>
      <c r="W1085" s="212"/>
      <c r="X1085" s="114"/>
      <c r="Y1085" s="124"/>
      <c r="Z1085" s="115"/>
      <c r="AA1085" s="114"/>
      <c r="AB1085" s="213"/>
      <c r="AC1085" s="122"/>
      <c r="AD1085" s="129"/>
      <c r="AE1085" s="213"/>
      <c r="AF1085" s="130"/>
      <c r="AG1085" s="130"/>
      <c r="AH1085" s="123"/>
      <c r="AI1085" s="124"/>
      <c r="AJ1085" s="124"/>
      <c r="AK1085"/>
      <c r="AM1085" s="80"/>
    </row>
    <row r="1086" spans="1:39" ht="28.5" customHeight="1">
      <c r="A1086" s="113"/>
      <c r="B1086" s="114"/>
      <c r="C1086" s="113"/>
      <c r="D1086" s="124"/>
      <c r="E1086" s="124"/>
      <c r="F1086" s="124"/>
      <c r="G1086" s="124"/>
      <c r="H1086" s="209"/>
      <c r="I1086" s="114"/>
      <c r="J1086" s="210"/>
      <c r="K1086" s="209"/>
      <c r="L1086" s="114"/>
      <c r="M1086" s="209"/>
      <c r="N1086" s="211"/>
      <c r="O1086" s="120"/>
      <c r="P1086" s="114"/>
      <c r="Q1086" s="114"/>
      <c r="R1086" s="114"/>
      <c r="S1086" s="212"/>
      <c r="T1086" s="114"/>
      <c r="U1086" s="212"/>
      <c r="V1086" s="212"/>
      <c r="W1086" s="212"/>
      <c r="X1086" s="114"/>
      <c r="Y1086" s="124"/>
      <c r="Z1086" s="115"/>
      <c r="AA1086" s="114"/>
      <c r="AB1086" s="213"/>
      <c r="AC1086" s="122"/>
      <c r="AD1086" s="129"/>
      <c r="AE1086" s="213"/>
      <c r="AF1086" s="130"/>
      <c r="AG1086" s="130"/>
      <c r="AH1086" s="123"/>
      <c r="AI1086" s="124"/>
      <c r="AJ1086" s="124"/>
      <c r="AK1086"/>
      <c r="AM1086" s="80"/>
    </row>
    <row r="1087" spans="1:39" ht="28.5" customHeight="1">
      <c r="A1087" s="113"/>
      <c r="B1087" s="114"/>
      <c r="C1087" s="113"/>
      <c r="D1087" s="124"/>
      <c r="E1087" s="124"/>
      <c r="F1087" s="124"/>
      <c r="G1087" s="124"/>
      <c r="H1087" s="209"/>
      <c r="I1087" s="114"/>
      <c r="J1087" s="210"/>
      <c r="K1087" s="209"/>
      <c r="L1087" s="114"/>
      <c r="M1087" s="209"/>
      <c r="N1087" s="211"/>
      <c r="O1087" s="120"/>
      <c r="P1087" s="114"/>
      <c r="Q1087" s="114"/>
      <c r="R1087" s="114"/>
      <c r="S1087" s="212"/>
      <c r="T1087" s="114"/>
      <c r="U1087" s="212"/>
      <c r="V1087" s="212"/>
      <c r="W1087" s="212"/>
      <c r="X1087" s="114"/>
      <c r="Y1087" s="124"/>
      <c r="Z1087" s="115"/>
      <c r="AA1087" s="114"/>
      <c r="AB1087" s="213"/>
      <c r="AC1087" s="122"/>
      <c r="AD1087" s="129"/>
      <c r="AE1087" s="213"/>
      <c r="AF1087" s="130"/>
      <c r="AG1087" s="130"/>
      <c r="AH1087" s="123"/>
      <c r="AI1087" s="124"/>
      <c r="AJ1087" s="124"/>
      <c r="AK1087"/>
      <c r="AM1087" s="80"/>
    </row>
    <row r="1088" spans="1:39" ht="28.5" customHeight="1">
      <c r="A1088" s="113"/>
      <c r="B1088" s="114"/>
      <c r="C1088" s="113"/>
      <c r="D1088" s="124"/>
      <c r="E1088" s="124"/>
      <c r="F1088" s="124"/>
      <c r="G1088" s="124"/>
      <c r="H1088" s="209"/>
      <c r="I1088" s="114"/>
      <c r="J1088" s="210"/>
      <c r="K1088" s="209"/>
      <c r="L1088" s="114"/>
      <c r="M1088" s="209"/>
      <c r="N1088" s="211"/>
      <c r="O1088" s="120"/>
      <c r="P1088" s="114"/>
      <c r="Q1088" s="114"/>
      <c r="R1088" s="114"/>
      <c r="S1088" s="212"/>
      <c r="T1088" s="114"/>
      <c r="U1088" s="212"/>
      <c r="V1088" s="212"/>
      <c r="W1088" s="212"/>
      <c r="X1088" s="114"/>
      <c r="Y1088" s="124"/>
      <c r="Z1088" s="115"/>
      <c r="AA1088" s="114"/>
      <c r="AB1088" s="213"/>
      <c r="AC1088" s="122"/>
      <c r="AD1088" s="129"/>
      <c r="AE1088" s="213"/>
      <c r="AF1088" s="130"/>
      <c r="AG1088" s="130"/>
      <c r="AH1088" s="123"/>
      <c r="AI1088" s="124"/>
      <c r="AJ1088" s="124"/>
      <c r="AK1088"/>
      <c r="AM1088" s="80"/>
    </row>
    <row r="1089" spans="1:39" ht="28.5" customHeight="1">
      <c r="A1089" s="113"/>
      <c r="B1089" s="114"/>
      <c r="C1089" s="113"/>
      <c r="D1089" s="124"/>
      <c r="E1089" s="124"/>
      <c r="F1089" s="124"/>
      <c r="G1089" s="124"/>
      <c r="H1089" s="209"/>
      <c r="I1089" s="114"/>
      <c r="J1089" s="210"/>
      <c r="K1089" s="209"/>
      <c r="L1089" s="114"/>
      <c r="M1089" s="209"/>
      <c r="N1089" s="211"/>
      <c r="O1089" s="120"/>
      <c r="P1089" s="114"/>
      <c r="Q1089" s="114"/>
      <c r="R1089" s="114"/>
      <c r="S1089" s="212"/>
      <c r="T1089" s="114"/>
      <c r="U1089" s="212"/>
      <c r="V1089" s="212"/>
      <c r="W1089" s="212"/>
      <c r="X1089" s="114"/>
      <c r="Y1089" s="124"/>
      <c r="Z1089" s="115"/>
      <c r="AA1089" s="114"/>
      <c r="AB1089" s="213"/>
      <c r="AC1089" s="122"/>
      <c r="AD1089" s="129"/>
      <c r="AE1089" s="213"/>
      <c r="AF1089" s="130"/>
      <c r="AG1089" s="130"/>
      <c r="AH1089" s="123"/>
      <c r="AI1089" s="124"/>
      <c r="AJ1089" s="124"/>
      <c r="AK1089"/>
      <c r="AM1089" s="80"/>
    </row>
    <row r="1090" spans="1:39" ht="28.5" customHeight="1">
      <c r="A1090" s="113"/>
      <c r="B1090" s="114"/>
      <c r="C1090" s="113"/>
      <c r="D1090" s="124"/>
      <c r="E1090" s="124"/>
      <c r="F1090" s="124"/>
      <c r="G1090" s="124"/>
      <c r="H1090" s="209"/>
      <c r="I1090" s="114"/>
      <c r="J1090" s="210"/>
      <c r="K1090" s="209"/>
      <c r="L1090" s="114"/>
      <c r="M1090" s="209"/>
      <c r="N1090" s="211"/>
      <c r="O1090" s="120"/>
      <c r="P1090" s="114"/>
      <c r="Q1090" s="114"/>
      <c r="R1090" s="114"/>
      <c r="S1090" s="212"/>
      <c r="T1090" s="114"/>
      <c r="U1090" s="212"/>
      <c r="V1090" s="212"/>
      <c r="W1090" s="212"/>
      <c r="X1090" s="114"/>
      <c r="Y1090" s="124"/>
      <c r="Z1090" s="115"/>
      <c r="AA1090" s="114"/>
      <c r="AB1090" s="213"/>
      <c r="AC1090" s="122"/>
      <c r="AD1090" s="129"/>
      <c r="AE1090" s="213"/>
      <c r="AF1090" s="130"/>
      <c r="AG1090" s="130"/>
      <c r="AH1090" s="123"/>
      <c r="AI1090" s="124"/>
      <c r="AJ1090" s="124"/>
      <c r="AK1090"/>
      <c r="AM1090" s="80"/>
    </row>
    <row r="1091" spans="1:39" ht="28.5" customHeight="1">
      <c r="A1091" s="113"/>
      <c r="B1091" s="114"/>
      <c r="C1091" s="113"/>
      <c r="D1091" s="124"/>
      <c r="E1091" s="124"/>
      <c r="F1091" s="124"/>
      <c r="G1091" s="124"/>
      <c r="H1091" s="209"/>
      <c r="I1091" s="114"/>
      <c r="J1091" s="210"/>
      <c r="K1091" s="209"/>
      <c r="L1091" s="114"/>
      <c r="M1091" s="209"/>
      <c r="N1091" s="211"/>
      <c r="O1091" s="120"/>
      <c r="P1091" s="114"/>
      <c r="Q1091" s="114"/>
      <c r="R1091" s="114"/>
      <c r="S1091" s="212"/>
      <c r="T1091" s="114"/>
      <c r="U1091" s="212"/>
      <c r="V1091" s="212"/>
      <c r="W1091" s="212"/>
      <c r="X1091" s="114"/>
      <c r="Y1091" s="124"/>
      <c r="Z1091" s="115"/>
      <c r="AA1091" s="114"/>
      <c r="AB1091" s="213"/>
      <c r="AC1091" s="122"/>
      <c r="AD1091" s="129"/>
      <c r="AE1091" s="213"/>
      <c r="AF1091" s="130"/>
      <c r="AG1091" s="130"/>
      <c r="AH1091" s="123"/>
      <c r="AI1091" s="124"/>
      <c r="AJ1091" s="124"/>
      <c r="AK1091"/>
      <c r="AM1091" s="80"/>
    </row>
    <row r="1092" spans="1:39" ht="28.5" customHeight="1">
      <c r="A1092" s="113"/>
      <c r="B1092" s="114"/>
      <c r="C1092" s="113"/>
      <c r="D1092" s="124"/>
      <c r="E1092" s="124"/>
      <c r="F1092" s="124"/>
      <c r="G1092" s="124"/>
      <c r="H1092" s="209"/>
      <c r="I1092" s="114"/>
      <c r="J1092" s="210"/>
      <c r="K1092" s="209"/>
      <c r="L1092" s="114"/>
      <c r="M1092" s="209"/>
      <c r="N1092" s="211"/>
      <c r="O1092" s="120"/>
      <c r="P1092" s="114"/>
      <c r="Q1092" s="114"/>
      <c r="R1092" s="114"/>
      <c r="S1092" s="212"/>
      <c r="T1092" s="114"/>
      <c r="U1092" s="212"/>
      <c r="V1092" s="212"/>
      <c r="W1092" s="212"/>
      <c r="X1092" s="114"/>
      <c r="Y1092" s="124"/>
      <c r="Z1092" s="115"/>
      <c r="AA1092" s="114"/>
      <c r="AB1092" s="213"/>
      <c r="AC1092" s="122"/>
      <c r="AD1092" s="129"/>
      <c r="AE1092" s="213"/>
      <c r="AF1092" s="130"/>
      <c r="AG1092" s="130"/>
      <c r="AH1092" s="123"/>
      <c r="AI1092" s="124"/>
      <c r="AJ1092" s="124"/>
      <c r="AK1092"/>
      <c r="AM1092" s="80"/>
    </row>
    <row r="1093" spans="1:39" ht="28.5" customHeight="1">
      <c r="A1093" s="113"/>
      <c r="B1093" s="114"/>
      <c r="C1093" s="113"/>
      <c r="D1093" s="124"/>
      <c r="E1093" s="124"/>
      <c r="F1093" s="124"/>
      <c r="G1093" s="124"/>
      <c r="H1093" s="209"/>
      <c r="I1093" s="114"/>
      <c r="J1093" s="210"/>
      <c r="K1093" s="209"/>
      <c r="L1093" s="114"/>
      <c r="M1093" s="209"/>
      <c r="N1093" s="211"/>
      <c r="O1093" s="120"/>
      <c r="P1093" s="114"/>
      <c r="Q1093" s="114"/>
      <c r="R1093" s="114"/>
      <c r="S1093" s="212"/>
      <c r="T1093" s="114"/>
      <c r="U1093" s="212"/>
      <c r="V1093" s="212"/>
      <c r="W1093" s="212"/>
      <c r="X1093" s="114"/>
      <c r="Y1093" s="124"/>
      <c r="Z1093" s="115"/>
      <c r="AA1093" s="114"/>
      <c r="AB1093" s="213"/>
      <c r="AC1093" s="122"/>
      <c r="AD1093" s="129"/>
      <c r="AE1093" s="213"/>
      <c r="AF1093" s="130"/>
      <c r="AG1093" s="130"/>
      <c r="AH1093" s="123"/>
      <c r="AI1093" s="124"/>
      <c r="AJ1093" s="124"/>
      <c r="AK1093"/>
      <c r="AM1093" s="80"/>
    </row>
    <row r="1094" spans="1:39" ht="28.5" customHeight="1">
      <c r="A1094" s="113"/>
      <c r="B1094" s="114"/>
      <c r="C1094" s="113"/>
      <c r="D1094" s="124"/>
      <c r="E1094" s="124"/>
      <c r="F1094" s="124"/>
      <c r="G1094" s="124"/>
      <c r="H1094" s="209"/>
      <c r="I1094" s="114"/>
      <c r="J1094" s="210"/>
      <c r="K1094" s="209"/>
      <c r="L1094" s="114"/>
      <c r="M1094" s="209"/>
      <c r="N1094" s="211"/>
      <c r="O1094" s="120"/>
      <c r="P1094" s="114"/>
      <c r="Q1094" s="114"/>
      <c r="R1094" s="114"/>
      <c r="S1094" s="212"/>
      <c r="T1094" s="114"/>
      <c r="U1094" s="212"/>
      <c r="V1094" s="212"/>
      <c r="W1094" s="212"/>
      <c r="X1094" s="114"/>
      <c r="Y1094" s="124"/>
      <c r="Z1094" s="115"/>
      <c r="AA1094" s="114"/>
      <c r="AB1094" s="213"/>
      <c r="AC1094" s="122"/>
      <c r="AD1094" s="129"/>
      <c r="AE1094" s="213"/>
      <c r="AF1094" s="130"/>
      <c r="AG1094" s="130"/>
      <c r="AH1094" s="123"/>
      <c r="AI1094" s="124"/>
      <c r="AJ1094" s="124"/>
      <c r="AK1094"/>
      <c r="AM1094" s="80"/>
    </row>
    <row r="1095" spans="1:39" ht="28.5" customHeight="1">
      <c r="A1095" s="113"/>
      <c r="B1095" s="114"/>
      <c r="C1095" s="113"/>
      <c r="D1095" s="124"/>
      <c r="E1095" s="124"/>
      <c r="F1095" s="124"/>
      <c r="G1095" s="124"/>
      <c r="H1095" s="209"/>
      <c r="I1095" s="114"/>
      <c r="J1095" s="210"/>
      <c r="K1095" s="209"/>
      <c r="L1095" s="114"/>
      <c r="M1095" s="209"/>
      <c r="N1095" s="211"/>
      <c r="O1095" s="120"/>
      <c r="P1095" s="114"/>
      <c r="Q1095" s="114"/>
      <c r="R1095" s="114"/>
      <c r="S1095" s="212"/>
      <c r="T1095" s="114"/>
      <c r="U1095" s="212"/>
      <c r="V1095" s="212"/>
      <c r="W1095" s="212"/>
      <c r="X1095" s="114"/>
      <c r="Y1095" s="124"/>
      <c r="Z1095" s="115"/>
      <c r="AA1095" s="114"/>
      <c r="AB1095" s="213"/>
      <c r="AC1095" s="122"/>
      <c r="AD1095" s="129"/>
      <c r="AE1095" s="213"/>
      <c r="AF1095" s="130"/>
      <c r="AG1095" s="130"/>
      <c r="AH1095" s="123"/>
      <c r="AI1095" s="124"/>
      <c r="AJ1095" s="124"/>
      <c r="AK1095"/>
      <c r="AM1095" s="80"/>
    </row>
    <row r="1096" spans="1:39" ht="28.5" customHeight="1">
      <c r="A1096" s="113"/>
      <c r="B1096" s="114"/>
      <c r="C1096" s="113"/>
      <c r="D1096" s="124"/>
      <c r="E1096" s="124"/>
      <c r="F1096" s="124"/>
      <c r="G1096" s="124"/>
      <c r="H1096" s="209"/>
      <c r="I1096" s="114"/>
      <c r="J1096" s="210"/>
      <c r="K1096" s="209"/>
      <c r="L1096" s="114"/>
      <c r="M1096" s="209"/>
      <c r="N1096" s="211"/>
      <c r="O1096" s="120"/>
      <c r="P1096" s="114"/>
      <c r="Q1096" s="114"/>
      <c r="R1096" s="114"/>
      <c r="S1096" s="212"/>
      <c r="T1096" s="114"/>
      <c r="U1096" s="212"/>
      <c r="V1096" s="212"/>
      <c r="W1096" s="212"/>
      <c r="X1096" s="114"/>
      <c r="Y1096" s="124"/>
      <c r="Z1096" s="115"/>
      <c r="AA1096" s="114"/>
      <c r="AB1096" s="213"/>
      <c r="AC1096" s="122"/>
      <c r="AD1096" s="129"/>
      <c r="AE1096" s="213"/>
      <c r="AF1096" s="130"/>
      <c r="AG1096" s="130"/>
      <c r="AH1096" s="123"/>
      <c r="AI1096" s="124"/>
      <c r="AJ1096" s="124"/>
      <c r="AK1096"/>
      <c r="AM1096" s="80"/>
    </row>
    <row r="1097" spans="1:39" ht="28.5" customHeight="1">
      <c r="A1097" s="113"/>
      <c r="B1097" s="114"/>
      <c r="C1097" s="113"/>
      <c r="D1097" s="124"/>
      <c r="E1097" s="124"/>
      <c r="F1097" s="124"/>
      <c r="G1097" s="124"/>
      <c r="H1097" s="209"/>
      <c r="I1097" s="114"/>
      <c r="J1097" s="210"/>
      <c r="K1097" s="209"/>
      <c r="L1097" s="114"/>
      <c r="M1097" s="209"/>
      <c r="N1097" s="211"/>
      <c r="O1097" s="120"/>
      <c r="P1097" s="114"/>
      <c r="Q1097" s="114"/>
      <c r="R1097" s="114"/>
      <c r="S1097" s="212"/>
      <c r="T1097" s="114"/>
      <c r="U1097" s="212"/>
      <c r="V1097" s="212"/>
      <c r="W1097" s="212"/>
      <c r="X1097" s="114"/>
      <c r="Y1097" s="124"/>
      <c r="Z1097" s="115"/>
      <c r="AA1097" s="114"/>
      <c r="AB1097" s="213"/>
      <c r="AC1097" s="122"/>
      <c r="AD1097" s="129"/>
      <c r="AE1097" s="213"/>
      <c r="AF1097" s="130"/>
      <c r="AG1097" s="130"/>
      <c r="AH1097" s="123"/>
      <c r="AI1097" s="124"/>
      <c r="AJ1097" s="124"/>
      <c r="AK1097"/>
      <c r="AM1097" s="80"/>
    </row>
    <row r="1098" spans="1:39" ht="28.5" customHeight="1">
      <c r="A1098" s="113"/>
      <c r="B1098" s="114"/>
      <c r="C1098" s="113"/>
      <c r="D1098" s="124"/>
      <c r="E1098" s="124"/>
      <c r="F1098" s="124"/>
      <c r="G1098" s="124"/>
      <c r="H1098" s="209"/>
      <c r="I1098" s="114"/>
      <c r="J1098" s="210"/>
      <c r="K1098" s="209"/>
      <c r="L1098" s="114"/>
      <c r="M1098" s="209"/>
      <c r="N1098" s="211"/>
      <c r="O1098" s="120"/>
      <c r="P1098" s="114"/>
      <c r="Q1098" s="114"/>
      <c r="R1098" s="114"/>
      <c r="S1098" s="212"/>
      <c r="T1098" s="114"/>
      <c r="U1098" s="212"/>
      <c r="V1098" s="212"/>
      <c r="W1098" s="212"/>
      <c r="X1098" s="114"/>
      <c r="Y1098" s="124"/>
      <c r="Z1098" s="115"/>
      <c r="AA1098" s="114"/>
      <c r="AB1098" s="213"/>
      <c r="AC1098" s="122"/>
      <c r="AD1098" s="129"/>
      <c r="AE1098" s="213"/>
      <c r="AF1098" s="130"/>
      <c r="AG1098" s="130"/>
      <c r="AH1098" s="123"/>
      <c r="AI1098" s="124"/>
      <c r="AJ1098" s="124"/>
      <c r="AK1098"/>
      <c r="AM1098" s="80"/>
    </row>
    <row r="1099" spans="1:39" ht="28.5" customHeight="1">
      <c r="A1099" s="114"/>
      <c r="B1099" s="114"/>
      <c r="C1099" s="114"/>
      <c r="D1099" s="124"/>
      <c r="E1099" s="124"/>
      <c r="F1099" s="124"/>
      <c r="G1099" s="124"/>
      <c r="H1099" s="209"/>
      <c r="I1099" s="209"/>
      <c r="J1099" s="210"/>
      <c r="K1099" s="209"/>
      <c r="L1099" s="114"/>
      <c r="M1099" s="209"/>
      <c r="N1099" s="211"/>
      <c r="O1099" s="120"/>
      <c r="P1099" s="114"/>
      <c r="Q1099" s="114"/>
      <c r="R1099" s="114"/>
      <c r="S1099" s="212"/>
      <c r="T1099" s="114"/>
      <c r="U1099" s="212"/>
      <c r="V1099" s="212"/>
      <c r="W1099" s="212"/>
      <c r="X1099" s="114"/>
      <c r="Y1099" s="124"/>
      <c r="Z1099" s="114"/>
      <c r="AA1099" s="114"/>
      <c r="AB1099" s="213"/>
      <c r="AC1099" s="122"/>
      <c r="AD1099" s="129"/>
      <c r="AE1099" s="213"/>
      <c r="AF1099" s="130"/>
      <c r="AG1099" s="130"/>
      <c r="AH1099" s="123"/>
      <c r="AI1099" s="124"/>
      <c r="AJ1099" s="124"/>
      <c r="AK1099"/>
      <c r="AM1099" s="80"/>
    </row>
    <row r="1100" spans="1:39" ht="30.75" customHeight="1"/>
    <row r="1101" spans="1:39" ht="30.75" customHeight="1"/>
    <row r="1102" spans="1:39" ht="30.75" customHeight="1"/>
    <row r="1103" spans="1:39" ht="30.75" customHeight="1"/>
    <row r="1104" spans="1:39" ht="30.75" customHeight="1"/>
    <row r="1105" spans="31:31" ht="30.75" customHeight="1"/>
    <row r="1106" spans="31:31" ht="30.75" customHeight="1"/>
    <row r="1107" spans="31:31" ht="30.75" customHeight="1"/>
    <row r="1108" spans="31:31" ht="30.75" customHeight="1"/>
    <row r="1109" spans="31:31" ht="30.75" customHeight="1"/>
    <row r="1110" spans="31:31" ht="30.75" customHeight="1"/>
    <row r="1111" spans="31:31" ht="30.75" customHeight="1"/>
    <row r="1112" spans="31:31" ht="30.75" customHeight="1"/>
    <row r="1113" spans="31:31" ht="30.75" customHeight="1"/>
    <row r="1114" spans="31:31" ht="30.75" customHeight="1"/>
    <row r="1117" spans="31:31" ht="14.45" customHeight="1">
      <c r="AE1117" s="355"/>
    </row>
  </sheetData>
  <autoFilter ref="A1:AM1114" xr:uid="{00000000-0001-0000-0000-000000000000}"/>
  <conditionalFormatting sqref="A4:A5 A8 A11 A21:A24 A29:A37 A40:A42 A44:A46 A50:A71 A74 A76:A94 A96:A97 A101:A109 A111 A113:A120 A135:A136 A139:A265">
    <cfRule type="cellIs" dxfId="814" priority="1039" operator="equal">
      <formula>"Yes"</formula>
    </cfRule>
    <cfRule type="cellIs" dxfId="813" priority="1040" operator="equal">
      <formula>"No"</formula>
    </cfRule>
  </conditionalFormatting>
  <conditionalFormatting sqref="B1">
    <cfRule type="cellIs" dxfId="812" priority="1444" operator="equal">
      <formula>"Equip Return"</formula>
    </cfRule>
    <cfRule type="cellIs" dxfId="811" priority="1445" operator="equal">
      <formula>"Site to Site"</formula>
    </cfRule>
  </conditionalFormatting>
  <conditionalFormatting sqref="B1:B1048576">
    <cfRule type="cellIs" dxfId="810" priority="1043" operator="equal">
      <formula>"Ship GTL"</formula>
    </cfRule>
    <cfRule type="cellIs" dxfId="809" priority="1044" operator="equal">
      <formula>"Vendor to RAD"</formula>
    </cfRule>
    <cfRule type="cellIs" dxfId="808" priority="1045" operator="equal">
      <formula>"RAD to RAD"</formula>
    </cfRule>
    <cfRule type="cellIs" dxfId="807" priority="1046" operator="equal">
      <formula>"Liquidation"</formula>
    </cfRule>
    <cfRule type="cellIs" dxfId="806" priority="1047" operator="equal">
      <formula>"RAD to Vendor"</formula>
    </cfRule>
    <cfRule type="cellIs" dxfId="805" priority="1048" operator="equal">
      <formula>"Launch"</formula>
    </cfRule>
    <cfRule type="cellIs" dxfId="804" priority="1049" operator="equal">
      <formula>"Equip Request"</formula>
    </cfRule>
    <cfRule type="cellIs" dxfId="803" priority="1050" operator="equal">
      <formula>"Decom"</formula>
    </cfRule>
    <cfRule type="cellIs" dxfId="802" priority="1051" operator="equal">
      <formula>"Site Transfer"</formula>
    </cfRule>
    <cfRule type="cellIs" dxfId="801" priority="1052" operator="equal">
      <formula>"Equip Return"</formula>
    </cfRule>
  </conditionalFormatting>
  <conditionalFormatting sqref="D1 D4:D5 D8 D11 D21:D24 D28:D37 D109:F109 D111:F111 D113:D115 D116:F120 D124:F147 E110:F110 E112:F115 E121:F123 D149:F257">
    <cfRule type="cellIs" dxfId="800" priority="991" operator="equal">
      <formula>"MB"</formula>
    </cfRule>
    <cfRule type="cellIs" dxfId="799" priority="992" operator="equal">
      <formula>"ON"</formula>
    </cfRule>
    <cfRule type="cellIs" dxfId="798" priority="993" operator="equal">
      <formula>"AB"</formula>
    </cfRule>
    <cfRule type="cellIs" dxfId="797" priority="994" operator="equal">
      <formula>"BC"</formula>
    </cfRule>
    <cfRule type="cellIs" dxfId="796" priority="995" operator="equal">
      <formula>"MX"</formula>
    </cfRule>
  </conditionalFormatting>
  <conditionalFormatting sqref="D1 D4:D5 D8 D11 D21:D24 D28:D37 D40:D42 D44:D46 D50:D71 D74 D76:D94 D96:D97 D101:D109 D111 D113:D120 D124:D263">
    <cfRule type="cellIs" dxfId="795" priority="1012" operator="equal">
      <formula>"QC"</formula>
    </cfRule>
  </conditionalFormatting>
  <conditionalFormatting sqref="D4:F5 D8 D11 E3:F3 E6:F16">
    <cfRule type="cellIs" dxfId="794" priority="1020" operator="equal">
      <formula>"MB"</formula>
    </cfRule>
    <cfRule type="cellIs" dxfId="793" priority="1021" operator="equal">
      <formula>"ON"</formula>
    </cfRule>
    <cfRule type="cellIs" dxfId="792" priority="1022" operator="equal">
      <formula>"AB"</formula>
    </cfRule>
    <cfRule type="cellIs" dxfId="791" priority="1023" operator="equal">
      <formula>"BC"</formula>
    </cfRule>
    <cfRule type="cellIs" dxfId="790" priority="1024" operator="equal">
      <formula>"MX"</formula>
    </cfRule>
  </conditionalFormatting>
  <conditionalFormatting sqref="E24:F26 E28:F28">
    <cfRule type="cellIs" dxfId="789" priority="1006" operator="equal">
      <formula>"MB"</formula>
    </cfRule>
    <cfRule type="cellIs" dxfId="788" priority="1007" operator="equal">
      <formula>"ON"</formula>
    </cfRule>
    <cfRule type="cellIs" dxfId="787" priority="1008" operator="equal">
      <formula>"AB"</formula>
    </cfRule>
    <cfRule type="cellIs" dxfId="786" priority="1009" operator="equal">
      <formula>"BC"</formula>
    </cfRule>
    <cfRule type="cellIs" dxfId="785" priority="1010" operator="equal">
      <formula>"MX"</formula>
    </cfRule>
  </conditionalFormatting>
  <conditionalFormatting sqref="E30:F42 E45:F46 E49:F49 E51:F61 E63:F66 E69 E71:F71 E73:F108 E148:F148 F29 F50 F62 F67:F70">
    <cfRule type="cellIs" dxfId="784" priority="980" operator="equal">
      <formula>"MB"</formula>
    </cfRule>
    <cfRule type="cellIs" dxfId="783" priority="981" operator="equal">
      <formula>"ON"</formula>
    </cfRule>
    <cfRule type="cellIs" dxfId="782" priority="982" operator="equal">
      <formula>"AB"</formula>
    </cfRule>
    <cfRule type="cellIs" dxfId="781" priority="983" operator="equal">
      <formula>"BC"</formula>
    </cfRule>
    <cfRule type="cellIs" dxfId="780" priority="984" operator="equal">
      <formula>"MX"</formula>
    </cfRule>
  </conditionalFormatting>
  <conditionalFormatting sqref="E18:E20 F45:F46 F49 F51:F61 F63:F66 F69:F71 F73:F147 F149:F256">
    <cfRule type="cellIs" dxfId="779" priority="1232" operator="equal">
      <formula>"BC"</formula>
    </cfRule>
  </conditionalFormatting>
  <conditionalFormatting sqref="E17:F17">
    <cfRule type="cellIs" dxfId="778" priority="1428" operator="equal">
      <formula>"BC"</formula>
    </cfRule>
  </conditionalFormatting>
  <conditionalFormatting sqref="E17:F21 F23">
    <cfRule type="cellIs" dxfId="777" priority="1229" operator="equal">
      <formula>"MB"</formula>
    </cfRule>
    <cfRule type="cellIs" dxfId="776" priority="1230" operator="equal">
      <formula>"ON"</formula>
    </cfRule>
    <cfRule type="cellIs" dxfId="775" priority="1231" operator="equal">
      <formula>"AB"</formula>
    </cfRule>
    <cfRule type="cellIs" dxfId="774" priority="1233" operator="equal">
      <formula>"MX"</formula>
    </cfRule>
  </conditionalFormatting>
  <conditionalFormatting sqref="E21:F21 F23">
    <cfRule type="cellIs" dxfId="773" priority="1416" operator="equal">
      <formula>"BC"</formula>
    </cfRule>
  </conditionalFormatting>
  <conditionalFormatting sqref="F8:F20">
    <cfRule type="cellIs" dxfId="772" priority="1027" operator="equal">
      <formula>"BC"</formula>
    </cfRule>
  </conditionalFormatting>
  <conditionalFormatting sqref="G14">
    <cfRule type="duplicateValues" dxfId="771" priority="1019"/>
  </conditionalFormatting>
  <conditionalFormatting sqref="G28">
    <cfRule type="duplicateValues" dxfId="770" priority="990"/>
  </conditionalFormatting>
  <conditionalFormatting sqref="J7">
    <cfRule type="duplicateValues" dxfId="769" priority="1053"/>
  </conditionalFormatting>
  <conditionalFormatting sqref="J10">
    <cfRule type="duplicateValues" dxfId="768" priority="1090"/>
  </conditionalFormatting>
  <conditionalFormatting sqref="J19">
    <cfRule type="duplicateValues" dxfId="767" priority="1254"/>
  </conditionalFormatting>
  <conditionalFormatting sqref="J26:J27">
    <cfRule type="duplicateValues" dxfId="766" priority="1000"/>
  </conditionalFormatting>
  <conditionalFormatting sqref="R445 R593 I2:I603 R882 R899 Q1:Q1048576 I856:I1098 R1052">
    <cfRule type="cellIs" dxfId="765" priority="960" operator="equal">
      <formula>"Yes"</formula>
    </cfRule>
    <cfRule type="cellIs" dxfId="764" priority="961" operator="equal">
      <formula>"No"</formula>
    </cfRule>
  </conditionalFormatting>
  <conditionalFormatting sqref="Y3:Y263">
    <cfRule type="cellIs" dxfId="763" priority="1028" operator="equal">
      <formula>"Mothership"</formula>
    </cfRule>
    <cfRule type="cellIs" dxfId="762" priority="1029" operator="equal">
      <formula>"Air"</formula>
    </cfRule>
    <cfRule type="cellIs" dxfId="761" priority="1032" operator="equal">
      <formula>"UPS Air"</formula>
    </cfRule>
  </conditionalFormatting>
  <conditionalFormatting sqref="Z1:AA1 Z195:AA253 Z254:Z257 AA194 Z3:AA193 AA254:AA1099">
    <cfRule type="cellIs" dxfId="760" priority="1401" operator="equal">
      <formula>"Dedicated"</formula>
    </cfRule>
  </conditionalFormatting>
  <conditionalFormatting sqref="L1:L1048576 P1:P1048576">
    <cfRule type="cellIs" dxfId="759" priority="956" operator="equal">
      <formula>"Yes"</formula>
    </cfRule>
    <cfRule type="cellIs" dxfId="758" priority="959" operator="equal">
      <formula>"No"</formula>
    </cfRule>
  </conditionalFormatting>
  <conditionalFormatting sqref="B7">
    <cfRule type="cellIs" dxfId="757" priority="934" operator="equal">
      <formula>"Ship GTL"</formula>
    </cfRule>
    <cfRule type="cellIs" dxfId="756" priority="935" operator="equal">
      <formula>"Vendor to RAD"</formula>
    </cfRule>
    <cfRule type="cellIs" dxfId="755" priority="936" operator="equal">
      <formula>"RAD to RAD"</formula>
    </cfRule>
    <cfRule type="cellIs" dxfId="754" priority="937" operator="equal">
      <formula>"Liquidation"</formula>
    </cfRule>
    <cfRule type="cellIs" dxfId="753" priority="938" operator="equal">
      <formula>"RAD to Vendor"</formula>
    </cfRule>
    <cfRule type="cellIs" dxfId="752" priority="939" operator="equal">
      <formula>"Launch"</formula>
    </cfRule>
    <cfRule type="cellIs" dxfId="751" priority="940" operator="equal">
      <formula>"Equip Request"</formula>
    </cfRule>
    <cfRule type="cellIs" dxfId="750" priority="941" operator="equal">
      <formula>"Decom"</formula>
    </cfRule>
    <cfRule type="cellIs" dxfId="749" priority="942" operator="equal">
      <formula>"Site Transfer"</formula>
    </cfRule>
    <cfRule type="cellIs" dxfId="748" priority="943" operator="equal">
      <formula>"Equip Return"</formula>
    </cfRule>
  </conditionalFormatting>
  <conditionalFormatting sqref="B6">
    <cfRule type="cellIs" dxfId="747" priority="924" operator="equal">
      <formula>"Ship GTL"</formula>
    </cfRule>
    <cfRule type="cellIs" dxfId="746" priority="925" operator="equal">
      <formula>"Vendor to RAD"</formula>
    </cfRule>
    <cfRule type="cellIs" dxfId="745" priority="926" operator="equal">
      <formula>"RAD to RAD"</formula>
    </cfRule>
    <cfRule type="cellIs" dxfId="744" priority="927" operator="equal">
      <formula>"Liquidation"</formula>
    </cfRule>
    <cfRule type="cellIs" dxfId="743" priority="928" operator="equal">
      <formula>"RAD to Vendor"</formula>
    </cfRule>
    <cfRule type="cellIs" dxfId="742" priority="929" operator="equal">
      <formula>"Launch"</formula>
    </cfRule>
    <cfRule type="cellIs" dxfId="741" priority="930" operator="equal">
      <formula>"Equip Request"</formula>
    </cfRule>
    <cfRule type="cellIs" dxfId="740" priority="931" operator="equal">
      <formula>"Decom"</formula>
    </cfRule>
    <cfRule type="cellIs" dxfId="739" priority="932" operator="equal">
      <formula>"Site Transfer"</formula>
    </cfRule>
    <cfRule type="cellIs" dxfId="738" priority="933" operator="equal">
      <formula>"Equip Return"</formula>
    </cfRule>
  </conditionalFormatting>
  <conditionalFormatting sqref="B9">
    <cfRule type="cellIs" dxfId="737" priority="914" operator="equal">
      <formula>"Ship GTL"</formula>
    </cfRule>
    <cfRule type="cellIs" dxfId="736" priority="915" operator="equal">
      <formula>"Vendor to RAD"</formula>
    </cfRule>
    <cfRule type="cellIs" dxfId="735" priority="916" operator="equal">
      <formula>"RAD to RAD"</formula>
    </cfRule>
    <cfRule type="cellIs" dxfId="734" priority="917" operator="equal">
      <formula>"Liquidation"</formula>
    </cfRule>
    <cfRule type="cellIs" dxfId="733" priority="918" operator="equal">
      <formula>"RAD to Vendor"</formula>
    </cfRule>
    <cfRule type="cellIs" dxfId="732" priority="919" operator="equal">
      <formula>"Launch"</formula>
    </cfRule>
    <cfRule type="cellIs" dxfId="731" priority="920" operator="equal">
      <formula>"Equip Request"</formula>
    </cfRule>
    <cfRule type="cellIs" dxfId="730" priority="921" operator="equal">
      <formula>"Decom"</formula>
    </cfRule>
    <cfRule type="cellIs" dxfId="729" priority="922" operator="equal">
      <formula>"Site Transfer"</formula>
    </cfRule>
    <cfRule type="cellIs" dxfId="728" priority="923" operator="equal">
      <formula>"Equip Return"</formula>
    </cfRule>
  </conditionalFormatting>
  <conditionalFormatting sqref="B10">
    <cfRule type="cellIs" dxfId="727" priority="904" operator="equal">
      <formula>"Ship GTL"</formula>
    </cfRule>
    <cfRule type="cellIs" dxfId="726" priority="905" operator="equal">
      <formula>"Vendor to RAD"</formula>
    </cfRule>
    <cfRule type="cellIs" dxfId="725" priority="906" operator="equal">
      <formula>"RAD to RAD"</formula>
    </cfRule>
    <cfRule type="cellIs" dxfId="724" priority="907" operator="equal">
      <formula>"Liquidation"</formula>
    </cfRule>
    <cfRule type="cellIs" dxfId="723" priority="908" operator="equal">
      <formula>"RAD to Vendor"</formula>
    </cfRule>
    <cfRule type="cellIs" dxfId="722" priority="909" operator="equal">
      <formula>"Launch"</formula>
    </cfRule>
    <cfRule type="cellIs" dxfId="721" priority="910" operator="equal">
      <formula>"Equip Request"</formula>
    </cfRule>
    <cfRule type="cellIs" dxfId="720" priority="911" operator="equal">
      <formula>"Decom"</formula>
    </cfRule>
    <cfRule type="cellIs" dxfId="719" priority="912" operator="equal">
      <formula>"Site Transfer"</formula>
    </cfRule>
    <cfRule type="cellIs" dxfId="718" priority="913" operator="equal">
      <formula>"Equip Return"</formula>
    </cfRule>
  </conditionalFormatting>
  <conditionalFormatting sqref="B12:B17">
    <cfRule type="cellIs" dxfId="717" priority="894" operator="equal">
      <formula>"Ship GTL"</formula>
    </cfRule>
    <cfRule type="cellIs" dxfId="716" priority="895" operator="equal">
      <formula>"Vendor to RAD"</formula>
    </cfRule>
    <cfRule type="cellIs" dxfId="715" priority="896" operator="equal">
      <formula>"RAD to RAD"</formula>
    </cfRule>
    <cfRule type="cellIs" dxfId="714" priority="897" operator="equal">
      <formula>"Liquidation"</formula>
    </cfRule>
    <cfRule type="cellIs" dxfId="713" priority="898" operator="equal">
      <formula>"RAD to Vendor"</formula>
    </cfRule>
    <cfRule type="cellIs" dxfId="712" priority="899" operator="equal">
      <formula>"Launch"</formula>
    </cfRule>
    <cfRule type="cellIs" dxfId="711" priority="900" operator="equal">
      <formula>"Equip Request"</formula>
    </cfRule>
    <cfRule type="cellIs" dxfId="710" priority="901" operator="equal">
      <formula>"Decom"</formula>
    </cfRule>
    <cfRule type="cellIs" dxfId="709" priority="902" operator="equal">
      <formula>"Site Transfer"</formula>
    </cfRule>
    <cfRule type="cellIs" dxfId="708" priority="903" operator="equal">
      <formula>"Equip Return"</formula>
    </cfRule>
  </conditionalFormatting>
  <conditionalFormatting sqref="B18:B19">
    <cfRule type="cellIs" dxfId="707" priority="884" operator="equal">
      <formula>"Ship GTL"</formula>
    </cfRule>
    <cfRule type="cellIs" dxfId="706" priority="885" operator="equal">
      <formula>"Vendor to RAD"</formula>
    </cfRule>
    <cfRule type="cellIs" dxfId="705" priority="886" operator="equal">
      <formula>"RAD to RAD"</formula>
    </cfRule>
    <cfRule type="cellIs" dxfId="704" priority="887" operator="equal">
      <formula>"Liquidation"</formula>
    </cfRule>
    <cfRule type="cellIs" dxfId="703" priority="888" operator="equal">
      <formula>"RAD to Vendor"</formula>
    </cfRule>
    <cfRule type="cellIs" dxfId="702" priority="889" operator="equal">
      <formula>"Launch"</formula>
    </cfRule>
    <cfRule type="cellIs" dxfId="701" priority="890" operator="equal">
      <formula>"Equip Request"</formula>
    </cfRule>
    <cfRule type="cellIs" dxfId="700" priority="891" operator="equal">
      <formula>"Decom"</formula>
    </cfRule>
    <cfRule type="cellIs" dxfId="699" priority="892" operator="equal">
      <formula>"Site Transfer"</formula>
    </cfRule>
    <cfRule type="cellIs" dxfId="698" priority="893" operator="equal">
      <formula>"Equip Return"</formula>
    </cfRule>
  </conditionalFormatting>
  <conditionalFormatting sqref="B20">
    <cfRule type="cellIs" dxfId="697" priority="874" operator="equal">
      <formula>"Ship GTL"</formula>
    </cfRule>
    <cfRule type="cellIs" dxfId="696" priority="875" operator="equal">
      <formula>"Vendor to RAD"</formula>
    </cfRule>
    <cfRule type="cellIs" dxfId="695" priority="876" operator="equal">
      <formula>"RAD to RAD"</formula>
    </cfRule>
    <cfRule type="cellIs" dxfId="694" priority="877" operator="equal">
      <formula>"Liquidation"</formula>
    </cfRule>
    <cfRule type="cellIs" dxfId="693" priority="878" operator="equal">
      <formula>"RAD to Vendor"</formula>
    </cfRule>
    <cfRule type="cellIs" dxfId="692" priority="879" operator="equal">
      <formula>"Launch"</formula>
    </cfRule>
    <cfRule type="cellIs" dxfId="691" priority="880" operator="equal">
      <formula>"Equip Request"</formula>
    </cfRule>
    <cfRule type="cellIs" dxfId="690" priority="881" operator="equal">
      <formula>"Decom"</formula>
    </cfRule>
    <cfRule type="cellIs" dxfId="689" priority="882" operator="equal">
      <formula>"Site Transfer"</formula>
    </cfRule>
    <cfRule type="cellIs" dxfId="688" priority="883" operator="equal">
      <formula>"Equip Return"</formula>
    </cfRule>
  </conditionalFormatting>
  <conditionalFormatting sqref="D21">
    <cfRule type="cellIs" dxfId="687" priority="869" operator="equal">
      <formula>"MB"</formula>
    </cfRule>
    <cfRule type="cellIs" dxfId="686" priority="870" operator="equal">
      <formula>"ON"</formula>
    </cfRule>
    <cfRule type="cellIs" dxfId="685" priority="871" operator="equal">
      <formula>"AB"</formula>
    </cfRule>
    <cfRule type="cellIs" dxfId="684" priority="872" operator="equal">
      <formula>"BC"</formula>
    </cfRule>
    <cfRule type="cellIs" dxfId="683" priority="873" operator="equal">
      <formula>"MX"</formula>
    </cfRule>
  </conditionalFormatting>
  <conditionalFormatting sqref="D22:F22 E23">
    <cfRule type="cellIs" dxfId="682" priority="863" operator="equal">
      <formula>"MB"</formula>
    </cfRule>
    <cfRule type="cellIs" dxfId="681" priority="864" operator="equal">
      <formula>"ON"</formula>
    </cfRule>
    <cfRule type="cellIs" dxfId="680" priority="865" operator="equal">
      <formula>"AB"</formula>
    </cfRule>
    <cfRule type="cellIs" dxfId="679" priority="866" operator="equal">
      <formula>"BC"</formula>
    </cfRule>
    <cfRule type="cellIs" dxfId="678" priority="867" operator="equal">
      <formula>"MX"</formula>
    </cfRule>
  </conditionalFormatting>
  <conditionalFormatting sqref="F22">
    <cfRule type="cellIs" dxfId="677" priority="868" operator="equal">
      <formula>"BC"</formula>
    </cfRule>
  </conditionalFormatting>
  <conditionalFormatting sqref="D23:D24">
    <cfRule type="cellIs" dxfId="676" priority="858" operator="equal">
      <formula>"MB"</formula>
    </cfRule>
    <cfRule type="cellIs" dxfId="675" priority="859" operator="equal">
      <formula>"ON"</formula>
    </cfRule>
    <cfRule type="cellIs" dxfId="674" priority="860" operator="equal">
      <formula>"AB"</formula>
    </cfRule>
    <cfRule type="cellIs" dxfId="673" priority="861" operator="equal">
      <formula>"BC"</formula>
    </cfRule>
    <cfRule type="cellIs" dxfId="672" priority="862" operator="equal">
      <formula>"MX"</formula>
    </cfRule>
  </conditionalFormatting>
  <conditionalFormatting sqref="B25:B26">
    <cfRule type="cellIs" dxfId="671" priority="848" operator="equal">
      <formula>"Ship GTL"</formula>
    </cfRule>
    <cfRule type="cellIs" dxfId="670" priority="849" operator="equal">
      <formula>"Vendor to RAD"</formula>
    </cfRule>
    <cfRule type="cellIs" dxfId="669" priority="850" operator="equal">
      <formula>"RAD to RAD"</formula>
    </cfRule>
    <cfRule type="cellIs" dxfId="668" priority="851" operator="equal">
      <formula>"Liquidation"</formula>
    </cfRule>
    <cfRule type="cellIs" dxfId="667" priority="852" operator="equal">
      <formula>"RAD to Vendor"</formula>
    </cfRule>
    <cfRule type="cellIs" dxfId="666" priority="853" operator="equal">
      <formula>"Launch"</formula>
    </cfRule>
    <cfRule type="cellIs" dxfId="665" priority="854" operator="equal">
      <formula>"Equip Request"</formula>
    </cfRule>
    <cfRule type="cellIs" dxfId="664" priority="855" operator="equal">
      <formula>"Decom"</formula>
    </cfRule>
    <cfRule type="cellIs" dxfId="663" priority="856" operator="equal">
      <formula>"Site Transfer"</formula>
    </cfRule>
    <cfRule type="cellIs" dxfId="662" priority="857" operator="equal">
      <formula>"Equip Return"</formula>
    </cfRule>
  </conditionalFormatting>
  <conditionalFormatting sqref="E27">
    <cfRule type="cellIs" dxfId="661" priority="846" operator="equal">
      <formula>"BC"</formula>
    </cfRule>
  </conditionalFormatting>
  <conditionalFormatting sqref="E27:F27">
    <cfRule type="cellIs" dxfId="660" priority="843" operator="equal">
      <formula>"MB"</formula>
    </cfRule>
    <cfRule type="cellIs" dxfId="659" priority="844" operator="equal">
      <formula>"ON"</formula>
    </cfRule>
    <cfRule type="cellIs" dxfId="658" priority="845" operator="equal">
      <formula>"AB"</formula>
    </cfRule>
    <cfRule type="cellIs" dxfId="657" priority="847" operator="equal">
      <formula>"MX"</formula>
    </cfRule>
  </conditionalFormatting>
  <conditionalFormatting sqref="F27">
    <cfRule type="cellIs" dxfId="656" priority="842" operator="equal">
      <formula>"BC"</formula>
    </cfRule>
  </conditionalFormatting>
  <conditionalFormatting sqref="B27">
    <cfRule type="cellIs" dxfId="655" priority="832" operator="equal">
      <formula>"Ship GTL"</formula>
    </cfRule>
    <cfRule type="cellIs" dxfId="654" priority="833" operator="equal">
      <formula>"Vendor to RAD"</formula>
    </cfRule>
    <cfRule type="cellIs" dxfId="653" priority="834" operator="equal">
      <formula>"RAD to RAD"</formula>
    </cfRule>
    <cfRule type="cellIs" dxfId="652" priority="835" operator="equal">
      <formula>"Liquidation"</formula>
    </cfRule>
    <cfRule type="cellIs" dxfId="651" priority="836" operator="equal">
      <formula>"RAD to Vendor"</formula>
    </cfRule>
    <cfRule type="cellIs" dxfId="650" priority="837" operator="equal">
      <formula>"Launch"</formula>
    </cfRule>
    <cfRule type="cellIs" dxfId="649" priority="838" operator="equal">
      <formula>"Equip Request"</formula>
    </cfRule>
    <cfRule type="cellIs" dxfId="648" priority="839" operator="equal">
      <formula>"Decom"</formula>
    </cfRule>
    <cfRule type="cellIs" dxfId="647" priority="840" operator="equal">
      <formula>"Site Transfer"</formula>
    </cfRule>
    <cfRule type="cellIs" dxfId="646" priority="841" operator="equal">
      <formula>"Equip Return"</formula>
    </cfRule>
  </conditionalFormatting>
  <conditionalFormatting sqref="B28">
    <cfRule type="cellIs" dxfId="645" priority="822" operator="equal">
      <formula>"Ship GTL"</formula>
    </cfRule>
    <cfRule type="cellIs" dxfId="644" priority="823" operator="equal">
      <formula>"Vendor to RAD"</formula>
    </cfRule>
    <cfRule type="cellIs" dxfId="643" priority="824" operator="equal">
      <formula>"RAD to RAD"</formula>
    </cfRule>
    <cfRule type="cellIs" dxfId="642" priority="825" operator="equal">
      <formula>"Liquidation"</formula>
    </cfRule>
    <cfRule type="cellIs" dxfId="641" priority="826" operator="equal">
      <formula>"RAD to Vendor"</formula>
    </cfRule>
    <cfRule type="cellIs" dxfId="640" priority="827" operator="equal">
      <formula>"Launch"</formula>
    </cfRule>
    <cfRule type="cellIs" dxfId="639" priority="828" operator="equal">
      <formula>"Equip Request"</formula>
    </cfRule>
    <cfRule type="cellIs" dxfId="638" priority="829" operator="equal">
      <formula>"Decom"</formula>
    </cfRule>
    <cfRule type="cellIs" dxfId="637" priority="830" operator="equal">
      <formula>"Site Transfer"</formula>
    </cfRule>
    <cfRule type="cellIs" dxfId="636" priority="831" operator="equal">
      <formula>"Equip Return"</formula>
    </cfRule>
  </conditionalFormatting>
  <conditionalFormatting sqref="D29:E29">
    <cfRule type="cellIs" dxfId="635" priority="807" operator="equal">
      <formula>"MB"</formula>
    </cfRule>
    <cfRule type="cellIs" dxfId="634" priority="808" operator="equal">
      <formula>"ON"</formula>
    </cfRule>
    <cfRule type="cellIs" dxfId="633" priority="809" operator="equal">
      <formula>"AB"</formula>
    </cfRule>
    <cfRule type="cellIs" dxfId="632" priority="810" operator="equal">
      <formula>"BC"</formula>
    </cfRule>
    <cfRule type="cellIs" dxfId="631" priority="811" operator="equal">
      <formula>"MX"</formula>
    </cfRule>
  </conditionalFormatting>
  <conditionalFormatting sqref="D148">
    <cfRule type="cellIs" dxfId="630" priority="792" operator="equal">
      <formula>"MB"</formula>
    </cfRule>
    <cfRule type="cellIs" dxfId="629" priority="793" operator="equal">
      <formula>"ON"</formula>
    </cfRule>
    <cfRule type="cellIs" dxfId="628" priority="794" operator="equal">
      <formula>"AB"</formula>
    </cfRule>
    <cfRule type="cellIs" dxfId="627" priority="795" operator="equal">
      <formula>"BC"</formula>
    </cfRule>
    <cfRule type="cellIs" dxfId="626" priority="796" operator="equal">
      <formula>"MX"</formula>
    </cfRule>
    <cfRule type="cellIs" dxfId="625" priority="797" operator="equal">
      <formula>"MB"</formula>
    </cfRule>
    <cfRule type="cellIs" dxfId="624" priority="798" operator="equal">
      <formula>"ON"</formula>
    </cfRule>
    <cfRule type="cellIs" dxfId="623" priority="799" operator="equal">
      <formula>"AB"</formula>
    </cfRule>
    <cfRule type="cellIs" dxfId="622" priority="800" operator="equal">
      <formula>"BC"</formula>
    </cfRule>
    <cfRule type="cellIs" dxfId="621" priority="801" operator="equal">
      <formula>"MX"</formula>
    </cfRule>
  </conditionalFormatting>
  <conditionalFormatting sqref="D30">
    <cfRule type="cellIs" dxfId="620" priority="787" operator="equal">
      <formula>"MB"</formula>
    </cfRule>
    <cfRule type="cellIs" dxfId="619" priority="788" operator="equal">
      <formula>"ON"</formula>
    </cfRule>
    <cfRule type="cellIs" dxfId="618" priority="789" operator="equal">
      <formula>"AB"</formula>
    </cfRule>
    <cfRule type="cellIs" dxfId="617" priority="790" operator="equal">
      <formula>"BC"</formula>
    </cfRule>
    <cfRule type="cellIs" dxfId="616" priority="791" operator="equal">
      <formula>"MX"</formula>
    </cfRule>
  </conditionalFormatting>
  <conditionalFormatting sqref="D31">
    <cfRule type="cellIs" dxfId="615" priority="782" operator="equal">
      <formula>"MB"</formula>
    </cfRule>
    <cfRule type="cellIs" dxfId="614" priority="783" operator="equal">
      <formula>"ON"</formula>
    </cfRule>
    <cfRule type="cellIs" dxfId="613" priority="784" operator="equal">
      <formula>"AB"</formula>
    </cfRule>
    <cfRule type="cellIs" dxfId="612" priority="785" operator="equal">
      <formula>"BC"</formula>
    </cfRule>
    <cfRule type="cellIs" dxfId="611" priority="786" operator="equal">
      <formula>"MX"</formula>
    </cfRule>
  </conditionalFormatting>
  <conditionalFormatting sqref="D32">
    <cfRule type="cellIs" dxfId="610" priority="777" operator="equal">
      <formula>"MB"</formula>
    </cfRule>
    <cfRule type="cellIs" dxfId="609" priority="778" operator="equal">
      <formula>"ON"</formula>
    </cfRule>
    <cfRule type="cellIs" dxfId="608" priority="779" operator="equal">
      <formula>"AB"</formula>
    </cfRule>
    <cfRule type="cellIs" dxfId="607" priority="780" operator="equal">
      <formula>"BC"</formula>
    </cfRule>
    <cfRule type="cellIs" dxfId="606" priority="781" operator="equal">
      <formula>"MX"</formula>
    </cfRule>
  </conditionalFormatting>
  <conditionalFormatting sqref="D33:D37">
    <cfRule type="cellIs" dxfId="605" priority="772" operator="equal">
      <formula>"MB"</formula>
    </cfRule>
    <cfRule type="cellIs" dxfId="604" priority="773" operator="equal">
      <formula>"ON"</formula>
    </cfRule>
    <cfRule type="cellIs" dxfId="603" priority="774" operator="equal">
      <formula>"AB"</formula>
    </cfRule>
    <cfRule type="cellIs" dxfId="602" priority="775" operator="equal">
      <formula>"BC"</formula>
    </cfRule>
    <cfRule type="cellIs" dxfId="601" priority="776" operator="equal">
      <formula>"MX"</formula>
    </cfRule>
  </conditionalFormatting>
  <conditionalFormatting sqref="B38:B39">
    <cfRule type="cellIs" dxfId="600" priority="762" operator="equal">
      <formula>"Ship GTL"</formula>
    </cfRule>
    <cfRule type="cellIs" dxfId="599" priority="763" operator="equal">
      <formula>"Vendor to RAD"</formula>
    </cfRule>
    <cfRule type="cellIs" dxfId="598" priority="764" operator="equal">
      <formula>"RAD to RAD"</formula>
    </cfRule>
    <cfRule type="cellIs" dxfId="597" priority="765" operator="equal">
      <formula>"Liquidation"</formula>
    </cfRule>
    <cfRule type="cellIs" dxfId="596" priority="766" operator="equal">
      <formula>"RAD to Vendor"</formula>
    </cfRule>
    <cfRule type="cellIs" dxfId="595" priority="767" operator="equal">
      <formula>"Launch"</formula>
    </cfRule>
    <cfRule type="cellIs" dxfId="594" priority="768" operator="equal">
      <formula>"Equip Request"</formula>
    </cfRule>
    <cfRule type="cellIs" dxfId="593" priority="769" operator="equal">
      <formula>"Decom"</formula>
    </cfRule>
    <cfRule type="cellIs" dxfId="592" priority="770" operator="equal">
      <formula>"Site Transfer"</formula>
    </cfRule>
    <cfRule type="cellIs" dxfId="591" priority="771" operator="equal">
      <formula>"Equip Return"</formula>
    </cfRule>
  </conditionalFormatting>
  <conditionalFormatting sqref="D40:D42">
    <cfRule type="cellIs" dxfId="590" priority="752" operator="equal">
      <formula>"MB"</formula>
    </cfRule>
    <cfRule type="cellIs" dxfId="589" priority="753" operator="equal">
      <formula>"ON"</formula>
    </cfRule>
    <cfRule type="cellIs" dxfId="588" priority="754" operator="equal">
      <formula>"AB"</formula>
    </cfRule>
    <cfRule type="cellIs" dxfId="587" priority="755" operator="equal">
      <formula>"BC"</formula>
    </cfRule>
    <cfRule type="cellIs" dxfId="586" priority="756" operator="equal">
      <formula>"MX"</formula>
    </cfRule>
    <cfRule type="cellIs" dxfId="585" priority="757" operator="equal">
      <formula>"MB"</formula>
    </cfRule>
    <cfRule type="cellIs" dxfId="584" priority="758" operator="equal">
      <formula>"ON"</formula>
    </cfRule>
    <cfRule type="cellIs" dxfId="583" priority="759" operator="equal">
      <formula>"AB"</formula>
    </cfRule>
    <cfRule type="cellIs" dxfId="582" priority="760" operator="equal">
      <formula>"BC"</formula>
    </cfRule>
    <cfRule type="cellIs" dxfId="581" priority="761" operator="equal">
      <formula>"MX"</formula>
    </cfRule>
  </conditionalFormatting>
  <conditionalFormatting sqref="E43">
    <cfRule type="cellIs" dxfId="580" priority="750" operator="equal">
      <formula>"BC"</formula>
    </cfRule>
  </conditionalFormatting>
  <conditionalFormatting sqref="E43:F43">
    <cfRule type="cellIs" dxfId="579" priority="747" operator="equal">
      <formula>"MB"</formula>
    </cfRule>
    <cfRule type="cellIs" dxfId="578" priority="748" operator="equal">
      <formula>"ON"</formula>
    </cfRule>
    <cfRule type="cellIs" dxfId="577" priority="749" operator="equal">
      <formula>"AB"</formula>
    </cfRule>
    <cfRule type="cellIs" dxfId="576" priority="751" operator="equal">
      <formula>"MX"</formula>
    </cfRule>
  </conditionalFormatting>
  <conditionalFormatting sqref="F43">
    <cfRule type="cellIs" dxfId="575" priority="746" operator="equal">
      <formula>"BC"</formula>
    </cfRule>
  </conditionalFormatting>
  <conditionalFormatting sqref="B43">
    <cfRule type="cellIs" dxfId="574" priority="736" operator="equal">
      <formula>"Ship GTL"</formula>
    </cfRule>
    <cfRule type="cellIs" dxfId="573" priority="737" operator="equal">
      <formula>"Vendor to RAD"</formula>
    </cfRule>
    <cfRule type="cellIs" dxfId="572" priority="738" operator="equal">
      <formula>"RAD to RAD"</formula>
    </cfRule>
    <cfRule type="cellIs" dxfId="571" priority="739" operator="equal">
      <formula>"Liquidation"</formula>
    </cfRule>
    <cfRule type="cellIs" dxfId="570" priority="740" operator="equal">
      <formula>"RAD to Vendor"</formula>
    </cfRule>
    <cfRule type="cellIs" dxfId="569" priority="741" operator="equal">
      <formula>"Launch"</formula>
    </cfRule>
    <cfRule type="cellIs" dxfId="568" priority="742" operator="equal">
      <formula>"Equip Request"</formula>
    </cfRule>
    <cfRule type="cellIs" dxfId="567" priority="743" operator="equal">
      <formula>"Decom"</formula>
    </cfRule>
    <cfRule type="cellIs" dxfId="566" priority="744" operator="equal">
      <formula>"Site Transfer"</formula>
    </cfRule>
    <cfRule type="cellIs" dxfId="565" priority="745" operator="equal">
      <formula>"Equip Return"</formula>
    </cfRule>
  </conditionalFormatting>
  <conditionalFormatting sqref="D44">
    <cfRule type="cellIs" dxfId="564" priority="721" operator="equal">
      <formula>"MB"</formula>
    </cfRule>
    <cfRule type="cellIs" dxfId="563" priority="722" operator="equal">
      <formula>"ON"</formula>
    </cfRule>
    <cfRule type="cellIs" dxfId="562" priority="723" operator="equal">
      <formula>"AB"</formula>
    </cfRule>
    <cfRule type="cellIs" dxfId="561" priority="724" operator="equal">
      <formula>"BC"</formula>
    </cfRule>
    <cfRule type="cellIs" dxfId="560" priority="725" operator="equal">
      <formula>"MX"</formula>
    </cfRule>
    <cfRule type="cellIs" dxfId="559" priority="726" operator="equal">
      <formula>"MB"</formula>
    </cfRule>
    <cfRule type="cellIs" dxfId="558" priority="727" operator="equal">
      <formula>"ON"</formula>
    </cfRule>
    <cfRule type="cellIs" dxfId="557" priority="728" operator="equal">
      <formula>"AB"</formula>
    </cfRule>
    <cfRule type="cellIs" dxfId="556" priority="729" operator="equal">
      <formula>"BC"</formula>
    </cfRule>
    <cfRule type="cellIs" dxfId="555" priority="730" operator="equal">
      <formula>"MX"</formula>
    </cfRule>
  </conditionalFormatting>
  <conditionalFormatting sqref="E44:F44">
    <cfRule type="cellIs" dxfId="554" priority="731" operator="equal">
      <formula>"MB"</formula>
    </cfRule>
    <cfRule type="cellIs" dxfId="553" priority="732" operator="equal">
      <formula>"ON"</formula>
    </cfRule>
    <cfRule type="cellIs" dxfId="552" priority="733" operator="equal">
      <formula>"AB"</formula>
    </cfRule>
    <cfRule type="cellIs" dxfId="551" priority="734" operator="equal">
      <formula>"BC"</formula>
    </cfRule>
    <cfRule type="cellIs" dxfId="550" priority="735" operator="equal">
      <formula>"MX"</formula>
    </cfRule>
  </conditionalFormatting>
  <conditionalFormatting sqref="D45">
    <cfRule type="cellIs" dxfId="549" priority="711" operator="equal">
      <formula>"MB"</formula>
    </cfRule>
    <cfRule type="cellIs" dxfId="548" priority="712" operator="equal">
      <formula>"ON"</formula>
    </cfRule>
    <cfRule type="cellIs" dxfId="547" priority="713" operator="equal">
      <formula>"AB"</formula>
    </cfRule>
    <cfRule type="cellIs" dxfId="546" priority="714" operator="equal">
      <formula>"BC"</formula>
    </cfRule>
    <cfRule type="cellIs" dxfId="545" priority="715" operator="equal">
      <formula>"MX"</formula>
    </cfRule>
    <cfRule type="cellIs" dxfId="544" priority="716" operator="equal">
      <formula>"MB"</formula>
    </cfRule>
    <cfRule type="cellIs" dxfId="543" priority="717" operator="equal">
      <formula>"ON"</formula>
    </cfRule>
    <cfRule type="cellIs" dxfId="542" priority="718" operator="equal">
      <formula>"AB"</formula>
    </cfRule>
    <cfRule type="cellIs" dxfId="541" priority="719" operator="equal">
      <formula>"BC"</formula>
    </cfRule>
    <cfRule type="cellIs" dxfId="540" priority="720" operator="equal">
      <formula>"MX"</formula>
    </cfRule>
  </conditionalFormatting>
  <conditionalFormatting sqref="D46">
    <cfRule type="cellIs" dxfId="539" priority="701" operator="equal">
      <formula>"MB"</formula>
    </cfRule>
    <cfRule type="cellIs" dxfId="538" priority="702" operator="equal">
      <formula>"ON"</formula>
    </cfRule>
    <cfRule type="cellIs" dxfId="537" priority="703" operator="equal">
      <formula>"AB"</formula>
    </cfRule>
    <cfRule type="cellIs" dxfId="536" priority="704" operator="equal">
      <formula>"BC"</formula>
    </cfRule>
    <cfRule type="cellIs" dxfId="535" priority="705" operator="equal">
      <formula>"MX"</formula>
    </cfRule>
    <cfRule type="cellIs" dxfId="534" priority="706" operator="equal">
      <formula>"MB"</formula>
    </cfRule>
    <cfRule type="cellIs" dxfId="533" priority="707" operator="equal">
      <formula>"ON"</formula>
    </cfRule>
    <cfRule type="cellIs" dxfId="532" priority="708" operator="equal">
      <formula>"AB"</formula>
    </cfRule>
    <cfRule type="cellIs" dxfId="531" priority="709" operator="equal">
      <formula>"BC"</formula>
    </cfRule>
    <cfRule type="cellIs" dxfId="530" priority="710" operator="equal">
      <formula>"MX"</formula>
    </cfRule>
  </conditionalFormatting>
  <conditionalFormatting sqref="E47:E48">
    <cfRule type="cellIs" dxfId="529" priority="699" operator="equal">
      <formula>"BC"</formula>
    </cfRule>
  </conditionalFormatting>
  <conditionalFormatting sqref="E47:F47">
    <cfRule type="cellIs" dxfId="528" priority="696" operator="equal">
      <formula>"MB"</formula>
    </cfRule>
    <cfRule type="cellIs" dxfId="527" priority="697" operator="equal">
      <formula>"ON"</formula>
    </cfRule>
    <cfRule type="cellIs" dxfId="526" priority="698" operator="equal">
      <formula>"AB"</formula>
    </cfRule>
    <cfRule type="cellIs" dxfId="525" priority="700" operator="equal">
      <formula>"MX"</formula>
    </cfRule>
  </conditionalFormatting>
  <conditionalFormatting sqref="F47:F48">
    <cfRule type="cellIs" dxfId="524" priority="695" operator="equal">
      <formula>"BC"</formula>
    </cfRule>
  </conditionalFormatting>
  <conditionalFormatting sqref="B47:B48">
    <cfRule type="cellIs" dxfId="523" priority="685" operator="equal">
      <formula>"Ship GTL"</formula>
    </cfRule>
    <cfRule type="cellIs" dxfId="522" priority="686" operator="equal">
      <formula>"Vendor to RAD"</formula>
    </cfRule>
    <cfRule type="cellIs" dxfId="521" priority="687" operator="equal">
      <formula>"RAD to RAD"</formula>
    </cfRule>
    <cfRule type="cellIs" dxfId="520" priority="688" operator="equal">
      <formula>"Liquidation"</formula>
    </cfRule>
    <cfRule type="cellIs" dxfId="519" priority="689" operator="equal">
      <formula>"RAD to Vendor"</formula>
    </cfRule>
    <cfRule type="cellIs" dxfId="518" priority="690" operator="equal">
      <formula>"Launch"</formula>
    </cfRule>
    <cfRule type="cellIs" dxfId="517" priority="691" operator="equal">
      <formula>"Equip Request"</formula>
    </cfRule>
    <cfRule type="cellIs" dxfId="516" priority="692" operator="equal">
      <formula>"Decom"</formula>
    </cfRule>
    <cfRule type="cellIs" dxfId="515" priority="693" operator="equal">
      <formula>"Site Transfer"</formula>
    </cfRule>
    <cfRule type="cellIs" dxfId="514" priority="694" operator="equal">
      <formula>"Equip Return"</formula>
    </cfRule>
  </conditionalFormatting>
  <conditionalFormatting sqref="E48:F48">
    <cfRule type="cellIs" dxfId="513" priority="665" operator="equal">
      <formula>"MB"</formula>
    </cfRule>
    <cfRule type="cellIs" dxfId="512" priority="666" operator="equal">
      <formula>"ON"</formula>
    </cfRule>
    <cfRule type="cellIs" dxfId="511" priority="667" operator="equal">
      <formula>"AB"</formula>
    </cfRule>
    <cfRule type="cellIs" dxfId="510" priority="668" operator="equal">
      <formula>"MX"</formula>
    </cfRule>
  </conditionalFormatting>
  <conditionalFormatting sqref="B49">
    <cfRule type="cellIs" dxfId="509" priority="655" operator="equal">
      <formula>"Ship GTL"</formula>
    </cfRule>
    <cfRule type="cellIs" dxfId="508" priority="656" operator="equal">
      <formula>"Vendor to RAD"</formula>
    </cfRule>
    <cfRule type="cellIs" dxfId="507" priority="657" operator="equal">
      <formula>"RAD to RAD"</formula>
    </cfRule>
    <cfRule type="cellIs" dxfId="506" priority="658" operator="equal">
      <formula>"Liquidation"</formula>
    </cfRule>
    <cfRule type="cellIs" dxfId="505" priority="659" operator="equal">
      <formula>"RAD to Vendor"</formula>
    </cfRule>
    <cfRule type="cellIs" dxfId="504" priority="660" operator="equal">
      <formula>"Launch"</formula>
    </cfRule>
    <cfRule type="cellIs" dxfId="503" priority="661" operator="equal">
      <formula>"Equip Request"</formula>
    </cfRule>
    <cfRule type="cellIs" dxfId="502" priority="662" operator="equal">
      <formula>"Decom"</formula>
    </cfRule>
    <cfRule type="cellIs" dxfId="501" priority="663" operator="equal">
      <formula>"Site Transfer"</formula>
    </cfRule>
    <cfRule type="cellIs" dxfId="500" priority="664" operator="equal">
      <formula>"Equip Return"</formula>
    </cfRule>
  </conditionalFormatting>
  <conditionalFormatting sqref="D50">
    <cfRule type="cellIs" dxfId="499" priority="650" operator="equal">
      <formula>"MB"</formula>
    </cfRule>
    <cfRule type="cellIs" dxfId="498" priority="651" operator="equal">
      <formula>"ON"</formula>
    </cfRule>
    <cfRule type="cellIs" dxfId="497" priority="652" operator="equal">
      <formula>"AB"</formula>
    </cfRule>
    <cfRule type="cellIs" dxfId="496" priority="653" operator="equal">
      <formula>"BC"</formula>
    </cfRule>
    <cfRule type="cellIs" dxfId="495" priority="654" operator="equal">
      <formula>"MX"</formula>
    </cfRule>
  </conditionalFormatting>
  <conditionalFormatting sqref="D50:E50">
    <cfRule type="cellIs" dxfId="494" priority="645" operator="equal">
      <formula>"MB"</formula>
    </cfRule>
    <cfRule type="cellIs" dxfId="493" priority="646" operator="equal">
      <formula>"ON"</formula>
    </cfRule>
    <cfRule type="cellIs" dxfId="492" priority="647" operator="equal">
      <formula>"AB"</formula>
    </cfRule>
    <cfRule type="cellIs" dxfId="491" priority="648" operator="equal">
      <formula>"BC"</formula>
    </cfRule>
    <cfRule type="cellIs" dxfId="490" priority="649" operator="equal">
      <formula>"MX"</formula>
    </cfRule>
  </conditionalFormatting>
  <conditionalFormatting sqref="D51:D61">
    <cfRule type="cellIs" dxfId="489" priority="635" operator="equal">
      <formula>"MB"</formula>
    </cfRule>
    <cfRule type="cellIs" dxfId="488" priority="636" operator="equal">
      <formula>"ON"</formula>
    </cfRule>
    <cfRule type="cellIs" dxfId="487" priority="637" operator="equal">
      <formula>"AB"</formula>
    </cfRule>
    <cfRule type="cellIs" dxfId="486" priority="638" operator="equal">
      <formula>"BC"</formula>
    </cfRule>
    <cfRule type="cellIs" dxfId="485" priority="639" operator="equal">
      <formula>"MX"</formula>
    </cfRule>
    <cfRule type="cellIs" dxfId="484" priority="640" operator="equal">
      <formula>"MB"</formula>
    </cfRule>
    <cfRule type="cellIs" dxfId="483" priority="641" operator="equal">
      <formula>"ON"</formula>
    </cfRule>
    <cfRule type="cellIs" dxfId="482" priority="642" operator="equal">
      <formula>"AB"</formula>
    </cfRule>
    <cfRule type="cellIs" dxfId="481" priority="643" operator="equal">
      <formula>"BC"</formula>
    </cfRule>
    <cfRule type="cellIs" dxfId="480" priority="644" operator="equal">
      <formula>"MX"</formula>
    </cfRule>
  </conditionalFormatting>
  <conditionalFormatting sqref="D62">
    <cfRule type="cellIs" dxfId="479" priority="630" operator="equal">
      <formula>"MB"</formula>
    </cfRule>
    <cfRule type="cellIs" dxfId="478" priority="631" operator="equal">
      <formula>"ON"</formula>
    </cfRule>
    <cfRule type="cellIs" dxfId="477" priority="632" operator="equal">
      <formula>"AB"</formula>
    </cfRule>
    <cfRule type="cellIs" dxfId="476" priority="633" operator="equal">
      <formula>"BC"</formula>
    </cfRule>
    <cfRule type="cellIs" dxfId="475" priority="634" operator="equal">
      <formula>"MX"</formula>
    </cfRule>
  </conditionalFormatting>
  <conditionalFormatting sqref="D62:E62">
    <cfRule type="cellIs" dxfId="474" priority="625" operator="equal">
      <formula>"MB"</formula>
    </cfRule>
    <cfRule type="cellIs" dxfId="473" priority="626" operator="equal">
      <formula>"ON"</formula>
    </cfRule>
    <cfRule type="cellIs" dxfId="472" priority="627" operator="equal">
      <formula>"AB"</formula>
    </cfRule>
    <cfRule type="cellIs" dxfId="471" priority="628" operator="equal">
      <formula>"BC"</formula>
    </cfRule>
    <cfRule type="cellIs" dxfId="470" priority="629" operator="equal">
      <formula>"MX"</formula>
    </cfRule>
  </conditionalFormatting>
  <conditionalFormatting sqref="D63:D66">
    <cfRule type="cellIs" dxfId="469" priority="615" operator="equal">
      <formula>"MB"</formula>
    </cfRule>
    <cfRule type="cellIs" dxfId="468" priority="616" operator="equal">
      <formula>"ON"</formula>
    </cfRule>
    <cfRule type="cellIs" dxfId="467" priority="617" operator="equal">
      <formula>"AB"</formula>
    </cfRule>
    <cfRule type="cellIs" dxfId="466" priority="618" operator="equal">
      <formula>"BC"</formula>
    </cfRule>
    <cfRule type="cellIs" dxfId="465" priority="619" operator="equal">
      <formula>"MX"</formula>
    </cfRule>
    <cfRule type="cellIs" dxfId="464" priority="620" operator="equal">
      <formula>"MB"</formula>
    </cfRule>
    <cfRule type="cellIs" dxfId="463" priority="621" operator="equal">
      <formula>"ON"</formula>
    </cfRule>
    <cfRule type="cellIs" dxfId="462" priority="622" operator="equal">
      <formula>"AB"</formula>
    </cfRule>
    <cfRule type="cellIs" dxfId="461" priority="623" operator="equal">
      <formula>"BC"</formula>
    </cfRule>
    <cfRule type="cellIs" dxfId="460" priority="624" operator="equal">
      <formula>"MX"</formula>
    </cfRule>
  </conditionalFormatting>
  <conditionalFormatting sqref="D67">
    <cfRule type="cellIs" dxfId="459" priority="610" operator="equal">
      <formula>"MB"</formula>
    </cfRule>
    <cfRule type="cellIs" dxfId="458" priority="611" operator="equal">
      <formula>"ON"</formula>
    </cfRule>
    <cfRule type="cellIs" dxfId="457" priority="612" operator="equal">
      <formula>"AB"</formula>
    </cfRule>
    <cfRule type="cellIs" dxfId="456" priority="613" operator="equal">
      <formula>"BC"</formula>
    </cfRule>
    <cfRule type="cellIs" dxfId="455" priority="614" operator="equal">
      <formula>"MX"</formula>
    </cfRule>
  </conditionalFormatting>
  <conditionalFormatting sqref="D67:E67">
    <cfRule type="cellIs" dxfId="454" priority="605" operator="equal">
      <formula>"MB"</formula>
    </cfRule>
    <cfRule type="cellIs" dxfId="453" priority="606" operator="equal">
      <formula>"ON"</formula>
    </cfRule>
    <cfRule type="cellIs" dxfId="452" priority="607" operator="equal">
      <formula>"AB"</formula>
    </cfRule>
    <cfRule type="cellIs" dxfId="451" priority="608" operator="equal">
      <formula>"BC"</formula>
    </cfRule>
    <cfRule type="cellIs" dxfId="450" priority="609" operator="equal">
      <formula>"MX"</formula>
    </cfRule>
  </conditionalFormatting>
  <conditionalFormatting sqref="D68">
    <cfRule type="cellIs" dxfId="449" priority="600" operator="equal">
      <formula>"MB"</formula>
    </cfRule>
    <cfRule type="cellIs" dxfId="448" priority="601" operator="equal">
      <formula>"ON"</formula>
    </cfRule>
    <cfRule type="cellIs" dxfId="447" priority="602" operator="equal">
      <formula>"AB"</formula>
    </cfRule>
    <cfRule type="cellIs" dxfId="446" priority="603" operator="equal">
      <formula>"BC"</formula>
    </cfRule>
    <cfRule type="cellIs" dxfId="445" priority="604" operator="equal">
      <formula>"MX"</formula>
    </cfRule>
  </conditionalFormatting>
  <conditionalFormatting sqref="D68:E68">
    <cfRule type="cellIs" dxfId="444" priority="595" operator="equal">
      <formula>"MB"</formula>
    </cfRule>
    <cfRule type="cellIs" dxfId="443" priority="596" operator="equal">
      <formula>"ON"</formula>
    </cfRule>
    <cfRule type="cellIs" dxfId="442" priority="597" operator="equal">
      <formula>"AB"</formula>
    </cfRule>
    <cfRule type="cellIs" dxfId="441" priority="598" operator="equal">
      <formula>"BC"</formula>
    </cfRule>
    <cfRule type="cellIs" dxfId="440" priority="599" operator="equal">
      <formula>"MX"</formula>
    </cfRule>
  </conditionalFormatting>
  <conditionalFormatting sqref="D69">
    <cfRule type="cellIs" dxfId="439" priority="585" operator="equal">
      <formula>"MB"</formula>
    </cfRule>
    <cfRule type="cellIs" dxfId="438" priority="586" operator="equal">
      <formula>"ON"</formula>
    </cfRule>
    <cfRule type="cellIs" dxfId="437" priority="587" operator="equal">
      <formula>"AB"</formula>
    </cfRule>
    <cfRule type="cellIs" dxfId="436" priority="588" operator="equal">
      <formula>"BC"</formula>
    </cfRule>
    <cfRule type="cellIs" dxfId="435" priority="589" operator="equal">
      <formula>"MX"</formula>
    </cfRule>
    <cfRule type="cellIs" dxfId="434" priority="590" operator="equal">
      <formula>"MB"</formula>
    </cfRule>
    <cfRule type="cellIs" dxfId="433" priority="591" operator="equal">
      <formula>"ON"</formula>
    </cfRule>
    <cfRule type="cellIs" dxfId="432" priority="592" operator="equal">
      <formula>"AB"</formula>
    </cfRule>
    <cfRule type="cellIs" dxfId="431" priority="593" operator="equal">
      <formula>"BC"</formula>
    </cfRule>
    <cfRule type="cellIs" dxfId="430" priority="594" operator="equal">
      <formula>"MX"</formula>
    </cfRule>
  </conditionalFormatting>
  <conditionalFormatting sqref="D70">
    <cfRule type="cellIs" dxfId="429" priority="580" operator="equal">
      <formula>"MB"</formula>
    </cfRule>
    <cfRule type="cellIs" dxfId="428" priority="581" operator="equal">
      <formula>"ON"</formula>
    </cfRule>
    <cfRule type="cellIs" dxfId="427" priority="582" operator="equal">
      <formula>"AB"</formula>
    </cfRule>
    <cfRule type="cellIs" dxfId="426" priority="583" operator="equal">
      <formula>"BC"</formula>
    </cfRule>
    <cfRule type="cellIs" dxfId="425" priority="584" operator="equal">
      <formula>"MX"</formula>
    </cfRule>
  </conditionalFormatting>
  <conditionalFormatting sqref="D70:E70">
    <cfRule type="cellIs" dxfId="424" priority="575" operator="equal">
      <formula>"MB"</formula>
    </cfRule>
    <cfRule type="cellIs" dxfId="423" priority="576" operator="equal">
      <formula>"ON"</formula>
    </cfRule>
    <cfRule type="cellIs" dxfId="422" priority="577" operator="equal">
      <formula>"AB"</formula>
    </cfRule>
    <cfRule type="cellIs" dxfId="421" priority="578" operator="equal">
      <formula>"BC"</formula>
    </cfRule>
    <cfRule type="cellIs" dxfId="420" priority="579" operator="equal">
      <formula>"MX"</formula>
    </cfRule>
  </conditionalFormatting>
  <conditionalFormatting sqref="D71">
    <cfRule type="cellIs" dxfId="419" priority="565" operator="equal">
      <formula>"MB"</formula>
    </cfRule>
    <cfRule type="cellIs" dxfId="418" priority="566" operator="equal">
      <formula>"ON"</formula>
    </cfRule>
    <cfRule type="cellIs" dxfId="417" priority="567" operator="equal">
      <formula>"AB"</formula>
    </cfRule>
    <cfRule type="cellIs" dxfId="416" priority="568" operator="equal">
      <formula>"BC"</formula>
    </cfRule>
    <cfRule type="cellIs" dxfId="415" priority="569" operator="equal">
      <formula>"MX"</formula>
    </cfRule>
    <cfRule type="cellIs" dxfId="414" priority="570" operator="equal">
      <formula>"MB"</formula>
    </cfRule>
    <cfRule type="cellIs" dxfId="413" priority="571" operator="equal">
      <formula>"ON"</formula>
    </cfRule>
    <cfRule type="cellIs" dxfId="412" priority="572" operator="equal">
      <formula>"AB"</formula>
    </cfRule>
    <cfRule type="cellIs" dxfId="411" priority="573" operator="equal">
      <formula>"BC"</formula>
    </cfRule>
    <cfRule type="cellIs" dxfId="410" priority="574" operator="equal">
      <formula>"MX"</formula>
    </cfRule>
  </conditionalFormatting>
  <conditionalFormatting sqref="E72">
    <cfRule type="cellIs" dxfId="409" priority="564" operator="equal">
      <formula>"BC"</formula>
    </cfRule>
  </conditionalFormatting>
  <conditionalFormatting sqref="F72">
    <cfRule type="cellIs" dxfId="408" priority="563" operator="equal">
      <formula>"BC"</formula>
    </cfRule>
  </conditionalFormatting>
  <conditionalFormatting sqref="B72">
    <cfRule type="cellIs" dxfId="407" priority="553" operator="equal">
      <formula>"Ship GTL"</formula>
    </cfRule>
    <cfRule type="cellIs" dxfId="406" priority="554" operator="equal">
      <formula>"Vendor to RAD"</formula>
    </cfRule>
    <cfRule type="cellIs" dxfId="405" priority="555" operator="equal">
      <formula>"RAD to RAD"</formula>
    </cfRule>
    <cfRule type="cellIs" dxfId="404" priority="556" operator="equal">
      <formula>"Liquidation"</formula>
    </cfRule>
    <cfRule type="cellIs" dxfId="403" priority="557" operator="equal">
      <formula>"RAD to Vendor"</formula>
    </cfRule>
    <cfRule type="cellIs" dxfId="402" priority="558" operator="equal">
      <formula>"Launch"</formula>
    </cfRule>
    <cfRule type="cellIs" dxfId="401" priority="559" operator="equal">
      <formula>"Equip Request"</formula>
    </cfRule>
    <cfRule type="cellIs" dxfId="400" priority="560" operator="equal">
      <formula>"Decom"</formula>
    </cfRule>
    <cfRule type="cellIs" dxfId="399" priority="561" operator="equal">
      <formula>"Site Transfer"</formula>
    </cfRule>
    <cfRule type="cellIs" dxfId="398" priority="562" operator="equal">
      <formula>"Equip Return"</formula>
    </cfRule>
  </conditionalFormatting>
  <conditionalFormatting sqref="E72:F72">
    <cfRule type="cellIs" dxfId="397" priority="549" operator="equal">
      <formula>"MB"</formula>
    </cfRule>
    <cfRule type="cellIs" dxfId="396" priority="550" operator="equal">
      <formula>"ON"</formula>
    </cfRule>
    <cfRule type="cellIs" dxfId="395" priority="551" operator="equal">
      <formula>"AB"</formula>
    </cfRule>
    <cfRule type="cellIs" dxfId="394" priority="552" operator="equal">
      <formula>"MX"</formula>
    </cfRule>
  </conditionalFormatting>
  <conditionalFormatting sqref="B73">
    <cfRule type="cellIs" dxfId="393" priority="539" operator="equal">
      <formula>"Ship GTL"</formula>
    </cfRule>
    <cfRule type="cellIs" dxfId="392" priority="540" operator="equal">
      <formula>"Vendor to RAD"</formula>
    </cfRule>
    <cfRule type="cellIs" dxfId="391" priority="541" operator="equal">
      <formula>"RAD to RAD"</formula>
    </cfRule>
    <cfRule type="cellIs" dxfId="390" priority="542" operator="equal">
      <formula>"Liquidation"</formula>
    </cfRule>
    <cfRule type="cellIs" dxfId="389" priority="543" operator="equal">
      <formula>"RAD to Vendor"</formula>
    </cfRule>
    <cfRule type="cellIs" dxfId="388" priority="544" operator="equal">
      <formula>"Launch"</formula>
    </cfRule>
    <cfRule type="cellIs" dxfId="387" priority="545" operator="equal">
      <formula>"Equip Request"</formula>
    </cfRule>
    <cfRule type="cellIs" dxfId="386" priority="546" operator="equal">
      <formula>"Decom"</formula>
    </cfRule>
    <cfRule type="cellIs" dxfId="385" priority="547" operator="equal">
      <formula>"Site Transfer"</formula>
    </cfRule>
    <cfRule type="cellIs" dxfId="384" priority="548" operator="equal">
      <formula>"Equip Return"</formula>
    </cfRule>
  </conditionalFormatting>
  <conditionalFormatting sqref="D74">
    <cfRule type="cellIs" dxfId="383" priority="529" operator="equal">
      <formula>"MB"</formula>
    </cfRule>
    <cfRule type="cellIs" dxfId="382" priority="530" operator="equal">
      <formula>"ON"</formula>
    </cfRule>
    <cfRule type="cellIs" dxfId="381" priority="531" operator="equal">
      <formula>"AB"</formula>
    </cfRule>
    <cfRule type="cellIs" dxfId="380" priority="532" operator="equal">
      <formula>"BC"</formula>
    </cfRule>
    <cfRule type="cellIs" dxfId="379" priority="533" operator="equal">
      <formula>"MX"</formula>
    </cfRule>
    <cfRule type="cellIs" dxfId="378" priority="534" operator="equal">
      <formula>"MB"</formula>
    </cfRule>
    <cfRule type="cellIs" dxfId="377" priority="535" operator="equal">
      <formula>"ON"</formula>
    </cfRule>
    <cfRule type="cellIs" dxfId="376" priority="536" operator="equal">
      <formula>"AB"</formula>
    </cfRule>
    <cfRule type="cellIs" dxfId="375" priority="537" operator="equal">
      <formula>"BC"</formula>
    </cfRule>
    <cfRule type="cellIs" dxfId="374" priority="538" operator="equal">
      <formula>"MX"</formula>
    </cfRule>
  </conditionalFormatting>
  <conditionalFormatting sqref="B75">
    <cfRule type="cellIs" dxfId="373" priority="519" operator="equal">
      <formula>"Ship GTL"</formula>
    </cfRule>
    <cfRule type="cellIs" dxfId="372" priority="520" operator="equal">
      <formula>"Vendor to RAD"</formula>
    </cfRule>
    <cfRule type="cellIs" dxfId="371" priority="521" operator="equal">
      <formula>"RAD to RAD"</formula>
    </cfRule>
    <cfRule type="cellIs" dxfId="370" priority="522" operator="equal">
      <formula>"Liquidation"</formula>
    </cfRule>
    <cfRule type="cellIs" dxfId="369" priority="523" operator="equal">
      <formula>"RAD to Vendor"</formula>
    </cfRule>
    <cfRule type="cellIs" dxfId="368" priority="524" operator="equal">
      <formula>"Launch"</formula>
    </cfRule>
    <cfRule type="cellIs" dxfId="367" priority="525" operator="equal">
      <formula>"Equip Request"</formula>
    </cfRule>
    <cfRule type="cellIs" dxfId="366" priority="526" operator="equal">
      <formula>"Decom"</formula>
    </cfRule>
    <cfRule type="cellIs" dxfId="365" priority="527" operator="equal">
      <formula>"Site Transfer"</formula>
    </cfRule>
    <cfRule type="cellIs" dxfId="364" priority="528" operator="equal">
      <formula>"Equip Return"</formula>
    </cfRule>
  </conditionalFormatting>
  <conditionalFormatting sqref="D76:D91">
    <cfRule type="cellIs" dxfId="363" priority="509" operator="equal">
      <formula>"MB"</formula>
    </cfRule>
    <cfRule type="cellIs" dxfId="362" priority="510" operator="equal">
      <formula>"ON"</formula>
    </cfRule>
    <cfRule type="cellIs" dxfId="361" priority="511" operator="equal">
      <formula>"AB"</formula>
    </cfRule>
    <cfRule type="cellIs" dxfId="360" priority="512" operator="equal">
      <formula>"BC"</formula>
    </cfRule>
    <cfRule type="cellIs" dxfId="359" priority="513" operator="equal">
      <formula>"MX"</formula>
    </cfRule>
    <cfRule type="cellIs" dxfId="358" priority="514" operator="equal">
      <formula>"MB"</formula>
    </cfRule>
    <cfRule type="cellIs" dxfId="357" priority="515" operator="equal">
      <formula>"ON"</formula>
    </cfRule>
    <cfRule type="cellIs" dxfId="356" priority="516" operator="equal">
      <formula>"AB"</formula>
    </cfRule>
    <cfRule type="cellIs" dxfId="355" priority="517" operator="equal">
      <formula>"BC"</formula>
    </cfRule>
    <cfRule type="cellIs" dxfId="354" priority="518" operator="equal">
      <formula>"MX"</formula>
    </cfRule>
  </conditionalFormatting>
  <conditionalFormatting sqref="D92:D93">
    <cfRule type="cellIs" dxfId="353" priority="499" operator="equal">
      <formula>"MB"</formula>
    </cfRule>
    <cfRule type="cellIs" dxfId="352" priority="500" operator="equal">
      <formula>"ON"</formula>
    </cfRule>
    <cfRule type="cellIs" dxfId="351" priority="501" operator="equal">
      <formula>"AB"</formula>
    </cfRule>
    <cfRule type="cellIs" dxfId="350" priority="502" operator="equal">
      <formula>"BC"</formula>
    </cfRule>
    <cfRule type="cellIs" dxfId="349" priority="503" operator="equal">
      <formula>"MX"</formula>
    </cfRule>
    <cfRule type="cellIs" dxfId="348" priority="504" operator="equal">
      <formula>"MB"</formula>
    </cfRule>
    <cfRule type="cellIs" dxfId="347" priority="505" operator="equal">
      <formula>"ON"</formula>
    </cfRule>
    <cfRule type="cellIs" dxfId="346" priority="506" operator="equal">
      <formula>"AB"</formula>
    </cfRule>
    <cfRule type="cellIs" dxfId="345" priority="507" operator="equal">
      <formula>"BC"</formula>
    </cfRule>
    <cfRule type="cellIs" dxfId="344" priority="508" operator="equal">
      <formula>"MX"</formula>
    </cfRule>
  </conditionalFormatting>
  <conditionalFormatting sqref="D94">
    <cfRule type="cellIs" dxfId="343" priority="489" operator="equal">
      <formula>"MB"</formula>
    </cfRule>
    <cfRule type="cellIs" dxfId="342" priority="490" operator="equal">
      <formula>"ON"</formula>
    </cfRule>
    <cfRule type="cellIs" dxfId="341" priority="491" operator="equal">
      <formula>"AB"</formula>
    </cfRule>
    <cfRule type="cellIs" dxfId="340" priority="492" operator="equal">
      <formula>"BC"</formula>
    </cfRule>
    <cfRule type="cellIs" dxfId="339" priority="493" operator="equal">
      <formula>"MX"</formula>
    </cfRule>
    <cfRule type="cellIs" dxfId="338" priority="494" operator="equal">
      <formula>"MB"</formula>
    </cfRule>
    <cfRule type="cellIs" dxfId="337" priority="495" operator="equal">
      <formula>"ON"</formula>
    </cfRule>
    <cfRule type="cellIs" dxfId="336" priority="496" operator="equal">
      <formula>"AB"</formula>
    </cfRule>
    <cfRule type="cellIs" dxfId="335" priority="497" operator="equal">
      <formula>"BC"</formula>
    </cfRule>
    <cfRule type="cellIs" dxfId="334" priority="498" operator="equal">
      <formula>"MX"</formula>
    </cfRule>
  </conditionalFormatting>
  <conditionalFormatting sqref="B95">
    <cfRule type="cellIs" dxfId="333" priority="479" operator="equal">
      <formula>"Ship GTL"</formula>
    </cfRule>
    <cfRule type="cellIs" dxfId="332" priority="480" operator="equal">
      <formula>"Vendor to RAD"</formula>
    </cfRule>
    <cfRule type="cellIs" dxfId="331" priority="481" operator="equal">
      <formula>"RAD to RAD"</formula>
    </cfRule>
    <cfRule type="cellIs" dxfId="330" priority="482" operator="equal">
      <formula>"Liquidation"</formula>
    </cfRule>
    <cfRule type="cellIs" dxfId="329" priority="483" operator="equal">
      <formula>"RAD to Vendor"</formula>
    </cfRule>
    <cfRule type="cellIs" dxfId="328" priority="484" operator="equal">
      <formula>"Launch"</formula>
    </cfRule>
    <cfRule type="cellIs" dxfId="327" priority="485" operator="equal">
      <formula>"Equip Request"</formula>
    </cfRule>
    <cfRule type="cellIs" dxfId="326" priority="486" operator="equal">
      <formula>"Decom"</formula>
    </cfRule>
    <cfRule type="cellIs" dxfId="325" priority="487" operator="equal">
      <formula>"Site Transfer"</formula>
    </cfRule>
    <cfRule type="cellIs" dxfId="324" priority="488" operator="equal">
      <formula>"Equip Return"</formula>
    </cfRule>
  </conditionalFormatting>
  <conditionalFormatting sqref="D96:D97">
    <cfRule type="cellIs" dxfId="323" priority="469" operator="equal">
      <formula>"MB"</formula>
    </cfRule>
    <cfRule type="cellIs" dxfId="322" priority="470" operator="equal">
      <formula>"ON"</formula>
    </cfRule>
    <cfRule type="cellIs" dxfId="321" priority="471" operator="equal">
      <formula>"AB"</formula>
    </cfRule>
    <cfRule type="cellIs" dxfId="320" priority="472" operator="equal">
      <formula>"BC"</formula>
    </cfRule>
    <cfRule type="cellIs" dxfId="319" priority="473" operator="equal">
      <formula>"MX"</formula>
    </cfRule>
    <cfRule type="cellIs" dxfId="318" priority="474" operator="equal">
      <formula>"MB"</formula>
    </cfRule>
    <cfRule type="cellIs" dxfId="317" priority="475" operator="equal">
      <formula>"ON"</formula>
    </cfRule>
    <cfRule type="cellIs" dxfId="316" priority="476" operator="equal">
      <formula>"AB"</formula>
    </cfRule>
    <cfRule type="cellIs" dxfId="315" priority="477" operator="equal">
      <formula>"BC"</formula>
    </cfRule>
    <cfRule type="cellIs" dxfId="314" priority="478" operator="equal">
      <formula>"MX"</formula>
    </cfRule>
  </conditionalFormatting>
  <conditionalFormatting sqref="B98:B100">
    <cfRule type="cellIs" dxfId="313" priority="459" operator="equal">
      <formula>"Ship GTL"</formula>
    </cfRule>
    <cfRule type="cellIs" dxfId="312" priority="460" operator="equal">
      <formula>"Vendor to RAD"</formula>
    </cfRule>
    <cfRule type="cellIs" dxfId="311" priority="461" operator="equal">
      <formula>"RAD to RAD"</formula>
    </cfRule>
    <cfRule type="cellIs" dxfId="310" priority="462" operator="equal">
      <formula>"Liquidation"</formula>
    </cfRule>
    <cfRule type="cellIs" dxfId="309" priority="463" operator="equal">
      <formula>"RAD to Vendor"</formula>
    </cfRule>
    <cfRule type="cellIs" dxfId="308" priority="464" operator="equal">
      <formula>"Launch"</formula>
    </cfRule>
    <cfRule type="cellIs" dxfId="307" priority="465" operator="equal">
      <formula>"Equip Request"</formula>
    </cfRule>
    <cfRule type="cellIs" dxfId="306" priority="466" operator="equal">
      <formula>"Decom"</formula>
    </cfRule>
    <cfRule type="cellIs" dxfId="305" priority="467" operator="equal">
      <formula>"Site Transfer"</formula>
    </cfRule>
    <cfRule type="cellIs" dxfId="304" priority="468" operator="equal">
      <formula>"Equip Return"</formula>
    </cfRule>
  </conditionalFormatting>
  <conditionalFormatting sqref="D101:D108">
    <cfRule type="cellIs" dxfId="303" priority="439" operator="equal">
      <formula>"MB"</formula>
    </cfRule>
    <cfRule type="cellIs" dxfId="302" priority="440" operator="equal">
      <formula>"ON"</formula>
    </cfRule>
    <cfRule type="cellIs" dxfId="301" priority="441" operator="equal">
      <formula>"AB"</formula>
    </cfRule>
    <cfRule type="cellIs" dxfId="300" priority="442" operator="equal">
      <formula>"BC"</formula>
    </cfRule>
    <cfRule type="cellIs" dxfId="299" priority="443" operator="equal">
      <formula>"MX"</formula>
    </cfRule>
    <cfRule type="cellIs" dxfId="298" priority="444" operator="equal">
      <formula>"MB"</formula>
    </cfRule>
    <cfRule type="cellIs" dxfId="297" priority="445" operator="equal">
      <formula>"ON"</formula>
    </cfRule>
    <cfRule type="cellIs" dxfId="296" priority="446" operator="equal">
      <formula>"AB"</formula>
    </cfRule>
    <cfRule type="cellIs" dxfId="295" priority="447" operator="equal">
      <formula>"BC"</formula>
    </cfRule>
    <cfRule type="cellIs" dxfId="294" priority="448" operator="equal">
      <formula>"MX"</formula>
    </cfRule>
  </conditionalFormatting>
  <conditionalFormatting sqref="B110">
    <cfRule type="cellIs" dxfId="293" priority="429" operator="equal">
      <formula>"Ship GTL"</formula>
    </cfRule>
    <cfRule type="cellIs" dxfId="292" priority="430" operator="equal">
      <formula>"Vendor to RAD"</formula>
    </cfRule>
    <cfRule type="cellIs" dxfId="291" priority="431" operator="equal">
      <formula>"RAD to RAD"</formula>
    </cfRule>
    <cfRule type="cellIs" dxfId="290" priority="432" operator="equal">
      <formula>"Liquidation"</formula>
    </cfRule>
    <cfRule type="cellIs" dxfId="289" priority="433" operator="equal">
      <formula>"RAD to Vendor"</formula>
    </cfRule>
    <cfRule type="cellIs" dxfId="288" priority="434" operator="equal">
      <formula>"Launch"</formula>
    </cfRule>
    <cfRule type="cellIs" dxfId="287" priority="435" operator="equal">
      <formula>"Equip Request"</formula>
    </cfRule>
    <cfRule type="cellIs" dxfId="286" priority="436" operator="equal">
      <formula>"Decom"</formula>
    </cfRule>
    <cfRule type="cellIs" dxfId="285" priority="437" operator="equal">
      <formula>"Site Transfer"</formula>
    </cfRule>
    <cfRule type="cellIs" dxfId="284" priority="438" operator="equal">
      <formula>"Equip Return"</formula>
    </cfRule>
  </conditionalFormatting>
  <conditionalFormatting sqref="B112">
    <cfRule type="cellIs" dxfId="283" priority="419" operator="equal">
      <formula>"Ship GTL"</formula>
    </cfRule>
    <cfRule type="cellIs" dxfId="282" priority="420" operator="equal">
      <formula>"Vendor to RAD"</formula>
    </cfRule>
    <cfRule type="cellIs" dxfId="281" priority="421" operator="equal">
      <formula>"RAD to RAD"</formula>
    </cfRule>
    <cfRule type="cellIs" dxfId="280" priority="422" operator="equal">
      <formula>"Liquidation"</formula>
    </cfRule>
    <cfRule type="cellIs" dxfId="279" priority="423" operator="equal">
      <formula>"RAD to Vendor"</formula>
    </cfRule>
    <cfRule type="cellIs" dxfId="278" priority="424" operator="equal">
      <formula>"Launch"</formula>
    </cfRule>
    <cfRule type="cellIs" dxfId="277" priority="425" operator="equal">
      <formula>"Equip Request"</formula>
    </cfRule>
    <cfRule type="cellIs" dxfId="276" priority="426" operator="equal">
      <formula>"Decom"</formula>
    </cfRule>
    <cfRule type="cellIs" dxfId="275" priority="427" operator="equal">
      <formula>"Site Transfer"</formula>
    </cfRule>
    <cfRule type="cellIs" dxfId="274" priority="428" operator="equal">
      <formula>"Equip Return"</formula>
    </cfRule>
  </conditionalFormatting>
  <conditionalFormatting sqref="B121:B122">
    <cfRule type="cellIs" dxfId="273" priority="409" operator="equal">
      <formula>"Ship GTL"</formula>
    </cfRule>
    <cfRule type="cellIs" dxfId="272" priority="410" operator="equal">
      <formula>"Vendor to RAD"</formula>
    </cfRule>
    <cfRule type="cellIs" dxfId="271" priority="411" operator="equal">
      <formula>"RAD to RAD"</formula>
    </cfRule>
    <cfRule type="cellIs" dxfId="270" priority="412" operator="equal">
      <formula>"Liquidation"</formula>
    </cfRule>
    <cfRule type="cellIs" dxfId="269" priority="413" operator="equal">
      <formula>"RAD to Vendor"</formula>
    </cfRule>
    <cfRule type="cellIs" dxfId="268" priority="414" operator="equal">
      <formula>"Launch"</formula>
    </cfRule>
    <cfRule type="cellIs" dxfId="267" priority="415" operator="equal">
      <formula>"Equip Request"</formula>
    </cfRule>
    <cfRule type="cellIs" dxfId="266" priority="416" operator="equal">
      <formula>"Decom"</formula>
    </cfRule>
    <cfRule type="cellIs" dxfId="265" priority="417" operator="equal">
      <formula>"Site Transfer"</formula>
    </cfRule>
    <cfRule type="cellIs" dxfId="264" priority="418" operator="equal">
      <formula>"Equip Return"</formula>
    </cfRule>
  </conditionalFormatting>
  <conditionalFormatting sqref="A123:A134">
    <cfRule type="cellIs" dxfId="263" priority="397" operator="equal">
      <formula>"Yes"</formula>
    </cfRule>
    <cfRule type="cellIs" dxfId="262" priority="398" operator="equal">
      <formula>"No"</formula>
    </cfRule>
  </conditionalFormatting>
  <conditionalFormatting sqref="B123:B134">
    <cfRule type="cellIs" dxfId="261" priority="399" operator="equal">
      <formula>"Ship GTL"</formula>
    </cfRule>
    <cfRule type="cellIs" dxfId="260" priority="400" operator="equal">
      <formula>"Vendor to RAD"</formula>
    </cfRule>
    <cfRule type="cellIs" dxfId="259" priority="401" operator="equal">
      <formula>"RAD to RAD"</formula>
    </cfRule>
    <cfRule type="cellIs" dxfId="258" priority="402" operator="equal">
      <formula>"Liquidation"</formula>
    </cfRule>
    <cfRule type="cellIs" dxfId="257" priority="403" operator="equal">
      <formula>"RAD to Vendor"</formula>
    </cfRule>
    <cfRule type="cellIs" dxfId="256" priority="404" operator="equal">
      <formula>"Launch"</formula>
    </cfRule>
    <cfRule type="cellIs" dxfId="255" priority="405" operator="equal">
      <formula>"Equip Request"</formula>
    </cfRule>
    <cfRule type="cellIs" dxfId="254" priority="406" operator="equal">
      <formula>"Decom"</formula>
    </cfRule>
    <cfRule type="cellIs" dxfId="253" priority="407" operator="equal">
      <formula>"Site Transfer"</formula>
    </cfRule>
    <cfRule type="cellIs" dxfId="252" priority="408" operator="equal">
      <formula>"Equip Return"</formula>
    </cfRule>
  </conditionalFormatting>
  <conditionalFormatting sqref="D123">
    <cfRule type="cellIs" dxfId="251" priority="391" operator="equal">
      <formula>"MB"</formula>
    </cfRule>
    <cfRule type="cellIs" dxfId="250" priority="392" operator="equal">
      <formula>"ON"</formula>
    </cfRule>
    <cfRule type="cellIs" dxfId="249" priority="393" operator="equal">
      <formula>"AB"</formula>
    </cfRule>
    <cfRule type="cellIs" dxfId="248" priority="394" operator="equal">
      <formula>"BC"</formula>
    </cfRule>
    <cfRule type="cellIs" dxfId="247" priority="395" operator="equal">
      <formula>"MX"</formula>
    </cfRule>
    <cfRule type="cellIs" dxfId="246" priority="396" operator="equal">
      <formula>"QC"</formula>
    </cfRule>
  </conditionalFormatting>
  <conditionalFormatting sqref="B137:B138">
    <cfRule type="cellIs" dxfId="245" priority="381" operator="equal">
      <formula>"Ship GTL"</formula>
    </cfRule>
    <cfRule type="cellIs" dxfId="244" priority="382" operator="equal">
      <formula>"Vendor to RAD"</formula>
    </cfRule>
    <cfRule type="cellIs" dxfId="243" priority="383" operator="equal">
      <formula>"RAD to RAD"</formula>
    </cfRule>
    <cfRule type="cellIs" dxfId="242" priority="384" operator="equal">
      <formula>"Liquidation"</formula>
    </cfRule>
    <cfRule type="cellIs" dxfId="241" priority="385" operator="equal">
      <formula>"RAD to Vendor"</formula>
    </cfRule>
    <cfRule type="cellIs" dxfId="240" priority="386" operator="equal">
      <formula>"Launch"</formula>
    </cfRule>
    <cfRule type="cellIs" dxfId="239" priority="387" operator="equal">
      <formula>"Equip Request"</formula>
    </cfRule>
    <cfRule type="cellIs" dxfId="238" priority="388" operator="equal">
      <formula>"Decom"</formula>
    </cfRule>
    <cfRule type="cellIs" dxfId="237" priority="389" operator="equal">
      <formula>"Site Transfer"</formula>
    </cfRule>
    <cfRule type="cellIs" dxfId="236" priority="390" operator="equal">
      <formula>"Equip Return"</formula>
    </cfRule>
  </conditionalFormatting>
  <conditionalFormatting sqref="J221:J225 J1 J3:J5 J8:J9 J11:J18 J20:J24 J28:J66 J69:J77 J80:J122 J124:J135 J137:J155 J157:J219 J227:J262">
    <cfRule type="duplicateValues" dxfId="235" priority="2163"/>
  </conditionalFormatting>
  <conditionalFormatting sqref="G235">
    <cfRule type="duplicateValues" dxfId="234" priority="379"/>
  </conditionalFormatting>
  <conditionalFormatting sqref="D259:F259">
    <cfRule type="cellIs" dxfId="233" priority="367" operator="equal">
      <formula>"MB"</formula>
    </cfRule>
    <cfRule type="cellIs" dxfId="232" priority="368" operator="equal">
      <formula>"ON"</formula>
    </cfRule>
    <cfRule type="cellIs" dxfId="231" priority="369" operator="equal">
      <formula>"AB"</formula>
    </cfRule>
    <cfRule type="cellIs" dxfId="230" priority="370" operator="equal">
      <formula>"BC"</formula>
    </cfRule>
    <cfRule type="cellIs" dxfId="229" priority="371" operator="equal">
      <formula>"MX"</formula>
    </cfRule>
  </conditionalFormatting>
  <conditionalFormatting sqref="Z259">
    <cfRule type="cellIs" dxfId="228" priority="372" operator="equal">
      <formula>"Dedicated"</formula>
    </cfRule>
  </conditionalFormatting>
  <conditionalFormatting sqref="D260:F260">
    <cfRule type="cellIs" dxfId="227" priority="327" operator="equal">
      <formula>"MB"</formula>
    </cfRule>
    <cfRule type="cellIs" dxfId="226" priority="328" operator="equal">
      <formula>"ON"</formula>
    </cfRule>
    <cfRule type="cellIs" dxfId="225" priority="329" operator="equal">
      <formula>"AB"</formula>
    </cfRule>
    <cfRule type="cellIs" dxfId="224" priority="330" operator="equal">
      <formula>"BC"</formula>
    </cfRule>
    <cfRule type="cellIs" dxfId="223" priority="331" operator="equal">
      <formula>"MX"</formula>
    </cfRule>
  </conditionalFormatting>
  <conditionalFormatting sqref="F260:F261">
    <cfRule type="cellIs" dxfId="222" priority="332" operator="equal">
      <formula>"BC"</formula>
    </cfRule>
  </conditionalFormatting>
  <conditionalFormatting sqref="Z260">
    <cfRule type="cellIs" dxfId="221" priority="333" operator="equal">
      <formula>"Dedicated"</formula>
    </cfRule>
  </conditionalFormatting>
  <conditionalFormatting sqref="D261:F261">
    <cfRule type="cellIs" dxfId="220" priority="294" operator="equal">
      <formula>"MB"</formula>
    </cfRule>
    <cfRule type="cellIs" dxfId="219" priority="295" operator="equal">
      <formula>"ON"</formula>
    </cfRule>
    <cfRule type="cellIs" dxfId="218" priority="296" operator="equal">
      <formula>"AB"</formula>
    </cfRule>
    <cfRule type="cellIs" dxfId="217" priority="297" operator="equal">
      <formula>"BC"</formula>
    </cfRule>
    <cfRule type="cellIs" dxfId="216" priority="298" operator="equal">
      <formula>"MX"</formula>
    </cfRule>
  </conditionalFormatting>
  <conditionalFormatting sqref="E262:F262">
    <cfRule type="cellIs" dxfId="215" priority="287" operator="equal">
      <formula>"MB"</formula>
    </cfRule>
    <cfRule type="cellIs" dxfId="214" priority="288" operator="equal">
      <formula>"ON"</formula>
    </cfRule>
    <cfRule type="cellIs" dxfId="213" priority="289" operator="equal">
      <formula>"AB"</formula>
    </cfRule>
    <cfRule type="cellIs" dxfId="212" priority="290" operator="equal">
      <formula>"BC"</formula>
    </cfRule>
    <cfRule type="cellIs" dxfId="211" priority="291" operator="equal">
      <formula>"MX"</formula>
    </cfRule>
  </conditionalFormatting>
  <conditionalFormatting sqref="F262">
    <cfRule type="cellIs" dxfId="210" priority="292" operator="equal">
      <formula>"BC"</formula>
    </cfRule>
  </conditionalFormatting>
  <conditionalFormatting sqref="D258:F258">
    <cfRule type="cellIs" dxfId="209" priority="266" operator="equal">
      <formula>"MB"</formula>
    </cfRule>
    <cfRule type="cellIs" dxfId="208" priority="267" operator="equal">
      <formula>"ON"</formula>
    </cfRule>
    <cfRule type="cellIs" dxfId="207" priority="268" operator="equal">
      <formula>"AB"</formula>
    </cfRule>
    <cfRule type="cellIs" dxfId="206" priority="269" operator="equal">
      <formula>"BC"</formula>
    </cfRule>
    <cfRule type="cellIs" dxfId="205" priority="270" operator="equal">
      <formula>"MX"</formula>
    </cfRule>
  </conditionalFormatting>
  <conditionalFormatting sqref="F258">
    <cfRule type="cellIs" dxfId="204" priority="271" operator="equal">
      <formula>"BC"</formula>
    </cfRule>
  </conditionalFormatting>
  <conditionalFormatting sqref="Z258">
    <cfRule type="cellIs" dxfId="203" priority="272" operator="equal">
      <formula>"Dedicated"</formula>
    </cfRule>
  </conditionalFormatting>
  <conditionalFormatting sqref="D262:D263">
    <cfRule type="cellIs" dxfId="202" priority="261" operator="equal">
      <formula>"MB"</formula>
    </cfRule>
    <cfRule type="cellIs" dxfId="201" priority="262" operator="equal">
      <formula>"ON"</formula>
    </cfRule>
    <cfRule type="cellIs" dxfId="200" priority="263" operator="equal">
      <formula>"AB"</formula>
    </cfRule>
    <cfRule type="cellIs" dxfId="199" priority="264" operator="equal">
      <formula>"BC"</formula>
    </cfRule>
    <cfRule type="cellIs" dxfId="198" priority="265" operator="equal">
      <formula>"MX"</formula>
    </cfRule>
  </conditionalFormatting>
  <conditionalFormatting sqref="Z261">
    <cfRule type="cellIs" dxfId="197" priority="260" operator="equal">
      <formula>"Dedicated"</formula>
    </cfRule>
  </conditionalFormatting>
  <conditionalFormatting sqref="Z262">
    <cfRule type="cellIs" dxfId="196" priority="259" operator="equal">
      <formula>"Dedicated"</formula>
    </cfRule>
  </conditionalFormatting>
  <conditionalFormatting sqref="E263">
    <cfRule type="cellIs" dxfId="195" priority="254" operator="equal">
      <formula>"MB"</formula>
    </cfRule>
    <cfRule type="cellIs" dxfId="194" priority="255" operator="equal">
      <formula>"ON"</formula>
    </cfRule>
    <cfRule type="cellIs" dxfId="193" priority="256" operator="equal">
      <formula>"AB"</formula>
    </cfRule>
    <cfRule type="cellIs" dxfId="192" priority="257" operator="equal">
      <formula>"BC"</formula>
    </cfRule>
    <cfRule type="cellIs" dxfId="191" priority="258" operator="equal">
      <formula>"MX"</formula>
    </cfRule>
  </conditionalFormatting>
  <conditionalFormatting sqref="Z263">
    <cfRule type="cellIs" dxfId="190" priority="253" operator="equal">
      <formula>"Dedicated"</formula>
    </cfRule>
  </conditionalFormatting>
  <conditionalFormatting sqref="Z264">
    <cfRule type="cellIs" dxfId="189" priority="252" operator="equal">
      <formula>"Dedicated"</formula>
    </cfRule>
  </conditionalFormatting>
  <conditionalFormatting sqref="F265">
    <cfRule type="cellIs" dxfId="188" priority="246" operator="equal">
      <formula>"MB"</formula>
    </cfRule>
    <cfRule type="cellIs" dxfId="187" priority="247" operator="equal">
      <formula>"ON"</formula>
    </cfRule>
    <cfRule type="cellIs" dxfId="186" priority="248" operator="equal">
      <formula>"AB"</formula>
    </cfRule>
    <cfRule type="cellIs" dxfId="185" priority="249" operator="equal">
      <formula>"BC"</formula>
    </cfRule>
    <cfRule type="cellIs" dxfId="184" priority="250" operator="equal">
      <formula>"MX"</formula>
    </cfRule>
    <cfRule type="cellIs" dxfId="183" priority="251" operator="equal">
      <formula>"BC"</formula>
    </cfRule>
  </conditionalFormatting>
  <conditionalFormatting sqref="Z267">
    <cfRule type="cellIs" dxfId="182" priority="244" operator="equal">
      <formula>"Dedicated"</formula>
    </cfRule>
  </conditionalFormatting>
  <conditionalFormatting sqref="Z266">
    <cfRule type="cellIs" dxfId="181" priority="243" operator="equal">
      <formula>"Dedicated"</formula>
    </cfRule>
  </conditionalFormatting>
  <conditionalFormatting sqref="Z269">
    <cfRule type="cellIs" dxfId="180" priority="242" operator="equal">
      <formula>"Dedicated"</formula>
    </cfRule>
  </conditionalFormatting>
  <conditionalFormatting sqref="Z270">
    <cfRule type="cellIs" dxfId="179" priority="241" operator="equal">
      <formula>"Dedicated"</formula>
    </cfRule>
  </conditionalFormatting>
  <conditionalFormatting sqref="Z271">
    <cfRule type="cellIs" dxfId="178" priority="240" operator="equal">
      <formula>"Dedicated"</formula>
    </cfRule>
  </conditionalFormatting>
  <conditionalFormatting sqref="Z272">
    <cfRule type="cellIs" dxfId="177" priority="239" operator="equal">
      <formula>"Dedicated"</formula>
    </cfRule>
  </conditionalFormatting>
  <conditionalFormatting sqref="A310">
    <cfRule type="cellIs" dxfId="176" priority="230" operator="equal">
      <formula>"Yes"</formula>
    </cfRule>
    <cfRule type="cellIs" dxfId="175" priority="231" operator="equal">
      <formula>"No"</formula>
    </cfRule>
  </conditionalFormatting>
  <conditionalFormatting sqref="D310:F310">
    <cfRule type="cellIs" dxfId="174" priority="224" operator="equal">
      <formula>"MB"</formula>
    </cfRule>
    <cfRule type="cellIs" dxfId="173" priority="225" operator="equal">
      <formula>"ON"</formula>
    </cfRule>
    <cfRule type="cellIs" dxfId="172" priority="226" operator="equal">
      <formula>"AB"</formula>
    </cfRule>
    <cfRule type="cellIs" dxfId="171" priority="227" operator="equal">
      <formula>"BC"</formula>
    </cfRule>
    <cfRule type="cellIs" dxfId="170" priority="228" operator="equal">
      <formula>"MX"</formula>
    </cfRule>
  </conditionalFormatting>
  <conditionalFormatting sqref="D310">
    <cfRule type="cellIs" dxfId="169" priority="229" operator="equal">
      <formula>"QC"</formula>
    </cfRule>
  </conditionalFormatting>
  <conditionalFormatting sqref="F310">
    <cfRule type="cellIs" dxfId="168" priority="232" operator="equal">
      <formula>"BC"</formula>
    </cfRule>
  </conditionalFormatting>
  <conditionalFormatting sqref="F407">
    <cfRule type="cellIs" dxfId="167" priority="209" operator="equal">
      <formula>"MB"</formula>
    </cfRule>
    <cfRule type="cellIs" dxfId="166" priority="210" operator="equal">
      <formula>"ON"</formula>
    </cfRule>
    <cfRule type="cellIs" dxfId="165" priority="211" operator="equal">
      <formula>"AB"</formula>
    </cfRule>
    <cfRule type="cellIs" dxfId="164" priority="212" operator="equal">
      <formula>"BC"</formula>
    </cfRule>
    <cfRule type="cellIs" dxfId="163" priority="213" operator="equal">
      <formula>"MX"</formula>
    </cfRule>
    <cfRule type="cellIs" dxfId="162" priority="214" operator="equal">
      <formula>"BC"</formula>
    </cfRule>
  </conditionalFormatting>
  <conditionalFormatting sqref="F416">
    <cfRule type="containsText" dxfId="161" priority="207" operator="containsText" text="CGY">
      <formula>NOT(ISERROR(SEARCH("CGY",F416)))</formula>
    </cfRule>
  </conditionalFormatting>
  <conditionalFormatting sqref="Q415">
    <cfRule type="cellIs" dxfId="160" priority="205" operator="equal">
      <formula>"Yes"</formula>
    </cfRule>
    <cfRule type="cellIs" dxfId="159" priority="206" operator="equal">
      <formula>"No"</formula>
    </cfRule>
  </conditionalFormatting>
  <conditionalFormatting sqref="F439">
    <cfRule type="cellIs" dxfId="158" priority="189" operator="equal">
      <formula>"MB"</formula>
    </cfRule>
    <cfRule type="cellIs" dxfId="157" priority="190" operator="equal">
      <formula>"ON"</formula>
    </cfRule>
    <cfRule type="cellIs" dxfId="156" priority="191" operator="equal">
      <formula>"AB"</formula>
    </cfRule>
    <cfRule type="cellIs" dxfId="155" priority="192" operator="equal">
      <formula>"BC"</formula>
    </cfRule>
    <cfRule type="cellIs" dxfId="154" priority="193" operator="equal">
      <formula>"MX"</formula>
    </cfRule>
    <cfRule type="cellIs" dxfId="153" priority="194" operator="equal">
      <formula>"BC"</formula>
    </cfRule>
  </conditionalFormatting>
  <conditionalFormatting sqref="F445">
    <cfRule type="cellIs" dxfId="152" priority="183" operator="equal">
      <formula>"MB"</formula>
    </cfRule>
    <cfRule type="cellIs" dxfId="151" priority="184" operator="equal">
      <formula>"ON"</formula>
    </cfRule>
    <cfRule type="cellIs" dxfId="150" priority="185" operator="equal">
      <formula>"AB"</formula>
    </cfRule>
    <cfRule type="cellIs" dxfId="149" priority="186" operator="equal">
      <formula>"BC"</formula>
    </cfRule>
    <cfRule type="cellIs" dxfId="148" priority="187" operator="equal">
      <formula>"MX"</formula>
    </cfRule>
    <cfRule type="cellIs" dxfId="147" priority="188" operator="equal">
      <formula>"BC"</formula>
    </cfRule>
  </conditionalFormatting>
  <conditionalFormatting sqref="F491">
    <cfRule type="containsText" dxfId="146" priority="180" operator="containsText" text="CGY">
      <formula>NOT(ISERROR(SEARCH("CGY",F491)))</formula>
    </cfRule>
  </conditionalFormatting>
  <conditionalFormatting sqref="F319 F345 F371">
    <cfRule type="containsText" dxfId="145" priority="178" operator="containsText" text="CGY">
      <formula>NOT(ISERROR(SEARCH("CGY",F319)))</formula>
    </cfRule>
  </conditionalFormatting>
  <conditionalFormatting sqref="F569">
    <cfRule type="cellIs" dxfId="144" priority="166" operator="equal">
      <formula>"MB"</formula>
    </cfRule>
    <cfRule type="cellIs" dxfId="143" priority="167" operator="equal">
      <formula>"ON"</formula>
    </cfRule>
    <cfRule type="cellIs" dxfId="142" priority="168" operator="equal">
      <formula>"AB"</formula>
    </cfRule>
    <cfRule type="cellIs" dxfId="141" priority="169" operator="equal">
      <formula>"BC"</formula>
    </cfRule>
    <cfRule type="cellIs" dxfId="140" priority="170" operator="equal">
      <formula>"MX"</formula>
    </cfRule>
    <cfRule type="cellIs" dxfId="139" priority="171" operator="equal">
      <formula>"BC"</formula>
    </cfRule>
  </conditionalFormatting>
  <conditionalFormatting sqref="F621">
    <cfRule type="cellIs" dxfId="138" priority="144" operator="equal">
      <formula>"MB"</formula>
    </cfRule>
    <cfRule type="cellIs" dxfId="137" priority="145" operator="equal">
      <formula>"ON"</formula>
    </cfRule>
    <cfRule type="cellIs" dxfId="136" priority="146" operator="equal">
      <formula>"AB"</formula>
    </cfRule>
    <cfRule type="cellIs" dxfId="135" priority="147" operator="equal">
      <formula>"BC"</formula>
    </cfRule>
    <cfRule type="cellIs" dxfId="134" priority="148" operator="equal">
      <formula>"MX"</formula>
    </cfRule>
    <cfRule type="cellIs" dxfId="133" priority="149" operator="equal">
      <formula>"BC"</formula>
    </cfRule>
  </conditionalFormatting>
  <conditionalFormatting sqref="F694">
    <cfRule type="cellIs" dxfId="132" priority="132" operator="equal">
      <formula>"MB"</formula>
    </cfRule>
    <cfRule type="cellIs" dxfId="131" priority="133" operator="equal">
      <formula>"ON"</formula>
    </cfRule>
    <cfRule type="cellIs" dxfId="130" priority="134" operator="equal">
      <formula>"AB"</formula>
    </cfRule>
    <cfRule type="cellIs" dxfId="129" priority="135" operator="equal">
      <formula>"BC"</formula>
    </cfRule>
    <cfRule type="cellIs" dxfId="128" priority="136" operator="equal">
      <formula>"MX"</formula>
    </cfRule>
    <cfRule type="cellIs" dxfId="127" priority="137" operator="equal">
      <formula>"BC"</formula>
    </cfRule>
  </conditionalFormatting>
  <conditionalFormatting sqref="F698">
    <cfRule type="cellIs" dxfId="126" priority="126" operator="equal">
      <formula>"MB"</formula>
    </cfRule>
    <cfRule type="cellIs" dxfId="125" priority="127" operator="equal">
      <formula>"ON"</formula>
    </cfRule>
    <cfRule type="cellIs" dxfId="124" priority="128" operator="equal">
      <formula>"AB"</formula>
    </cfRule>
    <cfRule type="cellIs" dxfId="123" priority="129" operator="equal">
      <formula>"BC"</formula>
    </cfRule>
    <cfRule type="cellIs" dxfId="122" priority="130" operator="equal">
      <formula>"MX"</formula>
    </cfRule>
    <cfRule type="cellIs" dxfId="121" priority="131" operator="equal">
      <formula>"BC"</formula>
    </cfRule>
  </conditionalFormatting>
  <conditionalFormatting sqref="P1:P1048576">
    <cfRule type="containsText" dxfId="120" priority="125" operator="containsText" text="Cancelled">
      <formula>NOT(ISERROR(SEARCH("Cancelled",P1)))</formula>
    </cfRule>
  </conditionalFormatting>
  <conditionalFormatting sqref="F713">
    <cfRule type="cellIs" dxfId="119" priority="119" operator="equal">
      <formula>"MB"</formula>
    </cfRule>
    <cfRule type="cellIs" dxfId="118" priority="120" operator="equal">
      <formula>"ON"</formula>
    </cfRule>
    <cfRule type="cellIs" dxfId="117" priority="121" operator="equal">
      <formula>"AB"</formula>
    </cfRule>
    <cfRule type="cellIs" dxfId="116" priority="122" operator="equal">
      <formula>"BC"</formula>
    </cfRule>
    <cfRule type="cellIs" dxfId="115" priority="123" operator="equal">
      <formula>"MX"</formula>
    </cfRule>
    <cfRule type="cellIs" dxfId="114" priority="124" operator="equal">
      <formula>"BC"</formula>
    </cfRule>
  </conditionalFormatting>
  <conditionalFormatting sqref="F750">
    <cfRule type="cellIs" dxfId="113" priority="113" operator="equal">
      <formula>"MB"</formula>
    </cfRule>
    <cfRule type="cellIs" dxfId="112" priority="114" operator="equal">
      <formula>"ON"</formula>
    </cfRule>
    <cfRule type="cellIs" dxfId="111" priority="115" operator="equal">
      <formula>"AB"</formula>
    </cfRule>
    <cfRule type="cellIs" dxfId="110" priority="116" operator="equal">
      <formula>"BC"</formula>
    </cfRule>
    <cfRule type="cellIs" dxfId="109" priority="117" operator="equal">
      <formula>"MX"</formula>
    </cfRule>
    <cfRule type="cellIs" dxfId="108" priority="118" operator="equal">
      <formula>"BC"</formula>
    </cfRule>
  </conditionalFormatting>
  <conditionalFormatting sqref="F758">
    <cfRule type="cellIs" dxfId="107" priority="107" operator="equal">
      <formula>"MB"</formula>
    </cfRule>
    <cfRule type="cellIs" dxfId="106" priority="108" operator="equal">
      <formula>"ON"</formula>
    </cfRule>
    <cfRule type="cellIs" dxfId="105" priority="109" operator="equal">
      <formula>"AB"</formula>
    </cfRule>
    <cfRule type="cellIs" dxfId="104" priority="110" operator="equal">
      <formula>"BC"</formula>
    </cfRule>
    <cfRule type="cellIs" dxfId="103" priority="111" operator="equal">
      <formula>"MX"</formula>
    </cfRule>
    <cfRule type="cellIs" dxfId="102" priority="112" operator="equal">
      <formula>"BC"</formula>
    </cfRule>
  </conditionalFormatting>
  <conditionalFormatting sqref="F784">
    <cfRule type="cellIs" dxfId="101" priority="101" operator="equal">
      <formula>"MB"</formula>
    </cfRule>
    <cfRule type="cellIs" dxfId="100" priority="102" operator="equal">
      <formula>"ON"</formula>
    </cfRule>
    <cfRule type="cellIs" dxfId="99" priority="103" operator="equal">
      <formula>"AB"</formula>
    </cfRule>
    <cfRule type="cellIs" dxfId="98" priority="104" operator="equal">
      <formula>"BC"</formula>
    </cfRule>
    <cfRule type="cellIs" dxfId="97" priority="105" operator="equal">
      <formula>"MX"</formula>
    </cfRule>
    <cfRule type="cellIs" dxfId="96" priority="106" operator="equal">
      <formula>"BC"</formula>
    </cfRule>
  </conditionalFormatting>
  <conditionalFormatting sqref="F801">
    <cfRule type="cellIs" dxfId="95" priority="95" operator="equal">
      <formula>"MB"</formula>
    </cfRule>
    <cfRule type="cellIs" dxfId="94" priority="96" operator="equal">
      <formula>"ON"</formula>
    </cfRule>
    <cfRule type="cellIs" dxfId="93" priority="97" operator="equal">
      <formula>"AB"</formula>
    </cfRule>
    <cfRule type="cellIs" dxfId="92" priority="98" operator="equal">
      <formula>"BC"</formula>
    </cfRule>
    <cfRule type="cellIs" dxfId="91" priority="99" operator="equal">
      <formula>"MX"</formula>
    </cfRule>
    <cfRule type="cellIs" dxfId="90" priority="100" operator="equal">
      <formula>"BC"</formula>
    </cfRule>
  </conditionalFormatting>
  <conditionalFormatting sqref="F840:G840">
    <cfRule type="cellIs" dxfId="89" priority="89" operator="equal">
      <formula>"MB"</formula>
    </cfRule>
    <cfRule type="cellIs" dxfId="88" priority="90" operator="equal">
      <formula>"ON"</formula>
    </cfRule>
    <cfRule type="cellIs" dxfId="87" priority="91" operator="equal">
      <formula>"AB"</formula>
    </cfRule>
    <cfRule type="cellIs" dxfId="86" priority="92" operator="equal">
      <formula>"BC"</formula>
    </cfRule>
    <cfRule type="cellIs" dxfId="85" priority="93" operator="equal">
      <formula>"MX"</formula>
    </cfRule>
    <cfRule type="cellIs" dxfId="84" priority="94" operator="equal">
      <formula>"BC"</formula>
    </cfRule>
  </conditionalFormatting>
  <conditionalFormatting sqref="F835">
    <cfRule type="cellIs" dxfId="83" priority="83" operator="equal">
      <formula>"MB"</formula>
    </cfRule>
    <cfRule type="cellIs" dxfId="82" priority="84" operator="equal">
      <formula>"ON"</formula>
    </cfRule>
    <cfRule type="cellIs" dxfId="81" priority="85" operator="equal">
      <formula>"AB"</formula>
    </cfRule>
    <cfRule type="cellIs" dxfId="80" priority="86" operator="equal">
      <formula>"BC"</formula>
    </cfRule>
    <cfRule type="cellIs" dxfId="79" priority="87" operator="equal">
      <formula>"MX"</formula>
    </cfRule>
    <cfRule type="cellIs" dxfId="78" priority="88" operator="equal">
      <formula>"BC"</formula>
    </cfRule>
  </conditionalFormatting>
  <conditionalFormatting sqref="F855">
    <cfRule type="cellIs" dxfId="77" priority="77" operator="equal">
      <formula>"MB"</formula>
    </cfRule>
    <cfRule type="cellIs" dxfId="76" priority="78" operator="equal">
      <formula>"ON"</formula>
    </cfRule>
    <cfRule type="cellIs" dxfId="75" priority="79" operator="equal">
      <formula>"AB"</formula>
    </cfRule>
    <cfRule type="cellIs" dxfId="74" priority="80" operator="equal">
      <formula>"BC"</formula>
    </cfRule>
    <cfRule type="cellIs" dxfId="73" priority="81" operator="equal">
      <formula>"MX"</formula>
    </cfRule>
    <cfRule type="cellIs" dxfId="72" priority="82" operator="equal">
      <formula>"BC"</formula>
    </cfRule>
  </conditionalFormatting>
  <conditionalFormatting sqref="I604">
    <cfRule type="cellIs" dxfId="71" priority="73" operator="equal">
      <formula>"Yes"</formula>
    </cfRule>
    <cfRule type="cellIs" dxfId="70" priority="74" operator="equal">
      <formula>"No"</formula>
    </cfRule>
  </conditionalFormatting>
  <conditionalFormatting sqref="I605:I619">
    <cfRule type="cellIs" dxfId="69" priority="71" operator="equal">
      <formula>"Yes"</formula>
    </cfRule>
    <cfRule type="cellIs" dxfId="68" priority="72" operator="equal">
      <formula>"No"</formula>
    </cfRule>
  </conditionalFormatting>
  <conditionalFormatting sqref="I620">
    <cfRule type="cellIs" dxfId="67" priority="69" operator="equal">
      <formula>"Yes"</formula>
    </cfRule>
    <cfRule type="cellIs" dxfId="66" priority="70" operator="equal">
      <formula>"No"</formula>
    </cfRule>
  </conditionalFormatting>
  <conditionalFormatting sqref="I621:I667">
    <cfRule type="cellIs" dxfId="65" priority="67" operator="equal">
      <formula>"Yes"</formula>
    </cfRule>
    <cfRule type="cellIs" dxfId="64" priority="68" operator="equal">
      <formula>"No"</formula>
    </cfRule>
  </conditionalFormatting>
  <conditionalFormatting sqref="I668:I670">
    <cfRule type="cellIs" dxfId="63" priority="65" operator="equal">
      <formula>"Yes"</formula>
    </cfRule>
    <cfRule type="cellIs" dxfId="62" priority="66" operator="equal">
      <formula>"No"</formula>
    </cfRule>
  </conditionalFormatting>
  <conditionalFormatting sqref="I671:I790">
    <cfRule type="cellIs" dxfId="61" priority="63" operator="equal">
      <formula>"Yes"</formula>
    </cfRule>
    <cfRule type="cellIs" dxfId="60" priority="64" operator="equal">
      <formula>"No"</formula>
    </cfRule>
  </conditionalFormatting>
  <conditionalFormatting sqref="I791">
    <cfRule type="cellIs" dxfId="59" priority="61" operator="equal">
      <formula>"Yes"</formula>
    </cfRule>
    <cfRule type="cellIs" dxfId="58" priority="62" operator="equal">
      <formula>"No"</formula>
    </cfRule>
  </conditionalFormatting>
  <conditionalFormatting sqref="I822">
    <cfRule type="cellIs" dxfId="57" priority="59" operator="equal">
      <formula>"Yes"</formula>
    </cfRule>
    <cfRule type="cellIs" dxfId="56" priority="60" operator="equal">
      <formula>"No"</formula>
    </cfRule>
  </conditionalFormatting>
  <conditionalFormatting sqref="I823">
    <cfRule type="cellIs" dxfId="55" priority="57" operator="equal">
      <formula>"Yes"</formula>
    </cfRule>
    <cfRule type="cellIs" dxfId="54" priority="58" operator="equal">
      <formula>"No"</formula>
    </cfRule>
  </conditionalFormatting>
  <conditionalFormatting sqref="I833">
    <cfRule type="cellIs" dxfId="53" priority="55" operator="equal">
      <formula>"Yes"</formula>
    </cfRule>
    <cfRule type="cellIs" dxfId="52" priority="56" operator="equal">
      <formula>"No"</formula>
    </cfRule>
  </conditionalFormatting>
  <conditionalFormatting sqref="I852:I853">
    <cfRule type="cellIs" dxfId="51" priority="53" operator="equal">
      <formula>"Yes"</formula>
    </cfRule>
    <cfRule type="cellIs" dxfId="50" priority="54" operator="equal">
      <formula>"No"</formula>
    </cfRule>
  </conditionalFormatting>
  <conditionalFormatting sqref="I854">
    <cfRule type="cellIs" dxfId="49" priority="51" operator="equal">
      <formula>"Yes"</formula>
    </cfRule>
    <cfRule type="cellIs" dxfId="48" priority="52" operator="equal">
      <formula>"No"</formula>
    </cfRule>
  </conditionalFormatting>
  <conditionalFormatting sqref="I792:I821">
    <cfRule type="cellIs" dxfId="47" priority="49" operator="equal">
      <formula>"Yes"</formula>
    </cfRule>
    <cfRule type="cellIs" dxfId="46" priority="50" operator="equal">
      <formula>"No"</formula>
    </cfRule>
  </conditionalFormatting>
  <conditionalFormatting sqref="I824:I832">
    <cfRule type="cellIs" dxfId="45" priority="47" operator="equal">
      <formula>"Yes"</formula>
    </cfRule>
    <cfRule type="cellIs" dxfId="44" priority="48" operator="equal">
      <formula>"No"</formula>
    </cfRule>
  </conditionalFormatting>
  <conditionalFormatting sqref="I834:I851">
    <cfRule type="cellIs" dxfId="43" priority="45" operator="equal">
      <formula>"Yes"</formula>
    </cfRule>
    <cfRule type="cellIs" dxfId="42" priority="46" operator="equal">
      <formula>"No"</formula>
    </cfRule>
  </conditionalFormatting>
  <conditionalFormatting sqref="I855">
    <cfRule type="cellIs" dxfId="41" priority="41" operator="equal">
      <formula>"Yes"</formula>
    </cfRule>
    <cfRule type="cellIs" dxfId="40" priority="42" operator="equal">
      <formula>"No"</formula>
    </cfRule>
  </conditionalFormatting>
  <conditionalFormatting sqref="A508">
    <cfRule type="cellIs" dxfId="39" priority="38" operator="equal">
      <formula>"Yes"</formula>
    </cfRule>
    <cfRule type="cellIs" dxfId="38" priority="39" operator="equal">
      <formula>"No"</formula>
    </cfRule>
  </conditionalFormatting>
  <conditionalFormatting sqref="D508:F508">
    <cfRule type="cellIs" dxfId="37" priority="32" operator="equal">
      <formula>"MB"</formula>
    </cfRule>
    <cfRule type="cellIs" dxfId="36" priority="33" operator="equal">
      <formula>"ON"</formula>
    </cfRule>
    <cfRule type="cellIs" dxfId="35" priority="34" operator="equal">
      <formula>"AB"</formula>
    </cfRule>
    <cfRule type="cellIs" dxfId="34" priority="35" operator="equal">
      <formula>"BC"</formula>
    </cfRule>
    <cfRule type="cellIs" dxfId="33" priority="36" operator="equal">
      <formula>"MX"</formula>
    </cfRule>
  </conditionalFormatting>
  <conditionalFormatting sqref="D508">
    <cfRule type="cellIs" dxfId="32" priority="37" operator="equal">
      <formula>"QC"</formula>
    </cfRule>
  </conditionalFormatting>
  <conditionalFormatting sqref="F508">
    <cfRule type="cellIs" dxfId="31" priority="40" operator="equal">
      <formula>"BC"</formula>
    </cfRule>
  </conditionalFormatting>
  <conditionalFormatting sqref="F859">
    <cfRule type="cellIs" dxfId="30" priority="26" operator="equal">
      <formula>"MB"</formula>
    </cfRule>
    <cfRule type="cellIs" dxfId="29" priority="27" operator="equal">
      <formula>"ON"</formula>
    </cfRule>
    <cfRule type="cellIs" dxfId="28" priority="28" operator="equal">
      <formula>"AB"</formula>
    </cfRule>
    <cfRule type="cellIs" dxfId="27" priority="29" operator="equal">
      <formula>"BC"</formula>
    </cfRule>
    <cfRule type="cellIs" dxfId="26" priority="30" operator="equal">
      <formula>"MX"</formula>
    </cfRule>
    <cfRule type="cellIs" dxfId="25" priority="31" operator="equal">
      <formula>"BC"</formula>
    </cfRule>
  </conditionalFormatting>
  <conditionalFormatting sqref="F884">
    <cfRule type="cellIs" dxfId="24" priority="20" operator="equal">
      <formula>"MB"</formula>
    </cfRule>
    <cfRule type="cellIs" dxfId="23" priority="21" operator="equal">
      <formula>"ON"</formula>
    </cfRule>
    <cfRule type="cellIs" dxfId="22" priority="22" operator="equal">
      <formula>"AB"</formula>
    </cfRule>
    <cfRule type="cellIs" dxfId="21" priority="23" operator="equal">
      <formula>"BC"</formula>
    </cfRule>
    <cfRule type="cellIs" dxfId="20" priority="24" operator="equal">
      <formula>"MX"</formula>
    </cfRule>
    <cfRule type="cellIs" dxfId="19" priority="25" operator="equal">
      <formula>"BC"</formula>
    </cfRule>
  </conditionalFormatting>
  <conditionalFormatting sqref="F897">
    <cfRule type="cellIs" dxfId="18" priority="14" operator="equal">
      <formula>"MB"</formula>
    </cfRule>
    <cfRule type="cellIs" dxfId="17" priority="15" operator="equal">
      <formula>"ON"</formula>
    </cfRule>
    <cfRule type="cellIs" dxfId="16" priority="16" operator="equal">
      <formula>"AB"</formula>
    </cfRule>
    <cfRule type="cellIs" dxfId="15" priority="17" operator="equal">
      <formula>"BC"</formula>
    </cfRule>
    <cfRule type="cellIs" dxfId="14" priority="18" operator="equal">
      <formula>"MX"</formula>
    </cfRule>
    <cfRule type="cellIs" dxfId="13" priority="19" operator="equal">
      <formula>"BC"</formula>
    </cfRule>
  </conditionalFormatting>
  <conditionalFormatting sqref="F909:F910">
    <cfRule type="cellIs" dxfId="12" priority="8" operator="equal">
      <formula>"MB"</formula>
    </cfRule>
    <cfRule type="cellIs" dxfId="11" priority="9" operator="equal">
      <formula>"ON"</formula>
    </cfRule>
    <cfRule type="cellIs" dxfId="10" priority="10" operator="equal">
      <formula>"AB"</formula>
    </cfRule>
    <cfRule type="cellIs" dxfId="9" priority="11" operator="equal">
      <formula>"BC"</formula>
    </cfRule>
    <cfRule type="cellIs" dxfId="8" priority="12" operator="equal">
      <formula>"MX"</formula>
    </cfRule>
    <cfRule type="cellIs" dxfId="7" priority="13" operator="equal">
      <formula>"BC"</formula>
    </cfRule>
  </conditionalFormatting>
  <conditionalFormatting sqref="T1:T1048576">
    <cfRule type="duplicateValues" dxfId="6" priority="7"/>
  </conditionalFormatting>
  <conditionalFormatting sqref="F1039">
    <cfRule type="cellIs" dxfId="5" priority="1" operator="equal">
      <formula>"MB"</formula>
    </cfRule>
    <cfRule type="cellIs" dxfId="4" priority="2" operator="equal">
      <formula>"ON"</formula>
    </cfRule>
    <cfRule type="cellIs" dxfId="3" priority="3" operator="equal">
      <formula>"AB"</formula>
    </cfRule>
    <cfRule type="cellIs" dxfId="2" priority="4" operator="equal">
      <formula>"BC"</formula>
    </cfRule>
    <cfRule type="cellIs" dxfId="1" priority="5" operator="equal">
      <formula>"MX"</formula>
    </cfRule>
    <cfRule type="cellIs" dxfId="0" priority="6" operator="equal">
      <formula>"BC"</formula>
    </cfRule>
  </conditionalFormatting>
  <dataValidations count="18">
    <dataValidation type="list" allowBlank="1" showInputMessage="1" showErrorMessage="1" sqref="A4:A5 A8 A11 A21:A24 A29:A37 A40:A42 A44:A46 A50:A71 A74 A76:A94 A96:A97 A101:A109 A111 A113:A121 A123:A136 A139:A1099" xr:uid="{00000000-0002-0000-0000-000000000000}">
      <formula1>"Outbound, Inbound, Middle Mile, RAD Transfer"</formula1>
    </dataValidation>
    <dataValidation type="list" allowBlank="1" showInputMessage="1" showErrorMessage="1" sqref="P677 Q440:Q444 R593 Q2:Q438 R882 R899 I2:I1098 L2:L1099 Q446:Q1099 R1052" xr:uid="{00000000-0002-0000-0000-000002000000}">
      <formula1>"No, Yes"</formula1>
    </dataValidation>
    <dataValidation type="list" allowBlank="1" showInputMessage="1" showErrorMessage="1" sqref="C163:C411 C745 C2:C161 C413:C507 C509:C663" xr:uid="{00000000-0002-0000-0000-000003000000}">
      <formula1>"DENALI, SCHNEIDER ELECTRIC, WWT, SHI"</formula1>
    </dataValidation>
    <dataValidation type="list" allowBlank="1" showInputMessage="1" showErrorMessage="1" sqref="C664:C744 C746:C768 C770:C790 C792:C821 C824:C832 C834:C860 C862:C873 C963:C1011 C1017:C1024 C876:C960 C1026:C1099" xr:uid="{00000000-0002-0000-0000-000004000000}">
      <formula1>"DENALI, SCHNEIDER ELECTRIC, WWT, SHI, BOSCH, EXPEDITORS, ANIXTER"</formula1>
    </dataValidation>
    <dataValidation type="list" allowBlank="1" showInputMessage="1" showErrorMessage="1" sqref="P1:P676 P678:P1048576" xr:uid="{00000000-0002-0000-0000-000005000000}">
      <formula1>"No, Yes, Cancelled"</formula1>
    </dataValidation>
    <dataValidation type="list" allowBlank="1" showInputMessage="1" showErrorMessage="1" sqref="C769" xr:uid="{00000000-0002-0000-0000-000006000000}">
      <formula1>"OGA9,DENALI, SCHNEIDER ELECTRIC, WWT, SHI, BOSCH, EXPEDITORS, ANIXTER"</formula1>
    </dataValidation>
    <dataValidation type="list" allowBlank="1" showInputMessage="1" showErrorMessage="1" sqref="C791 C1012:C1016" xr:uid="{00000000-0002-0000-0000-00000A000000}">
      <formula1>"OFL9, DENALI, SCHNEIDER ELECTRIC, WWT, SHI, BOSCH, EXPEDITORS, ANIXTER"</formula1>
    </dataValidation>
    <dataValidation type="list" allowBlank="1" showInputMessage="1" showErrorMessage="1" sqref="C822" xr:uid="{768B5BCB-B93F-4E59-836F-0FED1D7BE621}">
      <formula1>"OIL9, OFL9, DENALI, SCHNEIDER ELECTRIC, WWT, SHI, BOSCH, EXPEDITORS, ANIXTER"</formula1>
    </dataValidation>
    <dataValidation type="list" allowBlank="1" showInputMessage="1" showErrorMessage="1" sqref="C823 C162 C508" xr:uid="{3F9CCD39-B740-472D-BB5A-0D0FE206328B}">
      <formula1>"RAD1, OIL9, OFL9, DENALI, SCHNEIDER ELECTRIC, WWT, SHI, BOSCH, EXPEDITORS, ANIXTER"</formula1>
    </dataValidation>
    <dataValidation type="list" allowBlank="1" showInputMessage="1" showErrorMessage="1" sqref="C833" xr:uid="{47BE60B7-BF9B-4FBC-806F-580939B9998F}">
      <formula1>"MQY2, DENALI, SCHNEIDER ELECTRIC, WWT, SHI, BOSCH, EXPEDITORS, ANIXTER"</formula1>
    </dataValidation>
    <dataValidation type="list" allowBlank="1" showInputMessage="1" showErrorMessage="1" sqref="C874" xr:uid="{C5E5AA6B-A86E-44B4-814F-637A1DEC8509}">
      <formula1>"RIC6, DENALI, SCHNEIDER ELECTRIC, WWT, SHI, BOSCH, EXPEDITORS, ANIXTER"</formula1>
    </dataValidation>
    <dataValidation type="list" allowBlank="1" showInputMessage="1" showErrorMessage="1" sqref="C875" xr:uid="{641E12E1-3AAD-4CC5-BF65-53194D44FB7B}">
      <formula1>"RAD1, RIC6, DENALI, SCHNEIDER ELECTRIC, WWT, SHI, BOSCH, EXPEDITORS, ANIXTER"</formula1>
    </dataValidation>
    <dataValidation type="list" allowBlank="1" showInputMessage="1" showErrorMessage="1" sqref="X2:X958 X960:X1099" xr:uid="{00000000-0002-0000-0000-000008000000}">
      <formula1>"AIR, PARCEL, LTL, FTL"</formula1>
    </dataValidation>
    <dataValidation type="list" allowBlank="1" showInputMessage="1" showErrorMessage="1" sqref="C961" xr:uid="{BAD375A7-FA8B-4315-B335-CA4DF153D6D0}">
      <formula1>"OIN9,DENALI, SCHNEIDER ELECTRIC, WWT, SHI, BOSCH, EXPEDITORS, ANIXTER"</formula1>
    </dataValidation>
    <dataValidation type="list" allowBlank="1" showInputMessage="1" showErrorMessage="1" sqref="C962" xr:uid="{EA187AA6-FFB4-4038-B63F-8CC6AC14CC49}">
      <formula1>"RAD1,DENALI, SCHNEIDER ELECTRIC, WWT, SHI, BOSCH, EXPEDITORS, ANIXTER"</formula1>
    </dataValidation>
    <dataValidation type="list" allowBlank="1" showInputMessage="1" showErrorMessage="1" sqref="C1025" xr:uid="{6531AFEE-17C1-488F-BB8A-C9A450357B12}">
      <formula1>"RAD1, DENALI, SCHNEIDER ELECTRIC, WWT, SHI, BOSCH, EXPEDITORS, ANIXTER"</formula1>
    </dataValidation>
    <dataValidation type="list" allowBlank="1" showInputMessage="1" showErrorMessage="1" sqref="B2:B1099" xr:uid="{00000000-0002-0000-0000-000007000000}">
      <formula1>"Decom, Equip Request, Equip Return, Launch, Site Transfer, Liquidation, Vendor to RAD, Site to RAD, RAD to RAD, Ship GTL, RAD to Vendor, Vendor to Site"</formula1>
    </dataValidation>
    <dataValidation type="list" allowBlank="1" showInputMessage="1" showErrorMessage="1" sqref="AA3:AA1099" xr:uid="{00000000-0002-0000-0000-000009000000}">
      <formula1>"NDA-GS, 2DA-GS, 3DA-GS, NDA-NGS, 2DA-NGS, 3DA-NGS, NDA, 2DA, 3DS, GROUND"</formula1>
    </dataValidation>
  </dataValidations>
  <hyperlinks>
    <hyperlink ref="J2" r:id="rId1" xr:uid="{00000000-0004-0000-0000-000000000000}"/>
    <hyperlink ref="J3" r:id="rId2" xr:uid="{00000000-0004-0000-0000-000001000000}"/>
    <hyperlink ref="J4" r:id="rId3" xr:uid="{00000000-0004-0000-0000-000002000000}"/>
    <hyperlink ref="J5" r:id="rId4" xr:uid="{00000000-0004-0000-0000-000003000000}"/>
    <hyperlink ref="J6" r:id="rId5" xr:uid="{00000000-0004-0000-0000-000004000000}"/>
    <hyperlink ref="J7" r:id="rId6" xr:uid="{00000000-0004-0000-0000-000005000000}"/>
    <hyperlink ref="J8" r:id="rId7" xr:uid="{00000000-0004-0000-0000-000006000000}"/>
    <hyperlink ref="J9" r:id="rId8" xr:uid="{00000000-0004-0000-0000-000007000000}"/>
    <hyperlink ref="J10" r:id="rId9" xr:uid="{00000000-0004-0000-0000-000008000000}"/>
    <hyperlink ref="J11" r:id="rId10" xr:uid="{00000000-0004-0000-0000-000009000000}"/>
    <hyperlink ref="J12" r:id="rId11" xr:uid="{00000000-0004-0000-0000-00000A000000}"/>
    <hyperlink ref="J13" r:id="rId12" xr:uid="{00000000-0004-0000-0000-00000B000000}"/>
    <hyperlink ref="J14" r:id="rId13" xr:uid="{00000000-0004-0000-0000-00000C000000}"/>
    <hyperlink ref="J15" r:id="rId14" xr:uid="{00000000-0004-0000-0000-00000D000000}"/>
    <hyperlink ref="J16" r:id="rId15" xr:uid="{00000000-0004-0000-0000-00000E000000}"/>
    <hyperlink ref="J17" r:id="rId16" xr:uid="{00000000-0004-0000-0000-00000F000000}"/>
    <hyperlink ref="J18" r:id="rId17" xr:uid="{00000000-0004-0000-0000-000010000000}"/>
    <hyperlink ref="J19" r:id="rId18" xr:uid="{00000000-0004-0000-0000-000011000000}"/>
    <hyperlink ref="J20" r:id="rId19" xr:uid="{00000000-0004-0000-0000-000012000000}"/>
    <hyperlink ref="J21" r:id="rId20" xr:uid="{00000000-0004-0000-0000-000013000000}"/>
    <hyperlink ref="J22" r:id="rId21" xr:uid="{00000000-0004-0000-0000-000014000000}"/>
    <hyperlink ref="J23" r:id="rId22" xr:uid="{00000000-0004-0000-0000-000015000000}"/>
    <hyperlink ref="J24" r:id="rId23" xr:uid="{00000000-0004-0000-0000-000016000000}"/>
    <hyperlink ref="J25" r:id="rId24" xr:uid="{00000000-0004-0000-0000-000017000000}"/>
    <hyperlink ref="J26" r:id="rId25" xr:uid="{00000000-0004-0000-0000-000018000000}"/>
    <hyperlink ref="J27" r:id="rId26" xr:uid="{00000000-0004-0000-0000-000019000000}"/>
    <hyperlink ref="J28" r:id="rId27" xr:uid="{00000000-0004-0000-0000-00001A000000}"/>
    <hyperlink ref="J29" r:id="rId28" xr:uid="{00000000-0004-0000-0000-00001B000000}"/>
    <hyperlink ref="J30" r:id="rId29" xr:uid="{00000000-0004-0000-0000-00001C000000}"/>
    <hyperlink ref="J31" r:id="rId30" xr:uid="{00000000-0004-0000-0000-00001D000000}"/>
    <hyperlink ref="J32" r:id="rId31" xr:uid="{00000000-0004-0000-0000-00001E000000}"/>
    <hyperlink ref="J33" r:id="rId32" xr:uid="{00000000-0004-0000-0000-00001F000000}"/>
    <hyperlink ref="J34" r:id="rId33" xr:uid="{00000000-0004-0000-0000-000020000000}"/>
    <hyperlink ref="J35" r:id="rId34" xr:uid="{00000000-0004-0000-0000-000021000000}"/>
    <hyperlink ref="J36" r:id="rId35" xr:uid="{00000000-0004-0000-0000-000022000000}"/>
    <hyperlink ref="J37" r:id="rId36" xr:uid="{00000000-0004-0000-0000-000023000000}"/>
    <hyperlink ref="J38" r:id="rId37" xr:uid="{00000000-0004-0000-0000-000024000000}"/>
    <hyperlink ref="J39" r:id="rId38" xr:uid="{00000000-0004-0000-0000-000025000000}"/>
    <hyperlink ref="J40" r:id="rId39" xr:uid="{00000000-0004-0000-0000-000026000000}"/>
    <hyperlink ref="J41" r:id="rId40" xr:uid="{00000000-0004-0000-0000-000027000000}"/>
    <hyperlink ref="J42" r:id="rId41" xr:uid="{00000000-0004-0000-0000-000028000000}"/>
    <hyperlink ref="J43" r:id="rId42" xr:uid="{00000000-0004-0000-0000-000029000000}"/>
    <hyperlink ref="J44" r:id="rId43" xr:uid="{00000000-0004-0000-0000-00002A000000}"/>
    <hyperlink ref="J45" r:id="rId44" xr:uid="{00000000-0004-0000-0000-00002B000000}"/>
    <hyperlink ref="J46" r:id="rId45" xr:uid="{00000000-0004-0000-0000-00002C000000}"/>
    <hyperlink ref="J47" r:id="rId46" xr:uid="{00000000-0004-0000-0000-00002D000000}"/>
    <hyperlink ref="J48" r:id="rId47" xr:uid="{00000000-0004-0000-0000-00002E000000}"/>
    <hyperlink ref="J49" r:id="rId48" xr:uid="{00000000-0004-0000-0000-00002F000000}"/>
    <hyperlink ref="J50" r:id="rId49" xr:uid="{00000000-0004-0000-0000-000030000000}"/>
    <hyperlink ref="J51" r:id="rId50" xr:uid="{00000000-0004-0000-0000-000031000000}"/>
    <hyperlink ref="J52" r:id="rId51" xr:uid="{00000000-0004-0000-0000-000032000000}"/>
    <hyperlink ref="J53" r:id="rId52" xr:uid="{00000000-0004-0000-0000-000033000000}"/>
    <hyperlink ref="J54" r:id="rId53" xr:uid="{00000000-0004-0000-0000-000034000000}"/>
    <hyperlink ref="J55" r:id="rId54" xr:uid="{00000000-0004-0000-0000-000035000000}"/>
    <hyperlink ref="J56" r:id="rId55" xr:uid="{00000000-0004-0000-0000-000036000000}"/>
    <hyperlink ref="J57" r:id="rId56" xr:uid="{00000000-0004-0000-0000-000037000000}"/>
    <hyperlink ref="J58" r:id="rId57" xr:uid="{00000000-0004-0000-0000-000038000000}"/>
    <hyperlink ref="J59" r:id="rId58" display="'00034198959" xr:uid="{00000000-0004-0000-0000-000039000000}"/>
    <hyperlink ref="J60" r:id="rId59" xr:uid="{00000000-0004-0000-0000-00003A000000}"/>
    <hyperlink ref="J61" r:id="rId60" xr:uid="{00000000-0004-0000-0000-00003B000000}"/>
    <hyperlink ref="J62" r:id="rId61" display="'00034198962" xr:uid="{00000000-0004-0000-0000-00003C000000}"/>
    <hyperlink ref="J63" r:id="rId62" xr:uid="{00000000-0004-0000-0000-00003D000000}"/>
    <hyperlink ref="J64" r:id="rId63" xr:uid="{00000000-0004-0000-0000-00003E000000}"/>
    <hyperlink ref="J65" r:id="rId64" xr:uid="{00000000-0004-0000-0000-00003F000000}"/>
    <hyperlink ref="J66" r:id="rId65" xr:uid="{00000000-0004-0000-0000-000040000000}"/>
    <hyperlink ref="J67" r:id="rId66" xr:uid="{00000000-0004-0000-0000-000041000000}"/>
    <hyperlink ref="J68" r:id="rId67" xr:uid="{00000000-0004-0000-0000-000042000000}"/>
    <hyperlink ref="J69" r:id="rId68" xr:uid="{00000000-0004-0000-0000-000043000000}"/>
    <hyperlink ref="J70" r:id="rId69" xr:uid="{00000000-0004-0000-0000-000044000000}"/>
    <hyperlink ref="J71" r:id="rId70" xr:uid="{00000000-0004-0000-0000-000045000000}"/>
    <hyperlink ref="J72" r:id="rId71" xr:uid="{00000000-0004-0000-0000-000046000000}"/>
    <hyperlink ref="J73" r:id="rId72" xr:uid="{00000000-0004-0000-0000-000047000000}"/>
    <hyperlink ref="J74" r:id="rId73" xr:uid="{00000000-0004-0000-0000-000048000000}"/>
    <hyperlink ref="J75" r:id="rId74" xr:uid="{00000000-0004-0000-0000-000049000000}"/>
    <hyperlink ref="J76" r:id="rId75" xr:uid="{00000000-0004-0000-0000-00004A000000}"/>
    <hyperlink ref="J77" r:id="rId76" xr:uid="{00000000-0004-0000-0000-00004B000000}"/>
    <hyperlink ref="J78" r:id="rId77" xr:uid="{00000000-0004-0000-0000-00004C000000}"/>
    <hyperlink ref="J79" r:id="rId78" xr:uid="{00000000-0004-0000-0000-00004D000000}"/>
    <hyperlink ref="J80" r:id="rId79" display="'0948205088" xr:uid="{00000000-0004-0000-0000-00004E000000}"/>
    <hyperlink ref="J81" r:id="rId80" xr:uid="{00000000-0004-0000-0000-00004F000000}"/>
    <hyperlink ref="J82" r:id="rId81" display="'00034198974" xr:uid="{00000000-0004-0000-0000-000050000000}"/>
    <hyperlink ref="J83" r:id="rId82" xr:uid="{00000000-0004-0000-0000-000051000000}"/>
    <hyperlink ref="J84" r:id="rId83" xr:uid="{00000000-0004-0000-0000-000052000000}"/>
    <hyperlink ref="J85" r:id="rId84" xr:uid="{00000000-0004-0000-0000-000053000000}"/>
    <hyperlink ref="J86" r:id="rId85" xr:uid="{00000000-0004-0000-0000-000054000000}"/>
    <hyperlink ref="J87" r:id="rId86" xr:uid="{00000000-0004-0000-0000-000055000000}"/>
    <hyperlink ref="J88" r:id="rId87" xr:uid="{00000000-0004-0000-0000-000056000000}"/>
    <hyperlink ref="J89" r:id="rId88" xr:uid="{00000000-0004-0000-0000-000057000000}"/>
    <hyperlink ref="J90" r:id="rId89" display="'00034199127" xr:uid="{00000000-0004-0000-0000-000058000000}"/>
    <hyperlink ref="J91" r:id="rId90" xr:uid="{00000000-0004-0000-0000-000059000000}"/>
    <hyperlink ref="J92" r:id="rId91" xr:uid="{00000000-0004-0000-0000-00005A000000}"/>
    <hyperlink ref="J93" r:id="rId92" xr:uid="{00000000-0004-0000-0000-00005B000000}"/>
    <hyperlink ref="J94" r:id="rId93" xr:uid="{00000000-0004-0000-0000-00005C000000}"/>
    <hyperlink ref="J95" r:id="rId94" xr:uid="{00000000-0004-0000-0000-00005D000000}"/>
    <hyperlink ref="J96" r:id="rId95" xr:uid="{00000000-0004-0000-0000-00005E000000}"/>
    <hyperlink ref="J97" r:id="rId96" xr:uid="{00000000-0004-0000-0000-00005F000000}"/>
    <hyperlink ref="J98" r:id="rId97" xr:uid="{00000000-0004-0000-0000-000060000000}"/>
    <hyperlink ref="J99" r:id="rId98" xr:uid="{00000000-0004-0000-0000-000061000000}"/>
    <hyperlink ref="J100" r:id="rId99" xr:uid="{00000000-0004-0000-0000-000062000000}"/>
    <hyperlink ref="J101" r:id="rId100" xr:uid="{00000000-0004-0000-0000-000063000000}"/>
    <hyperlink ref="J102" r:id="rId101" xr:uid="{00000000-0004-0000-0000-000064000000}"/>
    <hyperlink ref="J103" r:id="rId102" xr:uid="{00000000-0004-0000-0000-000065000000}"/>
    <hyperlink ref="J104" r:id="rId103" xr:uid="{00000000-0004-0000-0000-000066000000}"/>
    <hyperlink ref="J105" r:id="rId104" xr:uid="{00000000-0004-0000-0000-000067000000}"/>
    <hyperlink ref="J106" r:id="rId105" xr:uid="{00000000-0004-0000-0000-000068000000}"/>
    <hyperlink ref="J107" r:id="rId106" xr:uid="{00000000-0004-0000-0000-000069000000}"/>
    <hyperlink ref="J108" r:id="rId107" xr:uid="{00000000-0004-0000-0000-00006A000000}"/>
    <hyperlink ref="J109" r:id="rId108" xr:uid="{00000000-0004-0000-0000-00006B000000}"/>
    <hyperlink ref="J110" r:id="rId109" xr:uid="{00000000-0004-0000-0000-00006C000000}"/>
    <hyperlink ref="J111" r:id="rId110" xr:uid="{00000000-0004-0000-0000-00006D000000}"/>
    <hyperlink ref="J112" r:id="rId111" xr:uid="{00000000-0004-0000-0000-00006E000000}"/>
    <hyperlink ref="J113" r:id="rId112" xr:uid="{00000000-0004-0000-0000-00006F000000}"/>
    <hyperlink ref="J114" r:id="rId113" xr:uid="{00000000-0004-0000-0000-000070000000}"/>
    <hyperlink ref="J115" r:id="rId114" xr:uid="{00000000-0004-0000-0000-000071000000}"/>
    <hyperlink ref="J116" r:id="rId115" xr:uid="{00000000-0004-0000-0000-000072000000}"/>
    <hyperlink ref="J117" r:id="rId116" xr:uid="{00000000-0004-0000-0000-000073000000}"/>
    <hyperlink ref="J118" r:id="rId117" xr:uid="{00000000-0004-0000-0000-000074000000}"/>
    <hyperlink ref="J119" r:id="rId118" xr:uid="{00000000-0004-0000-0000-000075000000}"/>
    <hyperlink ref="J120" r:id="rId119" xr:uid="{00000000-0004-0000-0000-000076000000}"/>
    <hyperlink ref="J121" r:id="rId120" xr:uid="{00000000-0004-0000-0000-000077000000}"/>
    <hyperlink ref="J122" r:id="rId121" xr:uid="{00000000-0004-0000-0000-000078000000}"/>
    <hyperlink ref="J123" r:id="rId122" xr:uid="{00000000-0004-0000-0000-000079000000}"/>
    <hyperlink ref="J124" r:id="rId123" xr:uid="{00000000-0004-0000-0000-00007A000000}"/>
    <hyperlink ref="J125" r:id="rId124" xr:uid="{00000000-0004-0000-0000-00007B000000}"/>
    <hyperlink ref="J126" r:id="rId125" xr:uid="{00000000-0004-0000-0000-00007C000000}"/>
    <hyperlink ref="J127" r:id="rId126" xr:uid="{00000000-0004-0000-0000-00007D000000}"/>
    <hyperlink ref="J128" r:id="rId127" xr:uid="{00000000-0004-0000-0000-00007E000000}"/>
    <hyperlink ref="J129" r:id="rId128" xr:uid="{00000000-0004-0000-0000-00007F000000}"/>
    <hyperlink ref="J130" r:id="rId129" xr:uid="{00000000-0004-0000-0000-000080000000}"/>
    <hyperlink ref="J131" r:id="rId130" xr:uid="{00000000-0004-0000-0000-000081000000}"/>
    <hyperlink ref="J132" r:id="rId131" xr:uid="{00000000-0004-0000-0000-000082000000}"/>
    <hyperlink ref="J133" r:id="rId132" xr:uid="{00000000-0004-0000-0000-000083000000}"/>
    <hyperlink ref="J134" r:id="rId133" xr:uid="{00000000-0004-0000-0000-000084000000}"/>
    <hyperlink ref="J135" r:id="rId134" display="'00034199338" xr:uid="{00000000-0004-0000-0000-000085000000}"/>
    <hyperlink ref="J136" r:id="rId135" xr:uid="{00000000-0004-0000-0000-000086000000}"/>
    <hyperlink ref="J137" r:id="rId136" xr:uid="{00000000-0004-0000-0000-000087000000}"/>
    <hyperlink ref="J138" r:id="rId137" xr:uid="{00000000-0004-0000-0000-000088000000}"/>
    <hyperlink ref="J139" r:id="rId138" xr:uid="{00000000-0004-0000-0000-000089000000}"/>
    <hyperlink ref="J140" r:id="rId139" xr:uid="{00000000-0004-0000-0000-00008A000000}"/>
    <hyperlink ref="J141" r:id="rId140" xr:uid="{00000000-0004-0000-0000-00008B000000}"/>
    <hyperlink ref="J142" r:id="rId141" xr:uid="{00000000-0004-0000-0000-00008C000000}"/>
    <hyperlink ref="J143" r:id="rId142" xr:uid="{00000000-0004-0000-0000-00008D000000}"/>
    <hyperlink ref="J144" r:id="rId143" xr:uid="{00000000-0004-0000-0000-00008E000000}"/>
    <hyperlink ref="J145" r:id="rId144" xr:uid="{00000000-0004-0000-0000-00008F000000}"/>
    <hyperlink ref="J146" r:id="rId145" xr:uid="{00000000-0004-0000-0000-000090000000}"/>
    <hyperlink ref="J147" r:id="rId146" xr:uid="{00000000-0004-0000-0000-000091000000}"/>
    <hyperlink ref="J148" r:id="rId147" xr:uid="{00000000-0004-0000-0000-000092000000}"/>
    <hyperlink ref="J149" r:id="rId148" xr:uid="{00000000-0004-0000-0000-000093000000}"/>
    <hyperlink ref="J150" r:id="rId149" xr:uid="{00000000-0004-0000-0000-000094000000}"/>
    <hyperlink ref="J151" r:id="rId150" xr:uid="{00000000-0004-0000-0000-000095000000}"/>
    <hyperlink ref="J152" r:id="rId151" xr:uid="{00000000-0004-0000-0000-000096000000}"/>
    <hyperlink ref="J153" r:id="rId152" xr:uid="{00000000-0004-0000-0000-000097000000}"/>
    <hyperlink ref="J154" r:id="rId153" xr:uid="{00000000-0004-0000-0000-000098000000}"/>
    <hyperlink ref="J155" r:id="rId154" xr:uid="{00000000-0004-0000-0000-000099000000}"/>
    <hyperlink ref="J156" r:id="rId155" xr:uid="{00000000-0004-0000-0000-00009A000000}"/>
    <hyperlink ref="J157" r:id="rId156" xr:uid="{00000000-0004-0000-0000-00009B000000}"/>
    <hyperlink ref="J158" r:id="rId157" xr:uid="{00000000-0004-0000-0000-00009C000000}"/>
    <hyperlink ref="J159" r:id="rId158" xr:uid="{00000000-0004-0000-0000-00009D000000}"/>
    <hyperlink ref="J160" r:id="rId159" xr:uid="{00000000-0004-0000-0000-00009E000000}"/>
    <hyperlink ref="J161" r:id="rId160" xr:uid="{00000000-0004-0000-0000-00009F000000}"/>
    <hyperlink ref="J163" r:id="rId161" xr:uid="{00000000-0004-0000-0000-0000A0000000}"/>
    <hyperlink ref="J164" r:id="rId162" xr:uid="{00000000-0004-0000-0000-0000A1000000}"/>
    <hyperlink ref="J165" r:id="rId163" xr:uid="{00000000-0004-0000-0000-0000A2000000}"/>
    <hyperlink ref="J166" r:id="rId164" xr:uid="{00000000-0004-0000-0000-0000A3000000}"/>
    <hyperlink ref="J167" r:id="rId165" xr:uid="{00000000-0004-0000-0000-0000A4000000}"/>
    <hyperlink ref="J168" r:id="rId166" xr:uid="{00000000-0004-0000-0000-0000A5000000}"/>
    <hyperlink ref="J169" r:id="rId167" xr:uid="{00000000-0004-0000-0000-0000A6000000}"/>
    <hyperlink ref="J170" r:id="rId168" xr:uid="{00000000-0004-0000-0000-0000A7000000}"/>
    <hyperlink ref="J171" r:id="rId169" xr:uid="{00000000-0004-0000-0000-0000A8000000}"/>
    <hyperlink ref="J172" r:id="rId170" xr:uid="{00000000-0004-0000-0000-0000A9000000}"/>
    <hyperlink ref="J173" r:id="rId171" xr:uid="{00000000-0004-0000-0000-0000AA000000}"/>
    <hyperlink ref="J174" r:id="rId172" xr:uid="{00000000-0004-0000-0000-0000AB000000}"/>
    <hyperlink ref="J175" r:id="rId173" xr:uid="{00000000-0004-0000-0000-0000AC000000}"/>
    <hyperlink ref="J176" r:id="rId174" xr:uid="{00000000-0004-0000-0000-0000AD000000}"/>
    <hyperlink ref="J177" r:id="rId175" xr:uid="{00000000-0004-0000-0000-0000AE000000}"/>
    <hyperlink ref="J178" r:id="rId176" xr:uid="{00000000-0004-0000-0000-0000AF000000}"/>
    <hyperlink ref="J179" r:id="rId177" xr:uid="{00000000-0004-0000-0000-0000B0000000}"/>
    <hyperlink ref="J180" r:id="rId178" xr:uid="{00000000-0004-0000-0000-0000B1000000}"/>
    <hyperlink ref="J181" r:id="rId179" xr:uid="{00000000-0004-0000-0000-0000B2000000}"/>
    <hyperlink ref="J182" r:id="rId180" xr:uid="{00000000-0004-0000-0000-0000B3000000}"/>
    <hyperlink ref="J183" r:id="rId181" xr:uid="{00000000-0004-0000-0000-0000B4000000}"/>
    <hyperlink ref="J184" r:id="rId182" xr:uid="{00000000-0004-0000-0000-0000B5000000}"/>
    <hyperlink ref="J185" r:id="rId183" xr:uid="{00000000-0004-0000-0000-0000B6000000}"/>
    <hyperlink ref="J186" r:id="rId184" xr:uid="{00000000-0004-0000-0000-0000B7000000}"/>
    <hyperlink ref="J187" r:id="rId185" xr:uid="{00000000-0004-0000-0000-0000B8000000}"/>
    <hyperlink ref="J188" r:id="rId186" xr:uid="{00000000-0004-0000-0000-0000B9000000}"/>
    <hyperlink ref="J189" r:id="rId187" xr:uid="{00000000-0004-0000-0000-0000BA000000}"/>
    <hyperlink ref="J190" r:id="rId188" xr:uid="{00000000-0004-0000-0000-0000BB000000}"/>
    <hyperlink ref="J191" r:id="rId189" xr:uid="{00000000-0004-0000-0000-0000BC000000}"/>
    <hyperlink ref="J192" r:id="rId190" xr:uid="{00000000-0004-0000-0000-0000BD000000}"/>
    <hyperlink ref="J193" r:id="rId191" display="00034911449" xr:uid="{00000000-0004-0000-0000-0000BE000000}"/>
    <hyperlink ref="J194" r:id="rId192" xr:uid="{00000000-0004-0000-0000-0000BF000000}"/>
    <hyperlink ref="J195" r:id="rId193" xr:uid="{00000000-0004-0000-0000-0000C0000000}"/>
    <hyperlink ref="J196" r:id="rId194" xr:uid="{00000000-0004-0000-0000-0000C1000000}"/>
    <hyperlink ref="J197" r:id="rId195" xr:uid="{00000000-0004-0000-0000-0000C2000000}"/>
    <hyperlink ref="J198" r:id="rId196" xr:uid="{00000000-0004-0000-0000-0000C3000000}"/>
    <hyperlink ref="J199" r:id="rId197" xr:uid="{00000000-0004-0000-0000-0000C4000000}"/>
    <hyperlink ref="J200" r:id="rId198" xr:uid="{00000000-0004-0000-0000-0000C5000000}"/>
    <hyperlink ref="J201" r:id="rId199" xr:uid="{00000000-0004-0000-0000-0000C6000000}"/>
    <hyperlink ref="J202" r:id="rId200" xr:uid="{00000000-0004-0000-0000-0000C7000000}"/>
    <hyperlink ref="J203" r:id="rId201" xr:uid="{00000000-0004-0000-0000-0000C8000000}"/>
    <hyperlink ref="J204" r:id="rId202" xr:uid="{00000000-0004-0000-0000-0000C9000000}"/>
    <hyperlink ref="J206" r:id="rId203" xr:uid="{00000000-0004-0000-0000-0000CA000000}"/>
    <hyperlink ref="J207" r:id="rId204" xr:uid="{00000000-0004-0000-0000-0000CB000000}"/>
    <hyperlink ref="J208" r:id="rId205" xr:uid="{00000000-0004-0000-0000-0000CC000000}"/>
    <hyperlink ref="J209" r:id="rId206" xr:uid="{00000000-0004-0000-0000-0000CD000000}"/>
    <hyperlink ref="J210" r:id="rId207" xr:uid="{00000000-0004-0000-0000-0000CE000000}"/>
    <hyperlink ref="J211" r:id="rId208" xr:uid="{00000000-0004-0000-0000-0000CF000000}"/>
    <hyperlink ref="J212" r:id="rId209" xr:uid="{00000000-0004-0000-0000-0000D0000000}"/>
    <hyperlink ref="J213" r:id="rId210" xr:uid="{00000000-0004-0000-0000-0000D1000000}"/>
    <hyperlink ref="J214" r:id="rId211" xr:uid="{00000000-0004-0000-0000-0000D2000000}"/>
    <hyperlink ref="J215" r:id="rId212" xr:uid="{00000000-0004-0000-0000-0000D3000000}"/>
    <hyperlink ref="J216" r:id="rId213" xr:uid="{00000000-0004-0000-0000-0000D4000000}"/>
    <hyperlink ref="J217" r:id="rId214" xr:uid="{00000000-0004-0000-0000-0000D5000000}"/>
    <hyperlink ref="J218" r:id="rId215" xr:uid="{00000000-0004-0000-0000-0000D6000000}"/>
    <hyperlink ref="J219" r:id="rId216" xr:uid="{00000000-0004-0000-0000-0000D7000000}"/>
    <hyperlink ref="J220" r:id="rId217" xr:uid="{00000000-0004-0000-0000-0000D8000000}"/>
    <hyperlink ref="J221" r:id="rId218" xr:uid="{00000000-0004-0000-0000-0000D9000000}"/>
    <hyperlink ref="J222" r:id="rId219" xr:uid="{00000000-0004-0000-0000-0000DA000000}"/>
    <hyperlink ref="J223" r:id="rId220" xr:uid="{00000000-0004-0000-0000-0000DB000000}"/>
    <hyperlink ref="J224" r:id="rId221" xr:uid="{00000000-0004-0000-0000-0000DC000000}"/>
    <hyperlink ref="J225" r:id="rId222" xr:uid="{00000000-0004-0000-0000-0000DD000000}"/>
    <hyperlink ref="J226" r:id="rId223" xr:uid="{00000000-0004-0000-0000-0000DE000000}"/>
    <hyperlink ref="J227" r:id="rId224" xr:uid="{00000000-0004-0000-0000-0000DF000000}"/>
    <hyperlink ref="J228" r:id="rId225" xr:uid="{00000000-0004-0000-0000-0000E0000000}"/>
    <hyperlink ref="J229" r:id="rId226" xr:uid="{00000000-0004-0000-0000-0000E1000000}"/>
    <hyperlink ref="J230" r:id="rId227" xr:uid="{00000000-0004-0000-0000-0000E2000000}"/>
    <hyperlink ref="J231" r:id="rId228" xr:uid="{00000000-0004-0000-0000-0000E3000000}"/>
    <hyperlink ref="J232" r:id="rId229" xr:uid="{00000000-0004-0000-0000-0000E4000000}"/>
    <hyperlink ref="J233" r:id="rId230" xr:uid="{00000000-0004-0000-0000-0000E5000000}"/>
    <hyperlink ref="J234" r:id="rId231" xr:uid="{00000000-0004-0000-0000-0000E6000000}"/>
    <hyperlink ref="J235" r:id="rId232" xr:uid="{00000000-0004-0000-0000-0000E7000000}"/>
    <hyperlink ref="J236" r:id="rId233" xr:uid="{00000000-0004-0000-0000-0000E8000000}"/>
    <hyperlink ref="J237" r:id="rId234" xr:uid="{00000000-0004-0000-0000-0000E9000000}"/>
    <hyperlink ref="J238" r:id="rId235" xr:uid="{00000000-0004-0000-0000-0000EA000000}"/>
    <hyperlink ref="J239" r:id="rId236" xr:uid="{00000000-0004-0000-0000-0000EB000000}"/>
    <hyperlink ref="J240" r:id="rId237" xr:uid="{00000000-0004-0000-0000-0000EC000000}"/>
    <hyperlink ref="J241" r:id="rId238" xr:uid="{00000000-0004-0000-0000-0000ED000000}"/>
    <hyperlink ref="J242" r:id="rId239" xr:uid="{00000000-0004-0000-0000-0000EE000000}"/>
    <hyperlink ref="J243" r:id="rId240" xr:uid="{00000000-0004-0000-0000-0000EF000000}"/>
    <hyperlink ref="J244" r:id="rId241" xr:uid="{00000000-0004-0000-0000-0000F0000000}"/>
    <hyperlink ref="J245" r:id="rId242" xr:uid="{00000000-0004-0000-0000-0000F1000000}"/>
    <hyperlink ref="J246" r:id="rId243" xr:uid="{00000000-0004-0000-0000-0000F2000000}"/>
    <hyperlink ref="J247" r:id="rId244" xr:uid="{00000000-0004-0000-0000-0000F3000000}"/>
    <hyperlink ref="J248" r:id="rId245" xr:uid="{00000000-0004-0000-0000-0000F4000000}"/>
    <hyperlink ref="J249" r:id="rId246" xr:uid="{00000000-0004-0000-0000-0000F5000000}"/>
    <hyperlink ref="J250" r:id="rId247" xr:uid="{00000000-0004-0000-0000-0000F6000000}"/>
    <hyperlink ref="J251" r:id="rId248" display="00034911723" xr:uid="{00000000-0004-0000-0000-0000F7000000}"/>
    <hyperlink ref="J252" r:id="rId249" xr:uid="{00000000-0004-0000-0000-0000F8000000}"/>
    <hyperlink ref="J253" r:id="rId250" xr:uid="{00000000-0004-0000-0000-0000F9000000}"/>
    <hyperlink ref="J254" r:id="rId251" xr:uid="{00000000-0004-0000-0000-0000FA000000}"/>
    <hyperlink ref="J255" r:id="rId252" xr:uid="{00000000-0004-0000-0000-0000FB000000}"/>
    <hyperlink ref="J256" r:id="rId253" xr:uid="{00000000-0004-0000-0000-0000FC000000}"/>
    <hyperlink ref="J257" r:id="rId254" xr:uid="{00000000-0004-0000-0000-0000FD000000}"/>
    <hyperlink ref="J258" r:id="rId255" xr:uid="{00000000-0004-0000-0000-0000FE000000}"/>
    <hyperlink ref="J259" r:id="rId256" xr:uid="{00000000-0004-0000-0000-0000FF000000}"/>
    <hyperlink ref="J260" r:id="rId257" xr:uid="{00000000-0004-0000-0000-000000010000}"/>
    <hyperlink ref="J261" r:id="rId258" xr:uid="{00000000-0004-0000-0000-000001010000}"/>
    <hyperlink ref="J262" r:id="rId259" xr:uid="{00000000-0004-0000-0000-000002010000}"/>
    <hyperlink ref="J263" r:id="rId260" xr:uid="{00000000-0004-0000-0000-000003010000}"/>
    <hyperlink ref="J264" r:id="rId261" xr:uid="{00000000-0004-0000-0000-000004010000}"/>
    <hyperlink ref="J265" r:id="rId262" xr:uid="{00000000-0004-0000-0000-000005010000}"/>
    <hyperlink ref="J266" r:id="rId263" xr:uid="{00000000-0004-0000-0000-000006010000}"/>
    <hyperlink ref="J267" r:id="rId264" xr:uid="{00000000-0004-0000-0000-000007010000}"/>
    <hyperlink ref="J268" r:id="rId265" xr:uid="{00000000-0004-0000-0000-000008010000}"/>
    <hyperlink ref="J269" r:id="rId266" xr:uid="{00000000-0004-0000-0000-000009010000}"/>
    <hyperlink ref="J270" r:id="rId267" xr:uid="{00000000-0004-0000-0000-00000A010000}"/>
    <hyperlink ref="J271" r:id="rId268" xr:uid="{00000000-0004-0000-0000-00000B010000}"/>
    <hyperlink ref="J272" r:id="rId269" xr:uid="{00000000-0004-0000-0000-00000C010000}"/>
    <hyperlink ref="J273" r:id="rId270" xr:uid="{00000000-0004-0000-0000-00000D010000}"/>
    <hyperlink ref="J274" r:id="rId271" xr:uid="{00000000-0004-0000-0000-00000E010000}"/>
    <hyperlink ref="J275" r:id="rId272" xr:uid="{00000000-0004-0000-0000-00000F010000}"/>
    <hyperlink ref="J276" r:id="rId273" xr:uid="{00000000-0004-0000-0000-000010010000}"/>
    <hyperlink ref="J277" r:id="rId274" xr:uid="{00000000-0004-0000-0000-000011010000}"/>
    <hyperlink ref="J278" r:id="rId275" xr:uid="{00000000-0004-0000-0000-000012010000}"/>
    <hyperlink ref="J279" r:id="rId276" xr:uid="{00000000-0004-0000-0000-000013010000}"/>
    <hyperlink ref="J280" r:id="rId277" xr:uid="{00000000-0004-0000-0000-000014010000}"/>
    <hyperlink ref="J281" r:id="rId278" xr:uid="{00000000-0004-0000-0000-000015010000}"/>
    <hyperlink ref="J282" r:id="rId279" display="00034911806" xr:uid="{00000000-0004-0000-0000-000016010000}"/>
    <hyperlink ref="J283" r:id="rId280" xr:uid="{00000000-0004-0000-0000-000017010000}"/>
    <hyperlink ref="J284" r:id="rId281" xr:uid="{00000000-0004-0000-0000-000018010000}"/>
    <hyperlink ref="J285" r:id="rId282" xr:uid="{00000000-0004-0000-0000-000019010000}"/>
    <hyperlink ref="J286" r:id="rId283" xr:uid="{00000000-0004-0000-0000-00001A010000}"/>
    <hyperlink ref="J287" r:id="rId284" display="00034911820" xr:uid="{00000000-0004-0000-0000-00001B010000}"/>
    <hyperlink ref="J288" r:id="rId285" xr:uid="{00000000-0004-0000-0000-00001C010000}"/>
    <hyperlink ref="J289" r:id="rId286" xr:uid="{00000000-0004-0000-0000-00001D010000}"/>
    <hyperlink ref="J290" r:id="rId287" xr:uid="{00000000-0004-0000-0000-00001E010000}"/>
    <hyperlink ref="J291" r:id="rId288" xr:uid="{00000000-0004-0000-0000-00001F010000}"/>
    <hyperlink ref="J292" r:id="rId289" xr:uid="{00000000-0004-0000-0000-000020010000}"/>
    <hyperlink ref="J293" r:id="rId290" xr:uid="{00000000-0004-0000-0000-000021010000}"/>
    <hyperlink ref="J294" r:id="rId291" xr:uid="{00000000-0004-0000-0000-000022010000}"/>
    <hyperlink ref="J295" r:id="rId292" xr:uid="{00000000-0004-0000-0000-000023010000}"/>
    <hyperlink ref="J296" r:id="rId293" xr:uid="{00000000-0004-0000-0000-000024010000}"/>
    <hyperlink ref="J297" r:id="rId294" xr:uid="{00000000-0004-0000-0000-000025010000}"/>
    <hyperlink ref="J298" r:id="rId295" xr:uid="{00000000-0004-0000-0000-000026010000}"/>
    <hyperlink ref="J299" r:id="rId296" xr:uid="{00000000-0004-0000-0000-000027010000}"/>
    <hyperlink ref="J300" r:id="rId297" xr:uid="{00000000-0004-0000-0000-000028010000}"/>
    <hyperlink ref="J301" r:id="rId298" xr:uid="{00000000-0004-0000-0000-000029010000}"/>
    <hyperlink ref="J302" r:id="rId299" xr:uid="{00000000-0004-0000-0000-00002A010000}"/>
    <hyperlink ref="J303" r:id="rId300" xr:uid="{00000000-0004-0000-0000-00002B010000}"/>
    <hyperlink ref="J304" r:id="rId301" xr:uid="{00000000-0004-0000-0000-00002C010000}"/>
    <hyperlink ref="J305" r:id="rId302" xr:uid="{00000000-0004-0000-0000-00002D010000}"/>
    <hyperlink ref="J306" r:id="rId303" xr:uid="{00000000-0004-0000-0000-00002E010000}"/>
    <hyperlink ref="J307" r:id="rId304" xr:uid="{00000000-0004-0000-0000-00002F010000}"/>
    <hyperlink ref="J308" r:id="rId305" xr:uid="{00000000-0004-0000-0000-000030010000}"/>
    <hyperlink ref="J309" r:id="rId306" xr:uid="{00000000-0004-0000-0000-000031010000}"/>
    <hyperlink ref="J310" r:id="rId307" xr:uid="{00000000-0004-0000-0000-000032010000}"/>
    <hyperlink ref="J311" r:id="rId308" xr:uid="{00000000-0004-0000-0000-000033010000}"/>
    <hyperlink ref="J312" r:id="rId309" xr:uid="{00000000-0004-0000-0000-000034010000}"/>
    <hyperlink ref="J313" r:id="rId310" xr:uid="{00000000-0004-0000-0000-000035010000}"/>
    <hyperlink ref="J314" r:id="rId311" xr:uid="{00000000-0004-0000-0000-000036010000}"/>
    <hyperlink ref="J315" r:id="rId312" xr:uid="{00000000-0004-0000-0000-000037010000}"/>
    <hyperlink ref="J316" r:id="rId313" xr:uid="{00000000-0004-0000-0000-000038010000}"/>
    <hyperlink ref="J317" r:id="rId314" xr:uid="{00000000-0004-0000-0000-000039010000}"/>
    <hyperlink ref="J318" r:id="rId315" xr:uid="{00000000-0004-0000-0000-00003A010000}"/>
    <hyperlink ref="J319" r:id="rId316" xr:uid="{00000000-0004-0000-0000-00003B010000}"/>
    <hyperlink ref="J320" r:id="rId317" xr:uid="{00000000-0004-0000-0000-00003C010000}"/>
    <hyperlink ref="J321" r:id="rId318" xr:uid="{00000000-0004-0000-0000-00003D010000}"/>
    <hyperlink ref="J322" r:id="rId319" xr:uid="{00000000-0004-0000-0000-00003E010000}"/>
    <hyperlink ref="J323" r:id="rId320" xr:uid="{00000000-0004-0000-0000-00003F010000}"/>
    <hyperlink ref="J324" r:id="rId321" xr:uid="{00000000-0004-0000-0000-000040010000}"/>
    <hyperlink ref="J325" r:id="rId322" xr:uid="{00000000-0004-0000-0000-000041010000}"/>
    <hyperlink ref="J326" r:id="rId323" xr:uid="{00000000-0004-0000-0000-000042010000}"/>
    <hyperlink ref="J327" r:id="rId324" xr:uid="{00000000-0004-0000-0000-000043010000}"/>
    <hyperlink ref="J328" r:id="rId325" xr:uid="{00000000-0004-0000-0000-000044010000}"/>
    <hyperlink ref="J329" r:id="rId326" xr:uid="{00000000-0004-0000-0000-000045010000}"/>
    <hyperlink ref="J330" r:id="rId327" xr:uid="{00000000-0004-0000-0000-000046010000}"/>
    <hyperlink ref="J331" r:id="rId328" xr:uid="{00000000-0004-0000-0000-000047010000}"/>
    <hyperlink ref="J332" r:id="rId329" xr:uid="{00000000-0004-0000-0000-000048010000}"/>
    <hyperlink ref="J333" r:id="rId330" xr:uid="{00000000-0004-0000-0000-000049010000}"/>
    <hyperlink ref="J334" r:id="rId331" xr:uid="{00000000-0004-0000-0000-00004A010000}"/>
    <hyperlink ref="J335" r:id="rId332" xr:uid="{00000000-0004-0000-0000-00004B010000}"/>
    <hyperlink ref="J336" r:id="rId333" xr:uid="{00000000-0004-0000-0000-00004C010000}"/>
    <hyperlink ref="J337" r:id="rId334" xr:uid="{00000000-0004-0000-0000-00004D010000}"/>
    <hyperlink ref="J338" r:id="rId335" xr:uid="{00000000-0004-0000-0000-00004E010000}"/>
    <hyperlink ref="J339" r:id="rId336" xr:uid="{00000000-0004-0000-0000-00004F010000}"/>
    <hyperlink ref="J340" r:id="rId337" xr:uid="{00000000-0004-0000-0000-000050010000}"/>
    <hyperlink ref="J341" r:id="rId338" xr:uid="{00000000-0004-0000-0000-000051010000}"/>
    <hyperlink ref="J342" r:id="rId339" xr:uid="{00000000-0004-0000-0000-000052010000}"/>
    <hyperlink ref="J343" r:id="rId340" xr:uid="{00000000-0004-0000-0000-000053010000}"/>
    <hyperlink ref="J344" r:id="rId341" xr:uid="{00000000-0004-0000-0000-000054010000}"/>
    <hyperlink ref="J345" r:id="rId342" xr:uid="{00000000-0004-0000-0000-000055010000}"/>
    <hyperlink ref="J346" r:id="rId343" xr:uid="{00000000-0004-0000-0000-000056010000}"/>
    <hyperlink ref="J347" r:id="rId344" xr:uid="{00000000-0004-0000-0000-000057010000}"/>
    <hyperlink ref="J348" r:id="rId345" xr:uid="{00000000-0004-0000-0000-000058010000}"/>
    <hyperlink ref="J349" r:id="rId346" xr:uid="{00000000-0004-0000-0000-000059010000}"/>
    <hyperlink ref="J350" r:id="rId347" xr:uid="{00000000-0004-0000-0000-00005A010000}"/>
    <hyperlink ref="J351" r:id="rId348" xr:uid="{00000000-0004-0000-0000-00005B010000}"/>
    <hyperlink ref="J352" r:id="rId349" xr:uid="{00000000-0004-0000-0000-00005C010000}"/>
    <hyperlink ref="J353" r:id="rId350" xr:uid="{00000000-0004-0000-0000-00005D010000}"/>
    <hyperlink ref="J354" r:id="rId351" xr:uid="{00000000-0004-0000-0000-00005E010000}"/>
    <hyperlink ref="J355" r:id="rId352" xr:uid="{00000000-0004-0000-0000-00005F010000}"/>
    <hyperlink ref="J356" r:id="rId353" xr:uid="{00000000-0004-0000-0000-000060010000}"/>
    <hyperlink ref="J357" r:id="rId354" xr:uid="{00000000-0004-0000-0000-000061010000}"/>
    <hyperlink ref="J358" r:id="rId355" xr:uid="{00000000-0004-0000-0000-000062010000}"/>
    <hyperlink ref="J359" r:id="rId356" xr:uid="{00000000-0004-0000-0000-000063010000}"/>
    <hyperlink ref="J360" r:id="rId357" xr:uid="{00000000-0004-0000-0000-000064010000}"/>
    <hyperlink ref="J361" r:id="rId358" xr:uid="{00000000-0004-0000-0000-000065010000}"/>
    <hyperlink ref="J362" r:id="rId359" xr:uid="{00000000-0004-0000-0000-000066010000}"/>
    <hyperlink ref="J363" r:id="rId360" xr:uid="{00000000-0004-0000-0000-000067010000}"/>
    <hyperlink ref="J364" r:id="rId361" xr:uid="{00000000-0004-0000-0000-000068010000}"/>
    <hyperlink ref="J365" r:id="rId362" xr:uid="{00000000-0004-0000-0000-000069010000}"/>
    <hyperlink ref="J366" r:id="rId363" xr:uid="{00000000-0004-0000-0000-00006A010000}"/>
    <hyperlink ref="J367" r:id="rId364" xr:uid="{00000000-0004-0000-0000-00006B010000}"/>
    <hyperlink ref="J368" r:id="rId365" xr:uid="{00000000-0004-0000-0000-00006C010000}"/>
    <hyperlink ref="J369" r:id="rId366" xr:uid="{00000000-0004-0000-0000-00006D010000}"/>
    <hyperlink ref="J370" r:id="rId367" xr:uid="{00000000-0004-0000-0000-00006E010000}"/>
    <hyperlink ref="J371" r:id="rId368" xr:uid="{00000000-0004-0000-0000-00006F010000}"/>
    <hyperlink ref="J372" r:id="rId369" xr:uid="{00000000-0004-0000-0000-000070010000}"/>
    <hyperlink ref="J373" r:id="rId370" xr:uid="{00000000-0004-0000-0000-000071010000}"/>
    <hyperlink ref="J374" r:id="rId371" xr:uid="{00000000-0004-0000-0000-000072010000}"/>
    <hyperlink ref="J375" r:id="rId372" xr:uid="{00000000-0004-0000-0000-000073010000}"/>
    <hyperlink ref="J376" r:id="rId373" xr:uid="{00000000-0004-0000-0000-000074010000}"/>
    <hyperlink ref="J377" r:id="rId374" xr:uid="{00000000-0004-0000-0000-000075010000}"/>
    <hyperlink ref="J378" r:id="rId375" xr:uid="{00000000-0004-0000-0000-000076010000}"/>
    <hyperlink ref="J379" r:id="rId376" xr:uid="{00000000-0004-0000-0000-000077010000}"/>
    <hyperlink ref="J380" r:id="rId377" xr:uid="{00000000-0004-0000-0000-000078010000}"/>
    <hyperlink ref="J381" r:id="rId378" xr:uid="{00000000-0004-0000-0000-000079010000}"/>
    <hyperlink ref="J382" r:id="rId379" xr:uid="{00000000-0004-0000-0000-00007A010000}"/>
    <hyperlink ref="J383" r:id="rId380" xr:uid="{00000000-0004-0000-0000-00007B010000}"/>
    <hyperlink ref="J384" r:id="rId381" xr:uid="{00000000-0004-0000-0000-00007C010000}"/>
    <hyperlink ref="J385" r:id="rId382" xr:uid="{00000000-0004-0000-0000-00007D010000}"/>
    <hyperlink ref="J386" r:id="rId383" xr:uid="{00000000-0004-0000-0000-00007E010000}"/>
    <hyperlink ref="J387" r:id="rId384" xr:uid="{00000000-0004-0000-0000-00007F010000}"/>
    <hyperlink ref="J388" r:id="rId385" xr:uid="{00000000-0004-0000-0000-000080010000}"/>
    <hyperlink ref="J389" r:id="rId386" xr:uid="{00000000-0004-0000-0000-000081010000}"/>
    <hyperlink ref="J390" r:id="rId387" xr:uid="{00000000-0004-0000-0000-000082010000}"/>
    <hyperlink ref="J391" r:id="rId388" xr:uid="{00000000-0004-0000-0000-000083010000}"/>
    <hyperlink ref="J392" r:id="rId389" xr:uid="{00000000-0004-0000-0000-000084010000}"/>
    <hyperlink ref="J393" r:id="rId390" xr:uid="{00000000-0004-0000-0000-000085010000}"/>
    <hyperlink ref="J394" r:id="rId391" xr:uid="{00000000-0004-0000-0000-000086010000}"/>
    <hyperlink ref="J395" r:id="rId392" xr:uid="{00000000-0004-0000-0000-000087010000}"/>
    <hyperlink ref="J396" r:id="rId393" xr:uid="{00000000-0004-0000-0000-000088010000}"/>
    <hyperlink ref="J397" r:id="rId394" xr:uid="{00000000-0004-0000-0000-000089010000}"/>
    <hyperlink ref="J398" r:id="rId395" xr:uid="{00000000-0004-0000-0000-00008A010000}"/>
    <hyperlink ref="J399" r:id="rId396" xr:uid="{00000000-0004-0000-0000-00008B010000}"/>
    <hyperlink ref="J400" r:id="rId397" xr:uid="{00000000-0004-0000-0000-00008C010000}"/>
    <hyperlink ref="J401" r:id="rId398" xr:uid="{00000000-0004-0000-0000-00008D010000}"/>
    <hyperlink ref="J402" r:id="rId399" xr:uid="{00000000-0004-0000-0000-00008E010000}"/>
    <hyperlink ref="J403" r:id="rId400" xr:uid="{00000000-0004-0000-0000-00008F010000}"/>
    <hyperlink ref="J404" r:id="rId401" xr:uid="{00000000-0004-0000-0000-000090010000}"/>
    <hyperlink ref="J405" r:id="rId402" xr:uid="{00000000-0004-0000-0000-000091010000}"/>
    <hyperlink ref="J406" r:id="rId403" xr:uid="{00000000-0004-0000-0000-000092010000}"/>
    <hyperlink ref="J407" r:id="rId404" xr:uid="{00000000-0004-0000-0000-000093010000}"/>
    <hyperlink ref="J408" r:id="rId405" xr:uid="{00000000-0004-0000-0000-000094010000}"/>
    <hyperlink ref="J409" r:id="rId406" xr:uid="{00000000-0004-0000-0000-000095010000}"/>
    <hyperlink ref="J410" r:id="rId407" xr:uid="{00000000-0004-0000-0000-000096010000}"/>
    <hyperlink ref="J411" r:id="rId408" xr:uid="{00000000-0004-0000-0000-000097010000}"/>
    <hyperlink ref="J412" r:id="rId409" xr:uid="{00000000-0004-0000-0000-000098010000}"/>
    <hyperlink ref="J413" r:id="rId410" xr:uid="{00000000-0004-0000-0000-000099010000}"/>
    <hyperlink ref="J414" r:id="rId411" xr:uid="{00000000-0004-0000-0000-00009A010000}"/>
    <hyperlink ref="J415" r:id="rId412" xr:uid="{00000000-0004-0000-0000-00009B010000}"/>
    <hyperlink ref="J416" r:id="rId413" xr:uid="{00000000-0004-0000-0000-00009C010000}"/>
    <hyperlink ref="J417" r:id="rId414" xr:uid="{00000000-0004-0000-0000-00009D010000}"/>
    <hyperlink ref="J418" r:id="rId415" xr:uid="{00000000-0004-0000-0000-00009E010000}"/>
    <hyperlink ref="J419" r:id="rId416" xr:uid="{00000000-0004-0000-0000-00009F010000}"/>
    <hyperlink ref="J420" r:id="rId417" xr:uid="{00000000-0004-0000-0000-0000A0010000}"/>
    <hyperlink ref="J421" r:id="rId418" xr:uid="{00000000-0004-0000-0000-0000A1010000}"/>
    <hyperlink ref="J422" r:id="rId419" xr:uid="{00000000-0004-0000-0000-0000A2010000}"/>
    <hyperlink ref="J423" r:id="rId420" xr:uid="{00000000-0004-0000-0000-0000A3010000}"/>
    <hyperlink ref="J424" r:id="rId421" xr:uid="{00000000-0004-0000-0000-0000A4010000}"/>
    <hyperlink ref="J425" r:id="rId422" xr:uid="{00000000-0004-0000-0000-0000A5010000}"/>
    <hyperlink ref="J426" r:id="rId423" xr:uid="{00000000-0004-0000-0000-0000A6010000}"/>
    <hyperlink ref="J427" r:id="rId424" xr:uid="{00000000-0004-0000-0000-0000A7010000}"/>
    <hyperlink ref="J428" r:id="rId425" xr:uid="{00000000-0004-0000-0000-0000A8010000}"/>
    <hyperlink ref="J429" r:id="rId426" xr:uid="{00000000-0004-0000-0000-0000A9010000}"/>
    <hyperlink ref="J430" r:id="rId427" xr:uid="{00000000-0004-0000-0000-0000AA010000}"/>
    <hyperlink ref="J431" r:id="rId428" xr:uid="{00000000-0004-0000-0000-0000AB010000}"/>
    <hyperlink ref="J432" r:id="rId429" xr:uid="{00000000-0004-0000-0000-0000AC010000}"/>
    <hyperlink ref="J433" r:id="rId430" xr:uid="{00000000-0004-0000-0000-0000AD010000}"/>
    <hyperlink ref="J434" r:id="rId431" xr:uid="{00000000-0004-0000-0000-0000AE010000}"/>
    <hyperlink ref="J435" r:id="rId432" xr:uid="{00000000-0004-0000-0000-0000AF010000}"/>
    <hyperlink ref="J436" r:id="rId433" xr:uid="{00000000-0004-0000-0000-0000B0010000}"/>
    <hyperlink ref="J437" r:id="rId434" xr:uid="{00000000-0004-0000-0000-0000B1010000}"/>
    <hyperlink ref="J438" r:id="rId435" xr:uid="{00000000-0004-0000-0000-0000B2010000}"/>
    <hyperlink ref="J439" r:id="rId436" xr:uid="{00000000-0004-0000-0000-0000B3010000}"/>
    <hyperlink ref="J440" r:id="rId437" xr:uid="{00000000-0004-0000-0000-0000B4010000}"/>
    <hyperlink ref="J441" r:id="rId438" xr:uid="{00000000-0004-0000-0000-0000B5010000}"/>
    <hyperlink ref="J442" r:id="rId439" xr:uid="{00000000-0004-0000-0000-0000B6010000}"/>
    <hyperlink ref="J443" r:id="rId440" xr:uid="{00000000-0004-0000-0000-0000B7010000}"/>
    <hyperlink ref="J444" r:id="rId441" xr:uid="{00000000-0004-0000-0000-0000B8010000}"/>
    <hyperlink ref="J445" r:id="rId442" xr:uid="{00000000-0004-0000-0000-0000B9010000}"/>
    <hyperlink ref="J446" r:id="rId443" xr:uid="{00000000-0004-0000-0000-0000BA010000}"/>
    <hyperlink ref="J447" r:id="rId444" xr:uid="{00000000-0004-0000-0000-0000BB010000}"/>
    <hyperlink ref="J448" r:id="rId445" xr:uid="{00000000-0004-0000-0000-0000BC010000}"/>
    <hyperlink ref="J449" r:id="rId446" xr:uid="{00000000-0004-0000-0000-0000BD010000}"/>
    <hyperlink ref="J450" r:id="rId447" xr:uid="{00000000-0004-0000-0000-0000BE010000}"/>
    <hyperlink ref="J451" r:id="rId448" xr:uid="{00000000-0004-0000-0000-0000BF010000}"/>
    <hyperlink ref="J452" r:id="rId449" xr:uid="{00000000-0004-0000-0000-0000C0010000}"/>
    <hyperlink ref="J453" r:id="rId450" xr:uid="{00000000-0004-0000-0000-0000C1010000}"/>
    <hyperlink ref="J454" r:id="rId451" xr:uid="{00000000-0004-0000-0000-0000C2010000}"/>
    <hyperlink ref="J455" r:id="rId452" xr:uid="{00000000-0004-0000-0000-0000C3010000}"/>
    <hyperlink ref="J456" r:id="rId453" xr:uid="{00000000-0004-0000-0000-0000C4010000}"/>
    <hyperlink ref="J457" r:id="rId454" xr:uid="{00000000-0004-0000-0000-0000C5010000}"/>
    <hyperlink ref="J458" r:id="rId455" xr:uid="{00000000-0004-0000-0000-0000C6010000}"/>
    <hyperlink ref="J459" r:id="rId456" xr:uid="{00000000-0004-0000-0000-0000C7010000}"/>
    <hyperlink ref="J460" r:id="rId457" xr:uid="{00000000-0004-0000-0000-0000C8010000}"/>
    <hyperlink ref="J461" r:id="rId458" xr:uid="{00000000-0004-0000-0000-0000C9010000}"/>
    <hyperlink ref="J462" r:id="rId459" xr:uid="{00000000-0004-0000-0000-0000CA010000}"/>
    <hyperlink ref="J463" r:id="rId460" xr:uid="{00000000-0004-0000-0000-0000CB010000}"/>
    <hyperlink ref="J464" r:id="rId461" xr:uid="{00000000-0004-0000-0000-0000CC010000}"/>
    <hyperlink ref="J465" r:id="rId462" xr:uid="{00000000-0004-0000-0000-0000CD010000}"/>
    <hyperlink ref="J466" r:id="rId463" xr:uid="{00000000-0004-0000-0000-0000CE010000}"/>
    <hyperlink ref="J467" r:id="rId464" xr:uid="{00000000-0004-0000-0000-0000CF010000}"/>
    <hyperlink ref="J468" r:id="rId465" xr:uid="{00000000-0004-0000-0000-0000D0010000}"/>
    <hyperlink ref="J469" r:id="rId466" xr:uid="{00000000-0004-0000-0000-0000D1010000}"/>
    <hyperlink ref="J470" r:id="rId467" xr:uid="{00000000-0004-0000-0000-0000D2010000}"/>
    <hyperlink ref="J471" r:id="rId468" xr:uid="{00000000-0004-0000-0000-0000D3010000}"/>
    <hyperlink ref="J472" r:id="rId469" xr:uid="{00000000-0004-0000-0000-0000D4010000}"/>
    <hyperlink ref="J473" r:id="rId470" xr:uid="{00000000-0004-0000-0000-0000D5010000}"/>
    <hyperlink ref="J474" r:id="rId471" xr:uid="{00000000-0004-0000-0000-0000D6010000}"/>
    <hyperlink ref="J475" r:id="rId472" xr:uid="{00000000-0004-0000-0000-0000D7010000}"/>
    <hyperlink ref="J476" r:id="rId473" xr:uid="{00000000-0004-0000-0000-0000D8010000}"/>
    <hyperlink ref="J477" r:id="rId474" xr:uid="{00000000-0004-0000-0000-0000D9010000}"/>
    <hyperlink ref="J478" r:id="rId475" xr:uid="{00000000-0004-0000-0000-0000DA010000}"/>
    <hyperlink ref="J479" r:id="rId476" xr:uid="{00000000-0004-0000-0000-0000DB010000}"/>
    <hyperlink ref="J480" r:id="rId477" xr:uid="{00000000-0004-0000-0000-0000DC010000}"/>
    <hyperlink ref="J481" r:id="rId478" xr:uid="{00000000-0004-0000-0000-0000DD010000}"/>
    <hyperlink ref="J482" r:id="rId479" xr:uid="{00000000-0004-0000-0000-0000DE010000}"/>
    <hyperlink ref="J483" r:id="rId480" xr:uid="{00000000-0004-0000-0000-0000DF010000}"/>
    <hyperlink ref="J484" r:id="rId481" xr:uid="{00000000-0004-0000-0000-0000E0010000}"/>
    <hyperlink ref="J485" r:id="rId482" xr:uid="{00000000-0004-0000-0000-0000E1010000}"/>
    <hyperlink ref="J486" r:id="rId483" xr:uid="{00000000-0004-0000-0000-0000E2010000}"/>
    <hyperlink ref="J487" r:id="rId484" xr:uid="{00000000-0004-0000-0000-0000E3010000}"/>
    <hyperlink ref="J488" r:id="rId485" xr:uid="{00000000-0004-0000-0000-0000E4010000}"/>
    <hyperlink ref="J489" r:id="rId486" xr:uid="{00000000-0004-0000-0000-0000E5010000}"/>
    <hyperlink ref="J491" r:id="rId487" xr:uid="{00000000-0004-0000-0000-0000E6010000}"/>
    <hyperlink ref="J492" r:id="rId488" xr:uid="{00000000-0004-0000-0000-0000E7010000}"/>
    <hyperlink ref="J493" r:id="rId489" xr:uid="{00000000-0004-0000-0000-0000E8010000}"/>
    <hyperlink ref="J494" r:id="rId490" xr:uid="{00000000-0004-0000-0000-0000E9010000}"/>
    <hyperlink ref="J495" r:id="rId491" xr:uid="{00000000-0004-0000-0000-0000EA010000}"/>
    <hyperlink ref="J496" r:id="rId492" xr:uid="{00000000-0004-0000-0000-0000EB010000}"/>
    <hyperlink ref="J497" r:id="rId493" xr:uid="{00000000-0004-0000-0000-0000EC010000}"/>
    <hyperlink ref="J498" r:id="rId494" xr:uid="{00000000-0004-0000-0000-0000ED010000}"/>
    <hyperlink ref="J499" r:id="rId495" xr:uid="{00000000-0004-0000-0000-0000EE010000}"/>
    <hyperlink ref="J500" r:id="rId496" xr:uid="{00000000-0004-0000-0000-0000EF010000}"/>
    <hyperlink ref="J501" r:id="rId497" xr:uid="{00000000-0004-0000-0000-0000F0010000}"/>
    <hyperlink ref="J502" r:id="rId498" xr:uid="{00000000-0004-0000-0000-0000F1010000}"/>
    <hyperlink ref="J503" r:id="rId499" xr:uid="{00000000-0004-0000-0000-0000F2010000}"/>
    <hyperlink ref="J504" r:id="rId500" xr:uid="{00000000-0004-0000-0000-0000F3010000}"/>
    <hyperlink ref="J505" r:id="rId501" xr:uid="{00000000-0004-0000-0000-0000F4010000}"/>
    <hyperlink ref="J506" r:id="rId502" xr:uid="{00000000-0004-0000-0000-0000F5010000}"/>
    <hyperlink ref="J507" r:id="rId503" xr:uid="{00000000-0004-0000-0000-0000F6010000}"/>
    <hyperlink ref="J509" r:id="rId504" xr:uid="{00000000-0004-0000-0000-0000F7010000}"/>
    <hyperlink ref="J510" r:id="rId505" xr:uid="{00000000-0004-0000-0000-0000F8010000}"/>
    <hyperlink ref="J511" r:id="rId506" xr:uid="{00000000-0004-0000-0000-0000F9010000}"/>
    <hyperlink ref="J512" r:id="rId507" xr:uid="{00000000-0004-0000-0000-0000FA010000}"/>
    <hyperlink ref="J513" r:id="rId508" xr:uid="{00000000-0004-0000-0000-0000FB010000}"/>
    <hyperlink ref="J514" r:id="rId509" xr:uid="{00000000-0004-0000-0000-0000FC010000}"/>
    <hyperlink ref="J515" r:id="rId510" xr:uid="{00000000-0004-0000-0000-0000FD010000}"/>
    <hyperlink ref="J516" r:id="rId511" xr:uid="{00000000-0004-0000-0000-0000FE010000}"/>
    <hyperlink ref="J517" r:id="rId512" xr:uid="{00000000-0004-0000-0000-0000FF010000}"/>
    <hyperlink ref="J518" r:id="rId513" xr:uid="{00000000-0004-0000-0000-000000020000}"/>
    <hyperlink ref="J519" r:id="rId514" xr:uid="{00000000-0004-0000-0000-000001020000}"/>
    <hyperlink ref="J520" r:id="rId515" xr:uid="{00000000-0004-0000-0000-000002020000}"/>
    <hyperlink ref="J521" r:id="rId516" xr:uid="{00000000-0004-0000-0000-000003020000}"/>
    <hyperlink ref="J522" r:id="rId517" xr:uid="{00000000-0004-0000-0000-000004020000}"/>
    <hyperlink ref="J523" r:id="rId518" xr:uid="{00000000-0004-0000-0000-000005020000}"/>
    <hyperlink ref="J524" r:id="rId519" xr:uid="{00000000-0004-0000-0000-000006020000}"/>
    <hyperlink ref="J525" r:id="rId520" xr:uid="{00000000-0004-0000-0000-000007020000}"/>
    <hyperlink ref="J526" r:id="rId521" xr:uid="{00000000-0004-0000-0000-000008020000}"/>
    <hyperlink ref="J527" r:id="rId522" xr:uid="{00000000-0004-0000-0000-000009020000}"/>
    <hyperlink ref="J528" r:id="rId523" xr:uid="{00000000-0004-0000-0000-00000A020000}"/>
    <hyperlink ref="J529" r:id="rId524" xr:uid="{00000000-0004-0000-0000-00000B020000}"/>
    <hyperlink ref="J530" r:id="rId525" xr:uid="{00000000-0004-0000-0000-00000C020000}"/>
    <hyperlink ref="J531" r:id="rId526" xr:uid="{00000000-0004-0000-0000-00000D020000}"/>
    <hyperlink ref="J532" r:id="rId527" xr:uid="{00000000-0004-0000-0000-00000E020000}"/>
    <hyperlink ref="J533" r:id="rId528" xr:uid="{00000000-0004-0000-0000-00000F020000}"/>
    <hyperlink ref="J534" r:id="rId529" xr:uid="{00000000-0004-0000-0000-000010020000}"/>
    <hyperlink ref="J535" r:id="rId530" xr:uid="{00000000-0004-0000-0000-000011020000}"/>
    <hyperlink ref="J536" r:id="rId531" xr:uid="{00000000-0004-0000-0000-000012020000}"/>
    <hyperlink ref="J537" r:id="rId532" xr:uid="{00000000-0004-0000-0000-000013020000}"/>
    <hyperlink ref="J538" r:id="rId533" xr:uid="{00000000-0004-0000-0000-000014020000}"/>
    <hyperlink ref="J539" r:id="rId534" xr:uid="{00000000-0004-0000-0000-000015020000}"/>
    <hyperlink ref="J540" r:id="rId535" xr:uid="{00000000-0004-0000-0000-000016020000}"/>
    <hyperlink ref="J541" r:id="rId536" xr:uid="{00000000-0004-0000-0000-000017020000}"/>
    <hyperlink ref="J542" r:id="rId537" xr:uid="{00000000-0004-0000-0000-000018020000}"/>
    <hyperlink ref="J543" r:id="rId538" xr:uid="{00000000-0004-0000-0000-000019020000}"/>
    <hyperlink ref="J544" r:id="rId539" xr:uid="{00000000-0004-0000-0000-00001A020000}"/>
    <hyperlink ref="J545" r:id="rId540" xr:uid="{00000000-0004-0000-0000-00001B020000}"/>
    <hyperlink ref="J546" r:id="rId541" xr:uid="{00000000-0004-0000-0000-00001C020000}"/>
    <hyperlink ref="J547" r:id="rId542" xr:uid="{00000000-0004-0000-0000-00001D020000}"/>
    <hyperlink ref="J549" r:id="rId543" xr:uid="{00000000-0004-0000-0000-00001E020000}"/>
    <hyperlink ref="J550" r:id="rId544" xr:uid="{00000000-0004-0000-0000-00001F020000}"/>
    <hyperlink ref="J551" r:id="rId545" xr:uid="{00000000-0004-0000-0000-000020020000}"/>
    <hyperlink ref="J552" r:id="rId546" xr:uid="{00000000-0004-0000-0000-000021020000}"/>
    <hyperlink ref="J553" r:id="rId547" xr:uid="{00000000-0004-0000-0000-000022020000}"/>
    <hyperlink ref="J554" r:id="rId548" xr:uid="{00000000-0004-0000-0000-000023020000}"/>
    <hyperlink ref="J555" r:id="rId549" xr:uid="{00000000-0004-0000-0000-000024020000}"/>
    <hyperlink ref="J556" r:id="rId550" xr:uid="{00000000-0004-0000-0000-000025020000}"/>
    <hyperlink ref="J557" r:id="rId551" xr:uid="{00000000-0004-0000-0000-000026020000}"/>
    <hyperlink ref="J558" r:id="rId552" xr:uid="{00000000-0004-0000-0000-000027020000}"/>
    <hyperlink ref="J559" r:id="rId553" xr:uid="{00000000-0004-0000-0000-000028020000}"/>
    <hyperlink ref="J560" r:id="rId554" xr:uid="{00000000-0004-0000-0000-000029020000}"/>
    <hyperlink ref="J561" r:id="rId555" xr:uid="{00000000-0004-0000-0000-00002A020000}"/>
    <hyperlink ref="J562" r:id="rId556" xr:uid="{00000000-0004-0000-0000-00002B020000}"/>
    <hyperlink ref="J563" r:id="rId557" xr:uid="{00000000-0004-0000-0000-00002C020000}"/>
    <hyperlink ref="J564" r:id="rId558" xr:uid="{00000000-0004-0000-0000-00002D020000}"/>
    <hyperlink ref="J565" r:id="rId559" xr:uid="{00000000-0004-0000-0000-00002E020000}"/>
    <hyperlink ref="J566" r:id="rId560" xr:uid="{00000000-0004-0000-0000-00002F020000}"/>
    <hyperlink ref="J567" r:id="rId561" xr:uid="{00000000-0004-0000-0000-000030020000}"/>
    <hyperlink ref="J568" r:id="rId562" xr:uid="{00000000-0004-0000-0000-000031020000}"/>
    <hyperlink ref="J569" r:id="rId563" xr:uid="{00000000-0004-0000-0000-000032020000}"/>
    <hyperlink ref="J570" r:id="rId564" display="00034913017" xr:uid="{00000000-0004-0000-0000-000033020000}"/>
    <hyperlink ref="J571" r:id="rId565" xr:uid="{00000000-0004-0000-0000-000034020000}"/>
    <hyperlink ref="J572" r:id="rId566" xr:uid="{00000000-0004-0000-0000-000035020000}"/>
    <hyperlink ref="J573" r:id="rId567" xr:uid="{00000000-0004-0000-0000-000036020000}"/>
    <hyperlink ref="J574" r:id="rId568" xr:uid="{00000000-0004-0000-0000-000037020000}"/>
    <hyperlink ref="J575" r:id="rId569" xr:uid="{00000000-0004-0000-0000-000038020000}"/>
    <hyperlink ref="J576" r:id="rId570" xr:uid="{00000000-0004-0000-0000-000039020000}"/>
    <hyperlink ref="J577" r:id="rId571" xr:uid="{00000000-0004-0000-0000-00003A020000}"/>
    <hyperlink ref="J578" r:id="rId572" xr:uid="{00000000-0004-0000-0000-00003B020000}"/>
    <hyperlink ref="J579" r:id="rId573" xr:uid="{00000000-0004-0000-0000-00003C020000}"/>
    <hyperlink ref="J580" r:id="rId574" xr:uid="{00000000-0004-0000-0000-00003D020000}"/>
    <hyperlink ref="J581" r:id="rId575" xr:uid="{00000000-0004-0000-0000-00003E020000}"/>
    <hyperlink ref="J582" r:id="rId576" xr:uid="{00000000-0004-0000-0000-00003F020000}"/>
    <hyperlink ref="J583" r:id="rId577" xr:uid="{00000000-0004-0000-0000-000040020000}"/>
    <hyperlink ref="J584" r:id="rId578" xr:uid="{00000000-0004-0000-0000-000041020000}"/>
    <hyperlink ref="J585" r:id="rId579" xr:uid="{00000000-0004-0000-0000-000042020000}"/>
    <hyperlink ref="J586" r:id="rId580" xr:uid="{00000000-0004-0000-0000-000043020000}"/>
    <hyperlink ref="J587" r:id="rId581" xr:uid="{00000000-0004-0000-0000-000044020000}"/>
    <hyperlink ref="J588" r:id="rId582" xr:uid="{00000000-0004-0000-0000-000045020000}"/>
    <hyperlink ref="J589" r:id="rId583" xr:uid="{00000000-0004-0000-0000-000046020000}"/>
    <hyperlink ref="J590" r:id="rId584" xr:uid="{00000000-0004-0000-0000-000047020000}"/>
    <hyperlink ref="J591" r:id="rId585" xr:uid="{00000000-0004-0000-0000-000048020000}"/>
    <hyperlink ref="J595" r:id="rId586" xr:uid="{00000000-0004-0000-0000-000049020000}"/>
    <hyperlink ref="J596" r:id="rId587" xr:uid="{00000000-0004-0000-0000-00004A020000}"/>
    <hyperlink ref="J597" r:id="rId588" xr:uid="{00000000-0004-0000-0000-00004B020000}"/>
    <hyperlink ref="J598" r:id="rId589" xr:uid="{00000000-0004-0000-0000-00004C020000}"/>
    <hyperlink ref="J599" r:id="rId590" xr:uid="{00000000-0004-0000-0000-00004D020000}"/>
    <hyperlink ref="J600" r:id="rId591" xr:uid="{00000000-0004-0000-0000-00004E020000}"/>
    <hyperlink ref="J601" r:id="rId592" xr:uid="{00000000-0004-0000-0000-00004F020000}"/>
    <hyperlink ref="J602" r:id="rId593" xr:uid="{00000000-0004-0000-0000-000050020000}"/>
    <hyperlink ref="J603" r:id="rId594" xr:uid="{00000000-0004-0000-0000-000051020000}"/>
    <hyperlink ref="J604" r:id="rId595" xr:uid="{00000000-0004-0000-0000-000052020000}"/>
    <hyperlink ref="J605" r:id="rId596" xr:uid="{00000000-0004-0000-0000-000053020000}"/>
    <hyperlink ref="J606" r:id="rId597" xr:uid="{00000000-0004-0000-0000-000054020000}"/>
    <hyperlink ref="J607" r:id="rId598" xr:uid="{00000000-0004-0000-0000-000055020000}"/>
    <hyperlink ref="J608" r:id="rId599" xr:uid="{00000000-0004-0000-0000-000056020000}"/>
    <hyperlink ref="J609" r:id="rId600" xr:uid="{00000000-0004-0000-0000-000057020000}"/>
    <hyperlink ref="J610" r:id="rId601" xr:uid="{00000000-0004-0000-0000-000058020000}"/>
    <hyperlink ref="J611" r:id="rId602" xr:uid="{00000000-0004-0000-0000-000059020000}"/>
    <hyperlink ref="J612" r:id="rId603" xr:uid="{00000000-0004-0000-0000-00005A020000}"/>
    <hyperlink ref="J613" r:id="rId604" xr:uid="{00000000-0004-0000-0000-00005B020000}"/>
    <hyperlink ref="J614" r:id="rId605" xr:uid="{00000000-0004-0000-0000-00005C020000}"/>
    <hyperlink ref="J615" r:id="rId606" xr:uid="{00000000-0004-0000-0000-00005D020000}"/>
    <hyperlink ref="J616" r:id="rId607" xr:uid="{00000000-0004-0000-0000-00005E020000}"/>
    <hyperlink ref="J617" r:id="rId608" xr:uid="{00000000-0004-0000-0000-00005F020000}"/>
    <hyperlink ref="J618" r:id="rId609" xr:uid="{00000000-0004-0000-0000-000060020000}"/>
    <hyperlink ref="J619" r:id="rId610" xr:uid="{00000000-0004-0000-0000-000061020000}"/>
    <hyperlink ref="J620" r:id="rId611" xr:uid="{00000000-0004-0000-0000-000062020000}"/>
    <hyperlink ref="J621" r:id="rId612" xr:uid="{00000000-0004-0000-0000-000063020000}"/>
    <hyperlink ref="J622" r:id="rId613" xr:uid="{00000000-0004-0000-0000-000064020000}"/>
    <hyperlink ref="J623" r:id="rId614" xr:uid="{00000000-0004-0000-0000-000065020000}"/>
    <hyperlink ref="J624" r:id="rId615" xr:uid="{00000000-0004-0000-0000-000066020000}"/>
    <hyperlink ref="J625" r:id="rId616" xr:uid="{00000000-0004-0000-0000-000067020000}"/>
    <hyperlink ref="J626" r:id="rId617" xr:uid="{00000000-0004-0000-0000-000068020000}"/>
    <hyperlink ref="J627" r:id="rId618" xr:uid="{00000000-0004-0000-0000-000069020000}"/>
    <hyperlink ref="J628" r:id="rId619" xr:uid="{00000000-0004-0000-0000-00006A020000}"/>
    <hyperlink ref="J629" r:id="rId620" xr:uid="{00000000-0004-0000-0000-00006B020000}"/>
    <hyperlink ref="J630" r:id="rId621" xr:uid="{00000000-0004-0000-0000-00006C020000}"/>
    <hyperlink ref="J631" r:id="rId622" xr:uid="{00000000-0004-0000-0000-00006D020000}"/>
    <hyperlink ref="J632" r:id="rId623" xr:uid="{00000000-0004-0000-0000-00006E020000}"/>
    <hyperlink ref="J633" r:id="rId624" xr:uid="{00000000-0004-0000-0000-00006F020000}"/>
    <hyperlink ref="J634" r:id="rId625" xr:uid="{00000000-0004-0000-0000-000070020000}"/>
    <hyperlink ref="J635" r:id="rId626" xr:uid="{00000000-0004-0000-0000-000071020000}"/>
    <hyperlink ref="J636" r:id="rId627" xr:uid="{00000000-0004-0000-0000-000072020000}"/>
    <hyperlink ref="J637" r:id="rId628" xr:uid="{00000000-0004-0000-0000-000073020000}"/>
    <hyperlink ref="J638" r:id="rId629" xr:uid="{00000000-0004-0000-0000-000074020000}"/>
    <hyperlink ref="J639" r:id="rId630" xr:uid="{00000000-0004-0000-0000-000075020000}"/>
    <hyperlink ref="J640" r:id="rId631" xr:uid="{00000000-0004-0000-0000-000076020000}"/>
    <hyperlink ref="J641" r:id="rId632" xr:uid="{00000000-0004-0000-0000-000077020000}"/>
    <hyperlink ref="J642" r:id="rId633" xr:uid="{00000000-0004-0000-0000-000078020000}"/>
    <hyperlink ref="J643" r:id="rId634" xr:uid="{00000000-0004-0000-0000-000079020000}"/>
    <hyperlink ref="J644" r:id="rId635" xr:uid="{00000000-0004-0000-0000-00007A020000}"/>
    <hyperlink ref="J645" r:id="rId636" xr:uid="{00000000-0004-0000-0000-00007B020000}"/>
    <hyperlink ref="J646" r:id="rId637" xr:uid="{00000000-0004-0000-0000-00007C020000}"/>
    <hyperlink ref="J647" r:id="rId638" xr:uid="{00000000-0004-0000-0000-00007D020000}"/>
    <hyperlink ref="J648" r:id="rId639" xr:uid="{00000000-0004-0000-0000-00007E020000}"/>
    <hyperlink ref="J649" r:id="rId640" xr:uid="{00000000-0004-0000-0000-00007F020000}"/>
    <hyperlink ref="J650" r:id="rId641" xr:uid="{00000000-0004-0000-0000-000080020000}"/>
    <hyperlink ref="J651" r:id="rId642" xr:uid="{00000000-0004-0000-0000-000081020000}"/>
    <hyperlink ref="J652" r:id="rId643" xr:uid="{00000000-0004-0000-0000-000083020000}"/>
    <hyperlink ref="J653" r:id="rId644" xr:uid="{00000000-0004-0000-0000-000084020000}"/>
    <hyperlink ref="J654" r:id="rId645" xr:uid="{00000000-0004-0000-0000-000085020000}"/>
    <hyperlink ref="J655" r:id="rId646" xr:uid="{00000000-0004-0000-0000-000086020000}"/>
    <hyperlink ref="J656" r:id="rId647" xr:uid="{00000000-0004-0000-0000-000087020000}"/>
    <hyperlink ref="J657" r:id="rId648" xr:uid="{00000000-0004-0000-0000-000088020000}"/>
    <hyperlink ref="J658" r:id="rId649" xr:uid="{00000000-0004-0000-0000-000089020000}"/>
    <hyperlink ref="J659" r:id="rId650" xr:uid="{00000000-0004-0000-0000-00008A020000}"/>
    <hyperlink ref="J660" r:id="rId651" xr:uid="{00000000-0004-0000-0000-00008B020000}"/>
    <hyperlink ref="J661" r:id="rId652" xr:uid="{00000000-0004-0000-0000-00008C020000}"/>
    <hyperlink ref="J662" r:id="rId653" xr:uid="{00000000-0004-0000-0000-00008E020000}"/>
    <hyperlink ref="J663" r:id="rId654" xr:uid="{00000000-0004-0000-0000-00008F020000}"/>
    <hyperlink ref="J664" r:id="rId655" xr:uid="{00000000-0004-0000-0000-000090020000}"/>
    <hyperlink ref="J665" r:id="rId656" xr:uid="{00000000-0004-0000-0000-000091020000}"/>
    <hyperlink ref="J666" r:id="rId657" xr:uid="{00000000-0004-0000-0000-000092020000}"/>
    <hyperlink ref="J667" r:id="rId658" xr:uid="{00000000-0004-0000-0000-000093020000}"/>
    <hyperlink ref="J669" r:id="rId659" xr:uid="{00000000-0004-0000-0000-000094020000}"/>
    <hyperlink ref="J671" r:id="rId660" xr:uid="{00000000-0004-0000-0000-000095020000}"/>
    <hyperlink ref="J672" r:id="rId661" xr:uid="{00000000-0004-0000-0000-000096020000}"/>
    <hyperlink ref="J673" r:id="rId662" xr:uid="{00000000-0004-0000-0000-000097020000}"/>
    <hyperlink ref="J674" r:id="rId663" xr:uid="{00000000-0004-0000-0000-000098020000}"/>
    <hyperlink ref="J675" r:id="rId664" xr:uid="{00000000-0004-0000-0000-000099020000}"/>
    <hyperlink ref="J676" r:id="rId665" xr:uid="{00000000-0004-0000-0000-00009A020000}"/>
    <hyperlink ref="J677" r:id="rId666" xr:uid="{00000000-0004-0000-0000-00009B020000}"/>
    <hyperlink ref="J678" r:id="rId667" xr:uid="{00000000-0004-0000-0000-00009C020000}"/>
    <hyperlink ref="J679" r:id="rId668" xr:uid="{00000000-0004-0000-0000-00009D020000}"/>
    <hyperlink ref="J680" r:id="rId669" xr:uid="{00000000-0004-0000-0000-00009E020000}"/>
    <hyperlink ref="J681" r:id="rId670" xr:uid="{00000000-0004-0000-0000-00009F020000}"/>
    <hyperlink ref="J682" r:id="rId671" xr:uid="{00000000-0004-0000-0000-0000A0020000}"/>
    <hyperlink ref="J683" r:id="rId672" xr:uid="{00000000-0004-0000-0000-0000A1020000}"/>
    <hyperlink ref="J684" r:id="rId673" xr:uid="{00000000-0004-0000-0000-0000A2020000}"/>
    <hyperlink ref="J685" r:id="rId674" xr:uid="{00000000-0004-0000-0000-0000A3020000}"/>
    <hyperlink ref="J686" r:id="rId675" xr:uid="{00000000-0004-0000-0000-0000A4020000}"/>
    <hyperlink ref="J687" r:id="rId676" xr:uid="{00000000-0004-0000-0000-0000A5020000}"/>
    <hyperlink ref="J688" r:id="rId677" xr:uid="{00000000-0004-0000-0000-0000A6020000}"/>
    <hyperlink ref="J689" r:id="rId678" xr:uid="{00000000-0004-0000-0000-0000A7020000}"/>
    <hyperlink ref="J690" r:id="rId679" xr:uid="{00000000-0004-0000-0000-0000A8020000}"/>
    <hyperlink ref="J691" r:id="rId680" xr:uid="{00000000-0004-0000-0000-0000A9020000}"/>
    <hyperlink ref="J692" r:id="rId681" xr:uid="{00000000-0004-0000-0000-0000AA020000}"/>
    <hyperlink ref="J693" r:id="rId682" xr:uid="{00000000-0004-0000-0000-0000AB020000}"/>
    <hyperlink ref="J694" r:id="rId683" xr:uid="{00000000-0004-0000-0000-0000AC020000}"/>
    <hyperlink ref="J695" r:id="rId684" xr:uid="{00000000-0004-0000-0000-0000AD020000}"/>
    <hyperlink ref="J696" r:id="rId685" xr:uid="{00000000-0004-0000-0000-0000AE020000}"/>
    <hyperlink ref="J697" r:id="rId686" xr:uid="{00000000-0004-0000-0000-0000AF020000}"/>
    <hyperlink ref="J698" r:id="rId687" xr:uid="{00000000-0004-0000-0000-0000B0020000}"/>
    <hyperlink ref="J699" r:id="rId688" xr:uid="{00000000-0004-0000-0000-0000B1020000}"/>
    <hyperlink ref="J700" r:id="rId689" xr:uid="{00000000-0004-0000-0000-0000B2020000}"/>
    <hyperlink ref="J701" r:id="rId690" xr:uid="{00000000-0004-0000-0000-0000B3020000}"/>
    <hyperlink ref="J702" r:id="rId691" xr:uid="{00000000-0004-0000-0000-0000B4020000}"/>
    <hyperlink ref="J703" r:id="rId692" xr:uid="{00000000-0004-0000-0000-0000B5020000}"/>
    <hyperlink ref="J704" r:id="rId693" xr:uid="{00000000-0004-0000-0000-0000B6020000}"/>
    <hyperlink ref="J705" r:id="rId694" xr:uid="{00000000-0004-0000-0000-0000B7020000}"/>
    <hyperlink ref="J706" r:id="rId695" xr:uid="{00000000-0004-0000-0000-0000B8020000}"/>
    <hyperlink ref="J707" r:id="rId696" xr:uid="{00000000-0004-0000-0000-0000B9020000}"/>
    <hyperlink ref="J708" r:id="rId697" xr:uid="{00000000-0004-0000-0000-0000BA020000}"/>
    <hyperlink ref="J709" r:id="rId698" xr:uid="{00000000-0004-0000-0000-0000BB020000}"/>
    <hyperlink ref="J710" r:id="rId699" xr:uid="{00000000-0004-0000-0000-0000BC020000}"/>
    <hyperlink ref="J711" r:id="rId700" xr:uid="{00000000-0004-0000-0000-0000BD020000}"/>
    <hyperlink ref="J712" r:id="rId701" xr:uid="{00000000-0004-0000-0000-0000BE020000}"/>
    <hyperlink ref="J713" r:id="rId702" xr:uid="{00000000-0004-0000-0000-0000BF020000}"/>
    <hyperlink ref="J714" r:id="rId703" xr:uid="{00000000-0004-0000-0000-0000C0020000}"/>
    <hyperlink ref="J715" r:id="rId704" xr:uid="{00000000-0004-0000-0000-0000C1020000}"/>
    <hyperlink ref="J716" r:id="rId705" xr:uid="{00000000-0004-0000-0000-0000C2020000}"/>
    <hyperlink ref="J717" r:id="rId706" xr:uid="{00000000-0004-0000-0000-0000C3020000}"/>
    <hyperlink ref="J718" r:id="rId707" xr:uid="{00000000-0004-0000-0000-0000C4020000}"/>
    <hyperlink ref="J719" r:id="rId708" xr:uid="{00000000-0004-0000-0000-0000C5020000}"/>
    <hyperlink ref="J720" r:id="rId709" xr:uid="{00000000-0004-0000-0000-0000C6020000}"/>
    <hyperlink ref="J721" r:id="rId710" xr:uid="{00000000-0004-0000-0000-0000C7020000}"/>
    <hyperlink ref="J722" r:id="rId711" xr:uid="{00000000-0004-0000-0000-0000C8020000}"/>
    <hyperlink ref="J723" r:id="rId712" xr:uid="{00000000-0004-0000-0000-0000C9020000}"/>
    <hyperlink ref="J725" r:id="rId713" xr:uid="{00000000-0004-0000-0000-0000CA020000}"/>
    <hyperlink ref="J726" r:id="rId714" xr:uid="{00000000-0004-0000-0000-0000CB020000}"/>
    <hyperlink ref="J727" r:id="rId715" xr:uid="{00000000-0004-0000-0000-0000CC020000}"/>
    <hyperlink ref="J728" r:id="rId716" xr:uid="{00000000-0004-0000-0000-0000CD020000}"/>
    <hyperlink ref="J729" r:id="rId717" xr:uid="{00000000-0004-0000-0000-0000CE020000}"/>
    <hyperlink ref="J730" r:id="rId718" xr:uid="{00000000-0004-0000-0000-0000CF020000}"/>
    <hyperlink ref="J731" r:id="rId719" xr:uid="{00000000-0004-0000-0000-0000D0020000}"/>
    <hyperlink ref="J732" r:id="rId720" xr:uid="{00000000-0004-0000-0000-0000D1020000}"/>
    <hyperlink ref="J733" r:id="rId721" xr:uid="{00000000-0004-0000-0000-0000D2020000}"/>
    <hyperlink ref="J734" r:id="rId722" xr:uid="{00000000-0004-0000-0000-0000D3020000}"/>
    <hyperlink ref="J735" r:id="rId723" xr:uid="{00000000-0004-0000-0000-0000D4020000}"/>
    <hyperlink ref="J736" r:id="rId724" xr:uid="{00000000-0004-0000-0000-0000D6020000}"/>
    <hyperlink ref="J737" r:id="rId725" xr:uid="{00000000-0004-0000-0000-0000D7020000}"/>
    <hyperlink ref="J738" r:id="rId726" xr:uid="{00000000-0004-0000-0000-0000D8020000}"/>
    <hyperlink ref="J739" r:id="rId727" xr:uid="{00000000-0004-0000-0000-0000D9020000}"/>
    <hyperlink ref="J740" r:id="rId728" xr:uid="{00000000-0004-0000-0000-0000DA020000}"/>
    <hyperlink ref="J741" r:id="rId729" xr:uid="{00000000-0004-0000-0000-0000DB020000}"/>
    <hyperlink ref="J742" r:id="rId730" xr:uid="{00000000-0004-0000-0000-0000DC020000}"/>
    <hyperlink ref="J743" r:id="rId731" xr:uid="{00000000-0004-0000-0000-0000DD020000}"/>
    <hyperlink ref="J745" r:id="rId732" xr:uid="{00000000-0004-0000-0000-0000DE020000}"/>
    <hyperlink ref="J746" r:id="rId733" xr:uid="{00000000-0004-0000-0000-0000DF020000}"/>
    <hyperlink ref="J747" r:id="rId734" xr:uid="{00000000-0004-0000-0000-0000E0020000}"/>
    <hyperlink ref="J748" r:id="rId735" xr:uid="{00000000-0004-0000-0000-0000E1020000}"/>
    <hyperlink ref="J749" r:id="rId736" xr:uid="{00000000-0004-0000-0000-0000E2020000}"/>
    <hyperlink ref="J750" r:id="rId737" xr:uid="{00000000-0004-0000-0000-0000E3020000}"/>
    <hyperlink ref="J751" r:id="rId738" xr:uid="{00000000-0004-0000-0000-0000E4020000}"/>
    <hyperlink ref="J752" r:id="rId739" xr:uid="{00000000-0004-0000-0000-0000E5020000}"/>
    <hyperlink ref="J753" r:id="rId740" xr:uid="{00000000-0004-0000-0000-0000E6020000}"/>
    <hyperlink ref="J754" r:id="rId741" xr:uid="{00000000-0004-0000-0000-0000E7020000}"/>
    <hyperlink ref="J755" r:id="rId742" xr:uid="{00000000-0004-0000-0000-0000E8020000}"/>
    <hyperlink ref="J756" r:id="rId743" xr:uid="{00000000-0004-0000-0000-0000E9020000}"/>
    <hyperlink ref="J757" r:id="rId744" xr:uid="{00000000-0004-0000-0000-0000EA020000}"/>
    <hyperlink ref="J759" r:id="rId745" xr:uid="{00000000-0004-0000-0000-0000EC020000}"/>
    <hyperlink ref="J760" r:id="rId746" xr:uid="{00000000-0004-0000-0000-0000ED020000}"/>
    <hyperlink ref="J761" r:id="rId747" xr:uid="{00000000-0004-0000-0000-0000EE020000}"/>
    <hyperlink ref="J762" r:id="rId748" xr:uid="{00000000-0004-0000-0000-0000EF020000}"/>
    <hyperlink ref="J764" r:id="rId749" xr:uid="{00000000-0004-0000-0000-0000F0020000}"/>
    <hyperlink ref="J765" r:id="rId750" xr:uid="{00000000-0004-0000-0000-0000F1020000}"/>
    <hyperlink ref="J766" r:id="rId751" xr:uid="{00000000-0004-0000-0000-0000F2020000}"/>
    <hyperlink ref="J768" r:id="rId752" xr:uid="{00000000-0004-0000-0000-0000F4020000}"/>
    <hyperlink ref="J769" r:id="rId753" xr:uid="{00000000-0004-0000-0000-0000F5020000}"/>
    <hyperlink ref="J770" r:id="rId754" xr:uid="{00000000-0004-0000-0000-0000F6020000}"/>
    <hyperlink ref="J771" r:id="rId755" xr:uid="{00000000-0004-0000-0000-0000F7020000}"/>
    <hyperlink ref="J772" r:id="rId756" xr:uid="{00000000-0004-0000-0000-0000F8020000}"/>
    <hyperlink ref="J773" r:id="rId757" xr:uid="{00000000-0004-0000-0000-0000F9020000}"/>
    <hyperlink ref="J774" r:id="rId758" xr:uid="{00000000-0004-0000-0000-0000FA020000}"/>
    <hyperlink ref="J775" r:id="rId759" xr:uid="{00000000-0004-0000-0000-0000FB020000}"/>
    <hyperlink ref="J776" r:id="rId760" xr:uid="{00000000-0004-0000-0000-0000FC020000}"/>
    <hyperlink ref="J777" r:id="rId761" xr:uid="{00000000-0004-0000-0000-0000FD020000}"/>
    <hyperlink ref="J778" r:id="rId762" xr:uid="{00000000-0004-0000-0000-0000FE020000}"/>
    <hyperlink ref="J779" r:id="rId763" xr:uid="{00000000-0004-0000-0000-0000FF020000}"/>
    <hyperlink ref="J780" r:id="rId764" xr:uid="{00000000-0004-0000-0000-000000030000}"/>
    <hyperlink ref="J781" r:id="rId765" xr:uid="{00000000-0004-0000-0000-000001030000}"/>
    <hyperlink ref="J782" r:id="rId766" xr:uid="{00000000-0004-0000-0000-000002030000}"/>
    <hyperlink ref="J783" r:id="rId767" xr:uid="{00000000-0004-0000-0000-000003030000}"/>
    <hyperlink ref="J784" r:id="rId768" xr:uid="{00000000-0004-0000-0000-000004030000}"/>
    <hyperlink ref="J786" r:id="rId769" xr:uid="{00000000-0004-0000-0000-000006030000}"/>
    <hyperlink ref="J787" r:id="rId770" xr:uid="{00000000-0004-0000-0000-000007030000}"/>
    <hyperlink ref="J788" r:id="rId771" xr:uid="{00000000-0004-0000-0000-000008030000}"/>
    <hyperlink ref="J789" r:id="rId772" xr:uid="{00000000-0004-0000-0000-000009030000}"/>
    <hyperlink ref="J790" r:id="rId773" xr:uid="{00000000-0004-0000-0000-00000A030000}"/>
    <hyperlink ref="J791" r:id="rId774" xr:uid="{00000000-0004-0000-0000-00000B030000}"/>
    <hyperlink ref="J792" r:id="rId775" xr:uid="{00000000-0004-0000-0000-00000C030000}"/>
    <hyperlink ref="J793" r:id="rId776" xr:uid="{00000000-0004-0000-0000-00000D030000}"/>
    <hyperlink ref="J794" r:id="rId777" xr:uid="{00000000-0004-0000-0000-00000E030000}"/>
    <hyperlink ref="J795" r:id="rId778" xr:uid="{00000000-0004-0000-0000-00000F030000}"/>
    <hyperlink ref="J798" r:id="rId779" xr:uid="{00000000-0004-0000-0000-000012030000}"/>
    <hyperlink ref="J799" r:id="rId780" xr:uid="{00000000-0004-0000-0000-000013030000}"/>
    <hyperlink ref="J800" r:id="rId781" xr:uid="{00000000-0004-0000-0000-000014030000}"/>
    <hyperlink ref="J801" r:id="rId782" xr:uid="{00000000-0004-0000-0000-000015030000}"/>
    <hyperlink ref="J802" r:id="rId783" xr:uid="{00000000-0004-0000-0000-000016030000}"/>
    <hyperlink ref="J803" r:id="rId784" xr:uid="{00000000-0004-0000-0000-000017030000}"/>
    <hyperlink ref="J804" r:id="rId785" xr:uid="{00000000-0004-0000-0000-000018030000}"/>
    <hyperlink ref="J805" r:id="rId786" xr:uid="{00000000-0004-0000-0000-000019030000}"/>
    <hyperlink ref="J806" r:id="rId787" xr:uid="{00000000-0004-0000-0000-00001A030000}"/>
    <hyperlink ref="J807" r:id="rId788" xr:uid="{00000000-0004-0000-0000-00001B030000}"/>
    <hyperlink ref="J808" r:id="rId789" xr:uid="{00000000-0004-0000-0000-00001C030000}"/>
    <hyperlink ref="J809" r:id="rId790" xr:uid="{00000000-0004-0000-0000-00001D030000}"/>
    <hyperlink ref="J810" r:id="rId791" xr:uid="{00000000-0004-0000-0000-00001E030000}"/>
    <hyperlink ref="J811" r:id="rId792" xr:uid="{00000000-0004-0000-0000-00001F030000}"/>
    <hyperlink ref="J812" r:id="rId793" xr:uid="{00000000-0004-0000-0000-000020030000}"/>
    <hyperlink ref="J813" r:id="rId794" xr:uid="{00000000-0004-0000-0000-000021030000}"/>
    <hyperlink ref="J814" r:id="rId795" xr:uid="{00000000-0004-0000-0000-000022030000}"/>
    <hyperlink ref="J815" r:id="rId796" xr:uid="{00000000-0004-0000-0000-000023030000}"/>
    <hyperlink ref="J817" r:id="rId797" xr:uid="{00000000-0004-0000-0000-000024030000}"/>
    <hyperlink ref="J818" r:id="rId798" xr:uid="{00000000-0004-0000-0000-000025030000}"/>
    <hyperlink ref="J819" r:id="rId799" xr:uid="{00000000-0004-0000-0000-000026030000}"/>
    <hyperlink ref="J820" r:id="rId800" xr:uid="{00000000-0004-0000-0000-000027030000}"/>
    <hyperlink ref="J816" r:id="rId801" xr:uid="{5468025D-FDA8-4B92-A8D4-140BF9DBF151}"/>
    <hyperlink ref="J821" r:id="rId802" display="216871771" xr:uid="{F4547D9E-E242-4B72-BB3F-C732DBF71D2A}"/>
    <hyperlink ref="J822" r:id="rId803" xr:uid="{0CE560B8-0A27-4E4D-A50D-ACC7B6E521D9}"/>
    <hyperlink ref="J823" r:id="rId804" display="23919457" xr:uid="{44A47138-B56B-4D21-82CB-23B9059D9B3D}"/>
    <hyperlink ref="J824" r:id="rId805" display="https://ext-web.ltl-xpo.com/public-app/shipments?referenceNumber=216873576&amp;_gl=1*6lfca3*_gcl_au*MTU4MjMwMTQ3MS4xNzg2NDYyODMwLjE4MDQ1MjA1OTQuMTc4NzMxOTU1MC4xNzg3MzE5NzE5LjEwODg2NjY0MDguMTc4NzIzMzQ0MC4xNzg3MzE5NzE5" xr:uid="{D0D6488F-56C0-4C98-884D-4F537CDAF513}"/>
    <hyperlink ref="J796" r:id="rId806" xr:uid="{44D160CE-DECD-4B58-A9DF-365329DFFAD5}"/>
    <hyperlink ref="J785" r:id="rId807" xr:uid="{42F08A24-2A4C-46DA-8546-25C336AAC153}"/>
    <hyperlink ref="J825" r:id="rId808" display="https://ext-web.ltl-xpo.com/public-app/shipments?referenceNumber=216873753&amp;_gl=1*1ir98k5*_gcl_au*ODY0MTMyMDc0LjE3ODQyMTg3NzkuMjA5MjQ0NDAyMC4xNzg3MzIyNzc3LjE3ODczMjMxNjMuMTczMjQyNjQ1My4xNzg3MjQ4MzkxLjE3ODczMjMxODg." xr:uid="{0EA9A298-ACDE-4BC3-A6F7-6318EBC73A91}"/>
    <hyperlink ref="J797" r:id="rId809" display="https://ext-web.ltl-xpo.com/public-app/shipments?referenceNumber=216864992&amp;_gl=1*14hnsqz*_gcl_au*ODgwMzAyNjQ3LjE3ODY0NTQxMDguLS4tLjE3ODcyNTMzMzIuMjA3ODM1OTE4MC4xNzg3MzIyMDk0LjE3ODczMzY5NDA." xr:uid="{501C9514-C251-4088-8DA0-296261697E61}"/>
    <hyperlink ref="J758" r:id="rId810" xr:uid="{D8B172C7-B85A-4ED6-A453-CE54B2106174}"/>
    <hyperlink ref="J826" r:id="rId811" xr:uid="{F1B188F0-9BC6-4AAC-8032-5171C410A9A3}"/>
    <hyperlink ref="J827" r:id="rId812" xr:uid="{F748C389-1BD6-4EC5-8551-5E31F5EB4FA9}"/>
    <hyperlink ref="J828" r:id="rId813" display="https://ext-web.ltl-xpo.com/public-app/shipments?referenceNumber=216876962&amp;_gl=1*vr0ohy*_gcl_au*MTU4MjMwMTQ3MS4xNzg2NDYyODMwLjYwMjc4MjIwNy4xNzg3NTk4MjM5LjE3ODc1OTgzNjIuMjAxNTExNzU2MC4xNzg3NTc3MjMyLjE3ODc1OTgzNjI." xr:uid="{5A7A91EA-6B99-40F2-99E9-37DD553422C9}"/>
    <hyperlink ref="J829" r:id="rId814" xr:uid="{388B7A91-D1BC-439C-9B34-91B4DCBCFFAA}"/>
    <hyperlink ref="J830" r:id="rId815" xr:uid="{6EF1EF96-E2C7-4D59-B352-7E0D5B9F38BD}"/>
    <hyperlink ref="J831" r:id="rId816" display="https://rxo.com/track/RXONC20O5NIOEPPH26" xr:uid="{87D8573A-46E8-4122-8823-C50AC1D33E5F}"/>
    <hyperlink ref="J832" r:id="rId817" xr:uid="{861603C6-B30B-447D-A10A-34D22BE0BCAB}"/>
    <hyperlink ref="R798" r:id="rId818" xr:uid="{3C3E5EAB-4074-4273-9B33-29E78258B23F}"/>
    <hyperlink ref="J833" r:id="rId819" xr:uid="{8E32E865-70FD-4EDC-8BC0-8C337ACF0526}"/>
    <hyperlink ref="J834" r:id="rId820" display="557690921" xr:uid="{88205A17-B665-40CD-9AE2-D51734CF5BBB}"/>
    <hyperlink ref="J767" r:id="rId821" display="http://www.daytonfreight.com/Tracking/TrackingDetail.aspx?proNum=00034913734" xr:uid="{A2361EF8-EFC7-422E-A7FA-FC7897D74FD2}"/>
    <hyperlink ref="J835" r:id="rId822" xr:uid="{7C40DCD6-C652-4990-B04C-F2FAA147DBD5}"/>
    <hyperlink ref="J836" r:id="rId823" xr:uid="{BF3C7B61-39B8-43AC-9CE8-6D67DBB271F0}"/>
    <hyperlink ref="J837" r:id="rId824" xr:uid="{AE32520F-6E6B-4FC3-8358-6DBB9BFA2A04}"/>
    <hyperlink ref="J838" r:id="rId825" xr:uid="{1FF3D0D9-A343-42D4-8A67-341168629A61}"/>
    <hyperlink ref="J841" r:id="rId826" xr:uid="{93210663-2248-48B4-AA14-0EE5AC6BF2C7}"/>
    <hyperlink ref="J840" r:id="rId827" xr:uid="{27AE6040-1416-4023-BFAA-AE34D251EDD4}"/>
    <hyperlink ref="J842" r:id="rId828" display="https://ext-web.ltl-xpo.com/public-app/shipments?referenceNumber=557691256&amp;_gl=1*tl7zml*_gcl_au*ODY0MTMyMDc0LjE3ODQyMTg3NzkuMTc1OTI3MzE4My4xNzg3NzUzNDA5LjE3ODc3NTcwODMuMTIxNzMxNzAuMTc4Nzc1MDgxOS4xNzg3NzU3MDgz" xr:uid="{1A22E0E4-ACD0-4CA2-839D-EA70F6BFB618}"/>
    <hyperlink ref="J843" r:id="rId829" xr:uid="{A691482D-4567-4996-90DD-3F23356F41DD}"/>
    <hyperlink ref="J844" r:id="rId830" xr:uid="{F5CC03BA-2D6F-4B23-A2DD-6C057A8DF7AE}"/>
    <hyperlink ref="J845" r:id="rId831" xr:uid="{D217DC5B-F6C9-496C-9CB7-FB06F5469200}"/>
    <hyperlink ref="J846" r:id="rId832" xr:uid="{80CC273D-6544-418B-A012-86E641E690B8}"/>
    <hyperlink ref="J847" r:id="rId833" display="http://www.daytonfreight.com/Tracking/TrackingDetail.aspx?proNum=00034913788" xr:uid="{E6EA84E8-1804-424E-A40D-38155588D2C4}"/>
    <hyperlink ref="J848" r:id="rId834" display="https://ext-web.ltl-xpo.com/public-app/shipments?referenceNumber=557691702&amp;_gl=1*bbsm50*_gcl_au*ODY0MTMyMDc0LjE3ODQyMTg3NzkuMTc1OTI3MzE4My4xNzg3NzUzNDA5LjE3ODc3NjAwMzIuMTIxNzMxNzAuMTc4Nzc1MDgxOS4xNzg3NzYwMDc5" xr:uid="{DD291D5F-928D-444B-B892-23827D6B881E}"/>
    <hyperlink ref="J849" r:id="rId835" display="557692144" xr:uid="{964F2905-AB01-4B64-98BD-8D73B6B7A8C1}"/>
    <hyperlink ref="J850" r:id="rId836" xr:uid="{09929885-0248-4202-A21F-A596942BBCAD}"/>
    <hyperlink ref="J851" r:id="rId837" xr:uid="{0297B06C-A901-403D-815D-13D6AD4BE850}"/>
    <hyperlink ref="J839" r:id="rId838" display="https://pittohio.com/myPittOhio/Shipping/LTL/tracerequest?pro=5057003281" xr:uid="{C28D7E69-056A-4A4D-8804-3EE98FED09CA}"/>
    <hyperlink ref="J852" r:id="rId839" display="23992763" xr:uid="{0D105DA1-EEA0-433F-AA95-F84624AE9194}"/>
    <hyperlink ref="J854" r:id="rId840" display="23997819" xr:uid="{80A418BD-941A-427A-87E4-2D839A0C8F3A}"/>
    <hyperlink ref="J853" r:id="rId841" display="23998436" xr:uid="{AAF30F9F-73C2-4D31-A053-1AFF77D1CA57}"/>
    <hyperlink ref="J857" r:id="rId842" display="80642930" xr:uid="{B309BAFD-1F09-4995-B621-4335561AF68C}"/>
    <hyperlink ref="J859" r:id="rId843" display="557700150" xr:uid="{61DBBD53-6DCE-4884-BA88-3C5FAFB0D8A8}"/>
    <hyperlink ref="J858" r:id="rId844" display="00034913881" xr:uid="{D7DD9F56-A474-4BA8-8430-74A10E3F3BA7}"/>
    <hyperlink ref="J860" r:id="rId845" display="00034913883" xr:uid="{60F6FED4-ADD7-4C7F-AFD7-904A256D44F2}"/>
    <hyperlink ref="J508" r:id="rId846" display="23406818" xr:uid="{44CC5087-E1AB-4FEC-A7DD-F64B3DDBA1C6}"/>
    <hyperlink ref="J862" r:id="rId847" display="557702165" xr:uid="{63C9A898-69C4-41B7-A286-739D69DA40D7}"/>
    <hyperlink ref="J856" r:id="rId848" display="557699973" xr:uid="{A0878C8D-2EC3-4BB6-8C7A-92F7A518D618}"/>
    <hyperlink ref="J861" r:id="rId849" display="24018681" xr:uid="{CFC343DA-DEEF-4111-BCC1-3049B2A9E483}"/>
    <hyperlink ref="J864" r:id="rId850" display="557705083" xr:uid="{31EB634E-7678-4216-B1BC-093BFB0DCF5F}"/>
    <hyperlink ref="J855" r:id="rId851" display="557699811" xr:uid="{A2122F76-B8D5-43D4-8EF6-2A3E0C678095}"/>
    <hyperlink ref="J865" r:id="rId852" display="557706741" xr:uid="{A07AB670-DA3F-4B04-868A-2A9E44D60DD7}"/>
    <hyperlink ref="J866" r:id="rId853" display="557706796" xr:uid="{728A5035-99E4-4A80-9731-AC91496A3E76}"/>
    <hyperlink ref="J868" r:id="rId854" display="557707183" xr:uid="{73B41F6B-CBFD-41E3-94F4-533D863E605C}"/>
    <hyperlink ref="J869" r:id="rId855" display="557708281" xr:uid="{E9B77EF8-9622-4585-AE24-B1D1A0BA84FE}"/>
    <hyperlink ref="J870" r:id="rId856" display="557708701" xr:uid="{ECB554F8-48D7-416C-98FB-03885902E58C}"/>
    <hyperlink ref="J867" r:id="rId857" display="557706800" xr:uid="{D9CCE1E0-8EF2-4778-A920-172569CDBC0C}"/>
    <hyperlink ref="J873" r:id="rId858" display="557708804" xr:uid="{632E51D5-D7CB-46BD-A7C4-B55E848942F6}"/>
    <hyperlink ref="J878" r:id="rId859" display="00034913980" xr:uid="{CA317167-7747-40CD-A8B6-B10E6BC668CA}"/>
    <hyperlink ref="J877" r:id="rId860" display="5057002465" xr:uid="{D263F063-62D2-4BB5-A8DE-D61BA7CD5068}"/>
    <hyperlink ref="J876" r:id="rId861" display="00034913982" xr:uid="{CCB890BD-5182-43F1-8016-7BB10B491C2D}"/>
    <hyperlink ref="J879" r:id="rId862" display="557710683" xr:uid="{D715E328-1AF8-4D5B-9AAD-84ECB37D537C}"/>
    <hyperlink ref="J881" r:id="rId863" display="5057002456" xr:uid="{18C02905-199A-4790-964F-5B3EDB04664F}"/>
    <hyperlink ref="J883" r:id="rId864" display="00034913984" xr:uid="{1E06E610-96AF-45D7-90CA-5BEE22EE8E33}"/>
    <hyperlink ref="J880" r:id="rId865" display="557711011" xr:uid="{5B6EAE87-2E9D-4946-A7C0-C1F32E3E7F42}"/>
    <hyperlink ref="J882" r:id="rId866" display="00034913986" xr:uid="{EFD41797-A426-48FC-B3E7-C92F24AEF7DD}"/>
    <hyperlink ref="J884" r:id="rId867" display="557712514" xr:uid="{BFB34A84-254C-4044-A8E0-C449FDBD2B2E}"/>
    <hyperlink ref="J874" r:id="rId868" display="24057873" xr:uid="{DC41FD0D-EAB3-4545-B684-9697B1CFE8FD}"/>
    <hyperlink ref="J863" r:id="rId869" display="754051218" xr:uid="{A26C0E2C-76BA-46BF-9EC0-DB63576DCA93}"/>
    <hyperlink ref="J871" r:id="rId870" display="754051234" xr:uid="{51196594-A46D-4B3E-A08C-F6766CF1647C}"/>
    <hyperlink ref="J885" r:id="rId871" display="24083963" xr:uid="{9F75F634-36B1-4A4E-9CB0-2F2F444058B7}"/>
    <hyperlink ref="J886" r:id="rId872" display="00034914009" xr:uid="{9A92FD53-AA8F-4E19-A610-CD55852A9DE2}"/>
    <hyperlink ref="J889" r:id="rId873" display="5057002551" xr:uid="{F1109D99-0597-44AD-AFD7-3666A2264EE5}"/>
    <hyperlink ref="J888" r:id="rId874" display="557716574" xr:uid="{5D910F02-1F34-4F50-A93D-03BC324A5AD2}"/>
    <hyperlink ref="J887" r:id="rId875" display="59739013205" xr:uid="{B6E7C093-8157-4E95-B560-2865A019408C}"/>
    <hyperlink ref="J891" r:id="rId876" display="557717635" xr:uid="{672CC6B8-92BF-4BB5-B70F-BE063C7C5559}"/>
    <hyperlink ref="J875" r:id="rId877" display="24055640" xr:uid="{93A05034-9B33-4C79-ADBB-A9AF43302AA6}"/>
    <hyperlink ref="J893" r:id="rId878" display="557718560" xr:uid="{6737067E-593F-4CB1-99E9-0EE06DAFEAF2}"/>
    <hyperlink ref="J892" r:id="rId879" display="24106092" xr:uid="{0A363E49-E6BC-40E2-AA6B-778AB13ABE75}"/>
    <hyperlink ref="J894" r:id="rId880" display="24098358" xr:uid="{37D80FFB-FE45-4182-B518-A498AB48E21A}"/>
    <hyperlink ref="J890" r:id="rId881" display="828824997" xr:uid="{61528225-244C-43C0-9681-3A8FB7AE3FE8}"/>
    <hyperlink ref="J895" r:id="rId882" display="557723143" xr:uid="{3BBFDFAA-799A-45D1-B02D-A1E8833670A6}"/>
    <hyperlink ref="J896" r:id="rId883" display="557722756" xr:uid="{0A9A4995-42AA-4C2B-9026-ECE61AB94040}"/>
    <hyperlink ref="J898" r:id="rId884" display="557723272" xr:uid="{04AB5070-6FBB-4888-89A6-02D7EF59885B}"/>
    <hyperlink ref="J872" r:id="rId885" display="557708830" xr:uid="{C42F19C0-9CB7-42CC-91F5-B9D79C63FB7E}"/>
    <hyperlink ref="J900" r:id="rId886" display="24139352" xr:uid="{9A721347-376D-4EFC-ADFA-1E74405DB3C1}"/>
    <hyperlink ref="J897" r:id="rId887" xr:uid="{300EA88D-D1D9-4981-8C81-729B46C3E673}"/>
    <hyperlink ref="J902" r:id="rId888" display="557726024" xr:uid="{BB91E360-8175-4966-B06B-0439846209E8}"/>
    <hyperlink ref="J901" r:id="rId889" display="557726665" xr:uid="{F5C6AE97-9A6F-4C41-9293-ABDD685C1527}"/>
    <hyperlink ref="J899" r:id="rId890" display="24137990" xr:uid="{38F25693-88AC-4F34-91D4-06D132B1CB30}"/>
    <hyperlink ref="J904" r:id="rId891" display="59739013379" xr:uid="{9E540BD4-5A91-4EE5-BF6C-3C44B82816E2}"/>
    <hyperlink ref="J903" r:id="rId892" display="5057002621" xr:uid="{5B6B8B33-02AC-462F-B1F2-11A23E81FBEC}"/>
    <hyperlink ref="J905" r:id="rId893" display="5057002793" xr:uid="{E318B854-6E9E-4801-9815-3D6890D718A5}"/>
    <hyperlink ref="J906" r:id="rId894" display="82261989" xr:uid="{6BFF6773-04BE-4DAF-9695-F6DC35C88AB5}"/>
    <hyperlink ref="J909" r:id="rId895" xr:uid="{223F2806-9041-43A9-9B68-086E3268692E}"/>
    <hyperlink ref="J907" r:id="rId896" display="557730051" xr:uid="{8FC63832-0EA8-4E54-887C-515845A23E5D}"/>
    <hyperlink ref="J911" r:id="rId897" display="557729071" xr:uid="{113E58FC-2964-4FCF-B40C-2BD6CF012626}"/>
    <hyperlink ref="J908" r:id="rId898" display="00034914147" xr:uid="{14D42F73-EB09-46EC-A676-D4FA155D0D61}"/>
    <hyperlink ref="J910" r:id="rId899" xr:uid="{9451F421-9778-49E4-A1AB-9936D5B12250}"/>
    <hyperlink ref="J912" r:id="rId900" display="557732523" xr:uid="{87D3AAFC-FC9E-4469-8F8F-A4F9FC3BCF38}"/>
    <hyperlink ref="J914" r:id="rId901" display="557731403" xr:uid="{B3E7F34C-06A8-451D-841B-25AD4C90559C}"/>
    <hyperlink ref="J913" r:id="rId902" display="00034914171" xr:uid="{74E5915B-101C-4890-A21E-028960F83BA1}"/>
    <hyperlink ref="J915" r:id="rId903" display="00034914176" xr:uid="{093EFC23-8F7F-4721-B4EE-7820AA1FDCEF}"/>
    <hyperlink ref="J916" r:id="rId904" display="557734752" xr:uid="{3028FEA7-5A72-4184-A929-C2062883A904}"/>
    <hyperlink ref="J918" r:id="rId905" display="5057002785" xr:uid="{49D4EEA7-607B-444B-AB06-2F347F6F3AF1}"/>
    <hyperlink ref="J917" r:id="rId906" display="557734041" xr:uid="{0BAC2DC4-5A6E-463D-A62E-C464583B950D}"/>
    <hyperlink ref="J919" r:id="rId907" display="557736561" xr:uid="{BC09FF98-6A5A-4834-8C7A-428105BE6396}"/>
    <hyperlink ref="J920" r:id="rId908" display="557737342" xr:uid="{B3A29713-688E-4585-A426-A67D4A809094}"/>
    <hyperlink ref="J921" r:id="rId909" display="557735006" xr:uid="{AB8D9C96-3175-4458-9118-19043348009D}"/>
    <hyperlink ref="J922" r:id="rId910" display="5057002799" xr:uid="{9EA06AF6-9A02-473F-A01F-F32B7EC0EDC6}"/>
    <hyperlink ref="J923" r:id="rId911" display="557735920" xr:uid="{C95C4D15-41FF-467D-ACE7-A408AE8B1DF2}"/>
    <hyperlink ref="J924" r:id="rId912" display="557736631" xr:uid="{9971FA5B-CE18-43A3-9DA6-7686E48A669D}"/>
    <hyperlink ref="J926" r:id="rId913" display="24201674" xr:uid="{F9E61577-BE13-441B-BE1F-4F01CBDA6850}"/>
    <hyperlink ref="J929" r:id="rId914" display="557735953" xr:uid="{B48F50E8-3704-4283-A155-1649EEC4E307}"/>
    <hyperlink ref="J925" r:id="rId915" display="24203263" xr:uid="{C16768E5-F90C-450F-8842-9BED0209D23B}"/>
    <hyperlink ref="J930" r:id="rId916" display="557737526" xr:uid="{70B87F33-0537-4375-944E-82C1A71F2F6C}"/>
    <hyperlink ref="J931" r:id="rId917" display="557737423" xr:uid="{9D036223-3B20-4CBA-917D-817819CF4998}"/>
    <hyperlink ref="J932" r:id="rId918" display="557737445" xr:uid="{527F7204-D204-4EC0-A859-45E519C111AF}"/>
    <hyperlink ref="J933" r:id="rId919" display="557739081" xr:uid="{2066BC58-01E0-4C89-B8B5-4B9F4E1566AB}"/>
    <hyperlink ref="J934" r:id="rId920" display="557739070" xr:uid="{0848C7E0-433F-4DE6-9CBE-0AD28AE23F14}"/>
    <hyperlink ref="J935" r:id="rId921" display="24204493" xr:uid="{CA3B4D8A-6AC0-4C42-B411-8B1B515CDA46}"/>
    <hyperlink ref="J928" r:id="rId922" display="24203263" xr:uid="{695C5876-8558-44F9-88F9-C22D2F8B5068}"/>
    <hyperlink ref="J936" r:id="rId923" display="557738300" xr:uid="{B57C9DE1-2499-4707-B202-905A27977DC5}"/>
    <hyperlink ref="J937" r:id="rId924" display="557738322" xr:uid="{5CC51338-D16A-4951-A733-F8DE63E9AEFC}"/>
    <hyperlink ref="J938" r:id="rId925" display="24210298" xr:uid="{50DA435F-ABC4-423F-8206-0906330EB8C7}"/>
    <hyperlink ref="J927" r:id="rId926" display="557735942" xr:uid="{A12C0820-9685-4D36-97DB-16C9924BD387}"/>
    <hyperlink ref="J939" r:id="rId927" display="557740610" xr:uid="{EAFA101C-442C-42C4-B504-681AF3EF13C3}"/>
    <hyperlink ref="J940" r:id="rId928" display="557740750" xr:uid="{2AA887DC-A6E2-42D6-B922-B9B68C5E06ED}"/>
    <hyperlink ref="J941" r:id="rId929" display="557740470" xr:uid="{7315A1C7-1014-43E0-A849-E61108FF2784}"/>
    <hyperlink ref="J942" r:id="rId930" display="557740256" xr:uid="{2D4F72FD-0507-4F91-9128-2F513FCD9C8F}"/>
    <hyperlink ref="J943" r:id="rId931" display="557740912" xr:uid="{14E3AD8F-CCB5-4264-B8D3-5F0B1257B61E}"/>
    <hyperlink ref="J944" r:id="rId932" display="557740260" xr:uid="{4113C1DB-64D2-4D5A-94FD-C6F904767C30}"/>
    <hyperlink ref="J945" r:id="rId933" display="557741192" xr:uid="{71BEEC00-7FF1-4286-B909-486F5A54F218}"/>
    <hyperlink ref="J947" r:id="rId934" display="557740621" xr:uid="{FABB01C2-1496-4D0C-8C5E-F832E9016ECD}"/>
    <hyperlink ref="J946" r:id="rId935" display="557740794" xr:uid="{86BFAC48-B23C-4384-90E3-0AD89750622B}"/>
    <hyperlink ref="J948" r:id="rId936" display="557740805" xr:uid="{4A305053-968E-4168-A747-6018BE45CF62}"/>
    <hyperlink ref="J949" r:id="rId937" display="557740061" xr:uid="{383A0D37-AF13-4482-A75C-62590AD5C8EA}"/>
    <hyperlink ref="J950" r:id="rId938" display="557740724" xr:uid="{24D090B2-0290-4231-B2D8-37E5802F58FC}"/>
    <hyperlink ref="J951" r:id="rId939" display="557741041" xr:uid="{C9962F12-F75A-41FE-A7A6-6D7161D66FB0}"/>
    <hyperlink ref="J953" r:id="rId940" display="557741984" xr:uid="{4DA0E046-51CB-4596-988D-2D3D496BF72A}"/>
    <hyperlink ref="J952" r:id="rId941" display="557741774" xr:uid="{648159F9-61E4-40C0-875D-1F863F49FE67}"/>
    <hyperlink ref="J955" r:id="rId942" display="557742975" xr:uid="{6DFCE76B-9D15-4BB4-B493-40F288A7F6E5}"/>
    <hyperlink ref="J956" r:id="rId943" display="557741870" xr:uid="{502722AD-D0A1-4844-BA21-F1A025A2CA00}"/>
    <hyperlink ref="J957" r:id="rId944" display="557741962" xr:uid="{0EF4165B-83A9-4130-8F32-D63A8DFF84B5}"/>
    <hyperlink ref="J958" r:id="rId945" display="557742776" xr:uid="{39846306-1149-4876-9830-19AFF7BEB654}"/>
    <hyperlink ref="J960" r:id="rId946" display="557741424" xr:uid="{57C8DC55-1282-4DD4-ABBB-961B345E5318}"/>
    <hyperlink ref="J954" r:id="rId947" display="557743012" xr:uid="{0F49AD3E-8987-41A5-9D0D-98D83FC2E28F}"/>
    <hyperlink ref="J961" r:id="rId948" display="24213039" xr:uid="{142FAD5F-DC4F-4C76-9ED3-2D17E316BD14}"/>
    <hyperlink ref="J959" r:id="rId949" display="557742964" xr:uid="{17D9D668-8294-4E6A-AF00-3112D0796330}"/>
    <hyperlink ref="J962" r:id="rId950" display="24194692" xr:uid="{8288F6A3-A9D5-4BE1-A896-4EBA543A933C}"/>
    <hyperlink ref="J963" r:id="rId951" display="82262004" xr:uid="{DB1AF658-2B3C-4AE3-8735-F42615FEF157}"/>
    <hyperlink ref="J964" r:id="rId952" display="557741940" xr:uid="{9584E645-D1B2-4D54-B501-EEB7E24537AC}"/>
    <hyperlink ref="J965" r:id="rId953" display="557742463" xr:uid="{3078C63B-06A2-48EA-A1D0-CA108673AFD4}"/>
    <hyperlink ref="J967" r:id="rId954" display="557741645" xr:uid="{444B3C1E-C6C3-42E1-A553-11EAE53ECE1E}"/>
    <hyperlink ref="J969" r:id="rId955" display="557742533" xr:uid="{6B982D65-B61D-4FF7-B383-43ACA8820FF3}"/>
    <hyperlink ref="J966" r:id="rId956" display="24231638" xr:uid="{185D9289-238B-4AF5-A953-E19295374B38}"/>
    <hyperlink ref="J971" r:id="rId957" display="557745462" xr:uid="{51995138-DCE6-4D24-9C6D-2D5B6D30A9BB}"/>
    <hyperlink ref="J972" r:id="rId958" display="557743561" xr:uid="{93E22738-7CA1-4970-AF33-B41FE1C6545D}"/>
    <hyperlink ref="J973" r:id="rId959" display="557744493" xr:uid="{2C744F44-CDCB-405A-90FA-17E57D180E11}"/>
    <hyperlink ref="J976" r:id="rId960" display="557744051" xr:uid="{7667167D-E44E-4AE7-80E2-57D7A1BA773B}"/>
    <hyperlink ref="J975" r:id="rId961" display="557744832" xr:uid="{AB12DA12-C861-42E4-B7F2-FFBE29901DAB}"/>
    <hyperlink ref="J978" r:id="rId962" display="557744821" xr:uid="{8F6A803D-C105-4B04-BBF1-E436308346A2}"/>
    <hyperlink ref="J977" r:id="rId963" display="557743340" xr:uid="{F5A9B06F-4A23-4E44-9A32-A7D4033FCDEB}"/>
    <hyperlink ref="J979" r:id="rId964" display="557743944" xr:uid="{3DD42C7E-2A93-4C7A-B4BF-F6B51F248BC9}"/>
    <hyperlink ref="J980" r:id="rId965" display="557744040" xr:uid="{28F95227-BDDD-4B05-A035-077274077022}"/>
    <hyperlink ref="J981" r:id="rId966" display="59739015762" xr:uid="{DCFCB12F-21CE-472F-8EDE-0BAAE5ACD25E}"/>
    <hyperlink ref="J982" r:id="rId967" display="557744434" xr:uid="{ADAC5CFB-8CD2-4EAA-B8AC-CCA331EEF5E8}"/>
    <hyperlink ref="J983" r:id="rId968" display="557744891" xr:uid="{C566933E-22BE-4DE5-9E9E-7175C43B9B4A}"/>
    <hyperlink ref="J984" r:id="rId969" display="557745090" xr:uid="{9F19B14F-1FAB-4934-90DB-661512ECB545}"/>
    <hyperlink ref="J987" r:id="rId970" display="557743863" xr:uid="{729C8B48-3ACD-44F5-8921-C1C71B3EA7C6}"/>
    <hyperlink ref="J986" r:id="rId971" display="557745204" xr:uid="{A4F6989F-0A32-4E6D-989A-8529FEB01C4C}"/>
    <hyperlink ref="J989" r:id="rId972" display="557744946" xr:uid="{29DF2A24-DE65-4137-AD16-3EAC91495652}"/>
    <hyperlink ref="J991" r:id="rId973" display="557745171" xr:uid="{3EF54DA9-3298-413D-A732-953279F12D2F}"/>
    <hyperlink ref="J992" r:id="rId974" display="557745366" xr:uid="{0FB77BE0-462D-42E0-AE46-D0FF852C7C0C}"/>
    <hyperlink ref="J993" r:id="rId975" display="557744692" xr:uid="{18C13057-29DA-4464-A0D8-26D6C4D4B44D}"/>
    <hyperlink ref="J994" r:id="rId976" display="557744972" xr:uid="{5BBEE3E8-6A7A-4534-A139-29DA127B3CB3}"/>
    <hyperlink ref="J996" r:id="rId977" display="557743281" xr:uid="{F7C53584-3EFB-4C89-9EE4-E7E901AE8DA3}"/>
    <hyperlink ref="J998" r:id="rId978" display="557748041" xr:uid="{3F3AFE01-06C4-4C8C-949F-F8ECA8B45E21}"/>
    <hyperlink ref="J1000" r:id="rId979" display="557749570" xr:uid="{588EBCDB-C72F-4935-84C8-AAA1CC95A443}"/>
    <hyperlink ref="J1001" r:id="rId980" display="24249772" xr:uid="{33C93C79-6CB1-4FCB-8907-0C3FCA9A5195}"/>
    <hyperlink ref="J999" r:id="rId981" display="557752716" xr:uid="{B2AF5AC0-9DAA-4840-BF3B-6C3B31698A23}"/>
    <hyperlink ref="J1002" r:id="rId982" display="24250526" xr:uid="{6D36CC2C-6B34-45B1-88B8-1298B28D7B31}"/>
    <hyperlink ref="J970" r:id="rId983" display="24230145" xr:uid="{7B93D6C8-23AA-4BC4-8BA2-7B91BF10CDF6}"/>
    <hyperlink ref="J1003" r:id="rId984" display="557748391" xr:uid="{7511C0F1-1BB4-4D3E-AEF3-C70C40096906}"/>
    <hyperlink ref="J1004" r:id="rId985" display="5057002852" xr:uid="{F12F601E-5D37-4C9F-8408-6460866EB55E}"/>
    <hyperlink ref="J1005" r:id="rId986" display="00034914310" xr:uid="{AAF34F07-C0DC-454D-BBE9-6ABC1CED27A6}"/>
    <hyperlink ref="J1006" r:id="rId987" display="5057002874" xr:uid="{E00B53DA-F310-43B1-A374-C86A3E5F4F2E}"/>
    <hyperlink ref="J1008" r:id="rId988" display="24263091" xr:uid="{ED872773-2CA9-48B9-B670-EE55CED49142}"/>
    <hyperlink ref="J968" r:id="rId989" display="606855211" xr:uid="{95E496EA-2E19-4019-B079-EA007FA6F239}"/>
    <hyperlink ref="J1012" r:id="rId990" display="24255384" xr:uid="{B015C4CC-902C-4C59-A372-0CBADC4C4C78}"/>
    <hyperlink ref="J1017" r:id="rId991" display="5057002937" xr:uid="{28C00FF9-3CBE-43D8-B642-F1EEDE98F1B4}"/>
    <hyperlink ref="J1013" r:id="rId992" display="24281913" xr:uid="{FFD0FDA3-8E3C-4419-9C1D-DADAD6EF10AD}"/>
    <hyperlink ref="J1014" r:id="rId993" display="24279799" xr:uid="{C1F67A34-6B3F-44B1-9B1E-0FB7C343F062}"/>
    <hyperlink ref="J1015" r:id="rId994" display="24280502" xr:uid="{64CEDAF0-641C-4902-A843-8DF7ECA80F93}"/>
    <hyperlink ref="J1016" r:id="rId995" display="24280315" xr:uid="{0EECE2AB-0059-4DE1-B3CA-EC5694F7882A}"/>
    <hyperlink ref="J1021" r:id="rId996" display="24292859" xr:uid="{31133A36-AFC8-476B-80F6-909DFDDD2FB4}"/>
    <hyperlink ref="J1020" r:id="rId997" display="24291258" xr:uid="{B32C4C1C-DA69-4488-BF54-54BAD02932EC}"/>
    <hyperlink ref="J1019" r:id="rId998" display="5057002978" xr:uid="{1034E41C-1ED5-4AED-A0AB-DCD52593752F}"/>
    <hyperlink ref="J1018" r:id="rId999" display="5057002984" xr:uid="{95A75C2D-7068-4B19-8135-51B44887CA4B}"/>
    <hyperlink ref="J1011" r:id="rId1000" display="557748085" xr:uid="{DA13208F-9DB8-4F4F-BD8C-49355821BD9C}"/>
    <hyperlink ref="J1010" r:id="rId1001" display="557751165" xr:uid="{36178AF0-DDE3-4525-8244-847E0A521255}"/>
    <hyperlink ref="J1009" r:id="rId1002" display="557750303" xr:uid="{9BF0F9F1-62CB-4C23-9F42-7357E1B5CC13}"/>
    <hyperlink ref="J1007" r:id="rId1003" display="557752451" xr:uid="{D4C47120-B42B-4772-9EB7-2CD32DDEEF47}"/>
    <hyperlink ref="J997" r:id="rId1004" display="557744213" xr:uid="{C60236A8-A625-422E-96D1-1DF4A062EDF4}"/>
    <hyperlink ref="J995" r:id="rId1005" display="557745370" xr:uid="{D9233468-D2CB-4CAA-9882-7048B98A3DCF}"/>
    <hyperlink ref="J990" r:id="rId1006" display="557744530" xr:uid="{0C0F1569-D741-4546-A0B7-4C995CF997CF}"/>
    <hyperlink ref="J988" r:id="rId1007" display="557743734" xr:uid="{A5482846-99AC-46DD-9D2F-E4BF13F8A9C7}"/>
    <hyperlink ref="J985" r:id="rId1008" display="557745602" xr:uid="{D06E6FF9-BC1B-4190-88C7-011EE4D2B24F}"/>
    <hyperlink ref="J974" r:id="rId1009" display="557745241" xr:uid="{82A8B924-57FA-4731-81C8-68FE48153381}"/>
    <hyperlink ref="J1022" r:id="rId1010" display="557759241" xr:uid="{8BF1C361-3E90-4CC9-B942-1427F411BCBF}"/>
    <hyperlink ref="J1023" r:id="rId1011" display="5057002918" xr:uid="{07526EDE-4D67-4F1D-A8D4-C9B1B070E0E0}"/>
    <hyperlink ref="J1025" r:id="rId1012" display="24281064" xr:uid="{5425D25F-5882-4E64-BE20-886E6EBEA594}"/>
    <hyperlink ref="J1024" r:id="rId1013" display="24318045" xr:uid="{13E293F5-742C-4275-84C6-6D77246FF465}"/>
    <hyperlink ref="J1026" r:id="rId1014" display="00037410800" xr:uid="{742D5DC7-A0F2-4FBC-BE99-80C50C29E486}"/>
    <hyperlink ref="J1027" r:id="rId1015" display="557762155" xr:uid="{C9B8B54C-1EC1-4CBD-8FF4-C41578BD5A0F}"/>
    <hyperlink ref="J1028" r:id="rId1016" display="82262035" xr:uid="{4B0325C5-62D5-4C48-8DAB-3FBDCF50158A}"/>
    <hyperlink ref="J1029" r:id="rId1017" display="00037410836" xr:uid="{B4914023-8688-48E3-93CC-0C1A4E24D554}"/>
    <hyperlink ref="J1030" r:id="rId1018" display="557763581" xr:uid="{1CFA708C-54D6-4EEA-BB73-9295D3DAB262}"/>
    <hyperlink ref="J1031" r:id="rId1019" display="00037410852" xr:uid="{EE121B29-DC5F-4ACF-96CA-810A68B8F229}"/>
    <hyperlink ref="J1032" r:id="rId1020" display="00037410853" xr:uid="{344AF15B-227D-461A-B05C-7C1A0DFE9D61}"/>
    <hyperlink ref="J1033" r:id="rId1021" display="82262048" xr:uid="{9A6A4CF4-30AB-460B-9EB5-B761A8BD35B8}"/>
    <hyperlink ref="J1034" r:id="rId1022" display="557770124" xr:uid="{A960F0EC-505A-46A5-9B9D-DE6035F86A9D}"/>
    <hyperlink ref="J1035" r:id="rId1023" display="557769483" xr:uid="{F54382AB-FC92-469A-AC64-37E45E15E9DC}"/>
    <hyperlink ref="J1036" r:id="rId1024" display="557770161" xr:uid="{11C4B796-BD07-4B92-8761-A5358111C2E1}"/>
    <hyperlink ref="J1039" r:id="rId1025" display="312684120" xr:uid="{7191C62A-818D-48A2-B7DE-11CC6C8D6AA4}"/>
    <hyperlink ref="J1038" r:id="rId1026" display="24360599" xr:uid="{55552BA5-EDBA-475A-B821-2DF1B2EE22DE}"/>
    <hyperlink ref="J1037" r:id="rId1027" display="5057003047" xr:uid="{028EF65B-A9CE-45B5-8C95-4BED3203B74A}"/>
    <hyperlink ref="J1040" r:id="rId1028" display="24366482" xr:uid="{455FCEC5-AE42-4F50-B110-7F6618355C1B}"/>
    <hyperlink ref="J1041" r:id="rId1029" display="557773215" xr:uid="{A25BD483-16EB-4A8A-9C9C-C65F38BC7640}"/>
    <hyperlink ref="J1042" r:id="rId1030" display="557777216" xr:uid="{04CA96A0-717B-4053-9B77-2C996224B3AD}"/>
    <hyperlink ref="J1043" r:id="rId1031" display="5057003053" xr:uid="{D5150C44-C1AA-437A-8AFA-8397B7926F2E}"/>
    <hyperlink ref="J1045" r:id="rId1032" display="5057003080" xr:uid="{B2D5F164-6625-49B8-B0FC-FA3232160256}"/>
    <hyperlink ref="J1046" r:id="rId1033" display="24406957" xr:uid="{5C205F5E-62C7-4220-BC34-09E392946F2A}"/>
    <hyperlink ref="J1044" r:id="rId1034" display="557780344" xr:uid="{D57C2434-BC9E-445A-AA80-FA8C1725D79F}"/>
    <hyperlink ref="J1047" r:id="rId1035" display="24430680" xr:uid="{5933C70B-2079-4FDB-B404-2DC69AC6BDBB}"/>
    <hyperlink ref="J1048" r:id="rId1036" display="24434633" xr:uid="{B4B88560-2F31-4D14-A93A-CAFB2D5437AD}"/>
  </hyperlinks>
  <pageMargins left="0.7" right="0.7" top="0.75" bottom="0.75" header="0.3" footer="0.3"/>
  <pageSetup orientation="portrait"/>
  <ignoredErrors>
    <ignoredError sqref="AI2:AI14 AI249:AI265 AI509:AI527 AI163:AI214 J2:J18 J20:J26 J29:J47 J50:J58 J60:J61 J63:J64 J66:J69 J72:J73 J75:J79 J81 J83:J87 J89 J91:J93 J95:J109 J111:J114 J116:J134 J163:J179 J181 J183:J196 J198:J221 J223 J225:J240 J243:J246 J509:J527 J136:J157 AI16:AI157 J158:J161 AI158:AI161 J248:J507 AI267:AI507 AI216:AI247" numberStoredAsText="1"/>
    <ignoredError sqref="AH509:AH527 AH1:AH161 AH163:AH507" evalError="1"/>
  </ignoredErrors>
  <legacyDrawing r:id="rId103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AE2D7-10E1-4836-89DE-00FE1746CB77}">
  <dimension ref="A1:I114"/>
  <sheetViews>
    <sheetView workbookViewId="0">
      <selection activeCell="C16" sqref="C16"/>
    </sheetView>
  </sheetViews>
  <sheetFormatPr defaultRowHeight="14.45"/>
  <cols>
    <col min="1" max="1" width="50.5703125" bestFit="1" customWidth="1"/>
    <col min="2" max="2" width="17.7109375" bestFit="1" customWidth="1"/>
    <col min="3" max="3" width="26.28515625" bestFit="1" customWidth="1"/>
    <col min="4" max="4" width="12.7109375" bestFit="1" customWidth="1"/>
    <col min="5" max="5" width="20.7109375" bestFit="1" customWidth="1"/>
    <col min="6" max="6" width="11.140625" bestFit="1" customWidth="1"/>
    <col min="7" max="7" width="8.28515625" bestFit="1" customWidth="1"/>
    <col min="8" max="8" width="10.140625" customWidth="1"/>
  </cols>
  <sheetData>
    <row r="1" spans="1:9" ht="18">
      <c r="A1" s="189" t="s">
        <v>3531</v>
      </c>
    </row>
    <row r="2" spans="1:9">
      <c r="A2" s="190" t="s">
        <v>3532</v>
      </c>
    </row>
    <row r="4" spans="1:9" ht="18">
      <c r="A4" s="192" t="s">
        <v>3533</v>
      </c>
    </row>
    <row r="6" spans="1:9" ht="15.75">
      <c r="A6" s="193" t="s">
        <v>3534</v>
      </c>
      <c r="B6" s="199" t="s">
        <v>3535</v>
      </c>
      <c r="C6" s="199" t="s">
        <v>3536</v>
      </c>
      <c r="D6" s="199" t="s">
        <v>3537</v>
      </c>
      <c r="E6" s="199" t="s">
        <v>3538</v>
      </c>
      <c r="F6" s="199" t="s">
        <v>3539</v>
      </c>
      <c r="G6" s="199" t="s">
        <v>3540</v>
      </c>
      <c r="H6" s="199" t="s">
        <v>3541</v>
      </c>
      <c r="I6" s="199" t="s">
        <v>27</v>
      </c>
    </row>
    <row r="7" spans="1:9" ht="15.6">
      <c r="A7" s="191" t="s">
        <v>3542</v>
      </c>
      <c r="B7" s="195">
        <f>SUMIFS('2026 IB Shipments'!AB$1:AB$2239,'2026 IB Shipments'!K$1:K$2239,"&gt;="&amp;DATE(2026,1,1),'2026 IB Shipments'!K$1:K$2239,"&lt;"&amp;DATE(2026,2,1))</f>
        <v>31507.73</v>
      </c>
      <c r="C7" s="195">
        <f>SUMIFS('2026 IB Shipments'!AD$1:AD$2239,'2026 IB Shipments'!K$1:K$2239,"&gt;="&amp;DATE(2026,1,1),'2026 IB Shipments'!K$1:K$2239,"&lt;"&amp;DATE(2026,2,1))</f>
        <v>19011.159900000006</v>
      </c>
      <c r="D7" s="196">
        <f>SUMIFS('2026 IB Shipments'!V$1:V$2239,'2026 IB Shipments'!K$1:K$2239,"&gt;="&amp;DATE(2026,1,1),'2026 IB Shipments'!K$1:K$2239,"&lt;"&amp;DATE(2026,2,1))</f>
        <v>6242</v>
      </c>
      <c r="E7" s="195">
        <f>SUMIFS('2026 IB Shipments'!AE$1:AE$2239,'2026 IB Shipments'!K$1:K$2239,"&gt;="&amp;DATE(2026,1,1),'2026 IB Shipments'!K$1:K$2239,"&lt;"&amp;DATE(2026,2,1))</f>
        <v>2052454.2999999996</v>
      </c>
      <c r="F7" s="196">
        <f>COUNTIFS('2026 IB Shipments'!K$1:K$2239,"&gt;="&amp;DATE(2026,1,1),'2026 IB Shipments'!K$1:K$2239,"&lt;"&amp;DATE(2026,2,1))</f>
        <v>38</v>
      </c>
      <c r="G7" s="196">
        <f>SUMIFS('2026 IB Shipments'!U$1:U$2239,'2026 IB Shipments'!K$1:K$2239,"&gt;="&amp;DATE(2026,1,1),'2026 IB Shipments'!K$1:K$2239,"&lt;"&amp;DATE(2026,2,1))</f>
        <v>95</v>
      </c>
      <c r="H7" s="196">
        <f>SUMIFS('2026 IB Shipments'!S$1:S$2239,'2026 IB Shipments'!K$1:K$2239,"&gt;="&amp;DATE(2026,1,1),'2026 IB Shipments'!K$1:K$2239,"&lt;"&amp;DATE(2026,2,1))</f>
        <v>33424</v>
      </c>
      <c r="I7" s="215">
        <f>IFERROR(B7/D7,"")</f>
        <v>5.0476978532521626</v>
      </c>
    </row>
    <row r="8" spans="1:9" ht="15.6">
      <c r="A8" s="191" t="s">
        <v>3543</v>
      </c>
      <c r="B8" s="195">
        <f>SUMIFS('2026 IB Shipments'!AB$1:AB$2239,'2026 IB Shipments'!K$1:K$2239,"&gt;="&amp;DATE(2026,2,1),'2026 IB Shipments'!K$1:K$2239,"&lt;"&amp;DATE(2026,3,1))</f>
        <v>91896.219999999958</v>
      </c>
      <c r="C8" s="195">
        <f>SUMIFS('2026 IB Shipments'!AD$1:AD$2239,'2026 IB Shipments'!K$1:K$2239,"&gt;="&amp;DATE(2026,2,1),'2026 IB Shipments'!K$1:K$2239,"&lt;"&amp;DATE(2026,3,1))</f>
        <v>48665.880009999979</v>
      </c>
      <c r="D8" s="196">
        <f>SUMIFS('2026 IB Shipments'!V$1:V$2239,'2026 IB Shipments'!K$1:K$2239,"&gt;="&amp;DATE(2026,2,1),'2026 IB Shipments'!K$1:K$2239,"&lt;"&amp;DATE(2026,3,1))</f>
        <v>11006</v>
      </c>
      <c r="E8" s="195">
        <f>SUMIFS('2026 IB Shipments'!AE$1:AE$2239,'2026 IB Shipments'!K$1:K$2239,"&gt;="&amp;DATE(2026,2,1),'2026 IB Shipments'!K$1:K$2239,"&lt;"&amp;DATE(2026,3,1))</f>
        <v>4586844.9600000009</v>
      </c>
      <c r="F8" s="196">
        <f>COUNTIFS('2026 IB Shipments'!K$1:K$2239,"&gt;="&amp;DATE(2026,2,1),'2026 IB Shipments'!K$1:K$2239,"&lt;"&amp;DATE(2026,3,1))</f>
        <v>58</v>
      </c>
      <c r="G8" s="196">
        <f>SUMIFS('2026 IB Shipments'!U$1:U$2239,'2026 IB Shipments'!K$1:K$2239,"&gt;="&amp;DATE(2026,2,1),'2026 IB Shipments'!K$1:K$2239,"&lt;"&amp;DATE(2026,3,1))</f>
        <v>300</v>
      </c>
      <c r="H8" s="196">
        <f>SUMIFS('2026 IB Shipments'!S$1:S$2239,'2026 IB Shipments'!K$1:K$2239,"&gt;="&amp;DATE(2026,2,1),'2026 IB Shipments'!K$1:K$2239,"&lt;"&amp;DATE(2026,3,1))</f>
        <v>61153</v>
      </c>
      <c r="I8" s="215">
        <f>IFERROR(B8/D8,"")</f>
        <v>8.3496474650190766</v>
      </c>
    </row>
    <row r="9" spans="1:9" ht="15.6">
      <c r="A9" s="191" t="s">
        <v>3544</v>
      </c>
      <c r="B9" s="195">
        <f>SUMIFS('2026 IB Shipments'!AB$1:AB$2239,'2026 IB Shipments'!K$1:K$2239,"&gt;="&amp;DATE(2026,3,1),'2026 IB Shipments'!K$1:K$2239,"&lt;"&amp;DATE(2026,4,1))</f>
        <v>66310.410000000018</v>
      </c>
      <c r="C9" s="195">
        <f>SUMIFS('2026 IB Shipments'!AD$1:AD$2239,'2026 IB Shipments'!K$1:K$2239,"&gt;="&amp;DATE(2026,3,1),'2026 IB Shipments'!K$1:K$2239,"&lt;"&amp;DATE(2026,4,1))</f>
        <v>59716.149489999996</v>
      </c>
      <c r="D9" s="196">
        <f>SUMIFS('2026 IB Shipments'!V$1:V$2239,'2026 IB Shipments'!K$1:K$2239,"&gt;="&amp;DATE(2026,3,1),'2026 IB Shipments'!K$1:K$2239,"&lt;"&amp;DATE(2026,4,1))</f>
        <v>102423</v>
      </c>
      <c r="E9" s="195">
        <f>SUMIFS('2026 IB Shipments'!AE$1:AE$2239,'2026 IB Shipments'!K$1:K$2239,"&gt;="&amp;DATE(2026,3,1),'2026 IB Shipments'!K$1:K$2239,"&lt;"&amp;DATE(2026,4,1))</f>
        <v>8525914.6799999978</v>
      </c>
      <c r="F9" s="196">
        <f>COUNTIFS('2026 IB Shipments'!K$1:K$2239,"&gt;="&amp;DATE(2026,3,1),'2026 IB Shipments'!K$1:K$2239,"&lt;"&amp;DATE(2026,4,1))</f>
        <v>89</v>
      </c>
      <c r="G9" s="196">
        <f>SUMIFS('2026 IB Shipments'!U$1:U$2239,'2026 IB Shipments'!K$1:K$2239,"&gt;="&amp;DATE(2026,3,1),'2026 IB Shipments'!K$1:K$2239,"&lt;"&amp;DATE(2026,4,1))</f>
        <v>224</v>
      </c>
      <c r="H9" s="196">
        <f>SUMIFS('2026 IB Shipments'!S$1:S$2239,'2026 IB Shipments'!K$1:K$2239,"&gt;="&amp;DATE(2026,3,1),'2026 IB Shipments'!K$1:K$2239,"&lt;"&amp;DATE(2026,4,1))</f>
        <v>81295</v>
      </c>
      <c r="I9" s="215">
        <f>IFERROR(B9/D9,"")</f>
        <v>0.64741718168770701</v>
      </c>
    </row>
    <row r="10" spans="1:9" ht="15.6">
      <c r="A10" s="191" t="s">
        <v>3545</v>
      </c>
      <c r="B10" s="195">
        <f>SUMIFS('2026 IB Shipments'!AB$1:AB$2239,'2026 IB Shipments'!K$1:K$2239,"&gt;="&amp;DATE(2026,4,1),'2026 IB Shipments'!K$1:K$2239,"&lt;"&amp;DATE(2026,5,1))</f>
        <v>120673.24999999997</v>
      </c>
      <c r="C10" s="195">
        <f>SUMIFS('2026 IB Shipments'!AD$1:AD$2239,'2026 IB Shipments'!K$1:K$2239,"&gt;="&amp;DATE(2026,4,1),'2026 IB Shipments'!K$1:K$2239,"&lt;"&amp;DATE(2026,5,1))</f>
        <v>72648.607499999998</v>
      </c>
      <c r="D10" s="196">
        <f>SUMIFS('2026 IB Shipments'!V$1:V$2239,'2026 IB Shipments'!K$1:K$2239,"&gt;="&amp;DATE(2026,4,1),'2026 IB Shipments'!K$1:K$2239,"&lt;"&amp;DATE(2026,5,1))</f>
        <v>128203</v>
      </c>
      <c r="E10" s="195">
        <f>SUMIFS('2026 IB Shipments'!AE$1:AE$2239,'2026 IB Shipments'!K$1:K$2239,"&gt;="&amp;DATE(2026,4,1),'2026 IB Shipments'!K$1:K$2239,"&lt;"&amp;DATE(2026,5,1))</f>
        <v>13580943.244000001</v>
      </c>
      <c r="F10" s="196">
        <f>COUNTIFS('2026 IB Shipments'!K$1:K$2239,"&gt;="&amp;DATE(2026,4,1),'2026 IB Shipments'!K$1:K$2239,"&lt;"&amp;DATE(2026,5,1))</f>
        <v>112</v>
      </c>
      <c r="G10" s="196">
        <f>SUMIFS('2026 IB Shipments'!U$1:U$2239,'2026 IB Shipments'!K$1:K$2239,"&gt;="&amp;DATE(2026,4,1),'2026 IB Shipments'!K$1:K$2239,"&lt;"&amp;DATE(2026,5,1))</f>
        <v>555</v>
      </c>
      <c r="H10" s="196">
        <f>SUMIFS('2026 IB Shipments'!S$1:S$2239,'2026 IB Shipments'!K$1:K$2239,"&gt;="&amp;DATE(2026,4,1),'2026 IB Shipments'!K$1:K$2239,"&lt;"&amp;DATE(2026,5,1))</f>
        <v>120905</v>
      </c>
      <c r="I10" s="215">
        <f>IFERROR(B10/D10,"")</f>
        <v>0.94126697503178525</v>
      </c>
    </row>
    <row r="11" spans="1:9" ht="15.6">
      <c r="A11" s="191" t="s">
        <v>3546</v>
      </c>
      <c r="B11" s="195">
        <f>SUMIFS('2026 IB Shipments'!AB$1:AB$2239,'2026 IB Shipments'!K$1:K$2239,"&gt;="&amp;DATE(2026,5,1),'2026 IB Shipments'!K$1:K$2239,"&lt;"&amp;DATE(2026,6,1))</f>
        <v>104180.98999999998</v>
      </c>
      <c r="C11" s="195">
        <f>SUMIFS('2026 IB Shipments'!AD$1:AD$2239,'2026 IB Shipments'!K$1:K$2239,"&gt;="&amp;DATE(2026,5,1),'2026 IB Shipments'!K$1:K$2239,"&lt;"&amp;DATE(2026,6,1))</f>
        <v>54262.79641999997</v>
      </c>
      <c r="D11" s="196">
        <f>SUMIFS('2026 IB Shipments'!V$1:V$2239,'2026 IB Shipments'!K$1:K$2239,"&gt;="&amp;DATE(2026,5,1),'2026 IB Shipments'!K$1:K$2239,"&lt;"&amp;DATE(2026,6,1))</f>
        <v>118980</v>
      </c>
      <c r="E11" s="195">
        <f>SUMIFS('2026 IB Shipments'!AE$1:AE$2239,'2026 IB Shipments'!K$1:K$2239,"&gt;="&amp;DATE(2026,5,1),'2026 IB Shipments'!K$1:K$2239,"&lt;"&amp;DATE(2026,6,1))</f>
        <v>6710413.8510000017</v>
      </c>
      <c r="F11" s="196">
        <f>COUNTIFS('2026 IB Shipments'!K$1:K$2239,"&gt;="&amp;DATE(2026,5,1),'2026 IB Shipments'!K$1:K$2239,"&lt;"&amp;DATE(2026,6,1))</f>
        <v>104</v>
      </c>
      <c r="G11" s="196">
        <f>SUMIFS('2026 IB Shipments'!U$1:U$2239,'2026 IB Shipments'!K$1:K$2239,"&gt;="&amp;DATE(2026,5,1),'2026 IB Shipments'!K$1:K$2239,"&lt;"&amp;DATE(2026,6,1))</f>
        <v>394</v>
      </c>
      <c r="H11" s="196">
        <f>SUMIFS('2026 IB Shipments'!S$1:S$2239,'2026 IB Shipments'!K$1:K$2239,"&gt;="&amp;DATE(2026,5,1),'2026 IB Shipments'!K$1:K$2239,"&lt;"&amp;DATE(2026,6,1))</f>
        <v>121229.09999999999</v>
      </c>
      <c r="I11" s="215">
        <f>IFERROR(B11/D11,"")</f>
        <v>0.87561766683476194</v>
      </c>
    </row>
    <row r="12" spans="1:9" ht="15.6">
      <c r="A12" s="191" t="s">
        <v>3547</v>
      </c>
      <c r="B12" s="195">
        <f>SUMIFS('2026 IB Shipments'!AB$1:AB$2239,'2026 IB Shipments'!K$1:K$2239,"&gt;="&amp;DATE(2026,6,1),'2026 IB Shipments'!K$1:K$2239,"&lt;"&amp;DATE(2026,7,1))</f>
        <v>210263.11000000002</v>
      </c>
      <c r="C12" s="195">
        <f>SUMIFS('2026 IB Shipments'!AD$1:AD$2239,'2026 IB Shipments'!K$1:K$2239,"&gt;="&amp;DATE(2026,6,1),'2026 IB Shipments'!K$1:K$2239,"&lt;"&amp;DATE(2026,7,1))</f>
        <v>137277.87809000004</v>
      </c>
      <c r="D12" s="196">
        <f>SUMIFS('2026 IB Shipments'!V$1:V$2239,'2026 IB Shipments'!K$1:K$2239,"&gt;="&amp;DATE(2026,6,1),'2026 IB Shipments'!K$1:K$2239,"&lt;"&amp;DATE(2026,7,1))</f>
        <v>123897</v>
      </c>
      <c r="E12" s="195">
        <f>SUMIFS('2026 IB Shipments'!AE$1:AE$2239,'2026 IB Shipments'!K$1:K$2239,"&gt;="&amp;DATE(2026,6,1),'2026 IB Shipments'!K$1:K$2239,"&lt;"&amp;DATE(2026,7,1))</f>
        <v>9134237.7499999963</v>
      </c>
      <c r="F12" s="196">
        <f>COUNTIFS('2026 IB Shipments'!K$1:K$2239,"&gt;="&amp;DATE(2026,6,1),'2026 IB Shipments'!K$1:K$2239,"&lt;"&amp;DATE(2026,7,1))</f>
        <v>129</v>
      </c>
      <c r="G12" s="196">
        <f>SUMIFS('2026 IB Shipments'!U$1:U$2239,'2026 IB Shipments'!K$1:K$2239,"&gt;="&amp;DATE(2026,6,1),'2026 IB Shipments'!K$1:K$2239,"&lt;"&amp;DATE(2026,7,1))</f>
        <v>430</v>
      </c>
      <c r="H12" s="196">
        <f>SUMIFS('2026 IB Shipments'!S$1:S$2239,'2026 IB Shipments'!K$1:K$2239,"&gt;="&amp;DATE(2026,6,1),'2026 IB Shipments'!K$1:K$2239,"&lt;"&amp;DATE(2026,7,1))</f>
        <v>154964.90000000002</v>
      </c>
      <c r="I12" s="215">
        <f>IFERROR(B12/D12,"")</f>
        <v>1.697079913153668</v>
      </c>
    </row>
    <row r="13" spans="1:9" ht="15.6">
      <c r="A13" s="191" t="s">
        <v>3548</v>
      </c>
      <c r="B13" s="195">
        <f>SUMIFS('2026 IB Shipments'!AB$1:AB$2239,'2026 IB Shipments'!K$1:K$2239,"&gt;="&amp;DATE(2026,7,1),'2026 IB Shipments'!K$1:K$2239,"&lt;"&amp;DATE(2026,8,1))</f>
        <v>245178.80000000025</v>
      </c>
      <c r="C13" s="195">
        <f>SUMIFS('2026 IB Shipments'!AD$1:AD$2239,'2026 IB Shipments'!K$1:K$2239,"&gt;="&amp;DATE(2026,7,1),'2026 IB Shipments'!K$1:K$2239,"&lt;"&amp;DATE(2026,8,1))</f>
        <v>179782.74307</v>
      </c>
      <c r="D13" s="196">
        <f>SUMIFS('2026 IB Shipments'!V$1:V$2239,'2026 IB Shipments'!K$1:K$2239,"&gt;="&amp;DATE(2026,7,1),'2026 IB Shipments'!K$1:K$2239,"&lt;"&amp;DATE(2026,8,1))</f>
        <v>32066</v>
      </c>
      <c r="E13" s="195">
        <f>SUMIFS('2026 IB Shipments'!AE$1:AE$2239,'2026 IB Shipments'!K$1:K$2239,"&gt;="&amp;DATE(2026,7,1),'2026 IB Shipments'!K$1:K$2239,"&lt;"&amp;DATE(2026,8,1))</f>
        <v>12020482.600000003</v>
      </c>
      <c r="F13" s="196">
        <f>COUNTIFS('2026 IB Shipments'!K$1:K$2239,"&gt;="&amp;DATE(2026,7,1),'2026 IB Shipments'!K$1:K$2239,"&lt;"&amp;DATE(2026,8,1))</f>
        <v>199</v>
      </c>
      <c r="G13" s="196">
        <f>SUMIFS('2026 IB Shipments'!U$1:U$2239,'2026 IB Shipments'!K$1:K$2239,"&gt;="&amp;DATE(2026,7,1),'2026 IB Shipments'!K$1:K$2239,"&lt;"&amp;DATE(2026,8,1))</f>
        <v>364</v>
      </c>
      <c r="H13" s="196">
        <f>SUMIFS('2026 IB Shipments'!S$1:S$2239,'2026 IB Shipments'!K$1:K$2239,"&gt;="&amp;DATE(2026,7,1),'2026 IB Shipments'!K$1:K$2239,"&lt;"&amp;DATE(2026,8,1))</f>
        <v>207782.99999999997</v>
      </c>
      <c r="I13" s="215">
        <f>IFERROR(B13/D13,"")</f>
        <v>7.6460674858105238</v>
      </c>
    </row>
    <row r="14" spans="1:9" ht="15.6">
      <c r="A14" s="191" t="s">
        <v>3549</v>
      </c>
      <c r="B14" s="195">
        <f>SUMIFS('2026 IB Shipments'!AB$1:AB$2239,'2026 IB Shipments'!K$1:K$2239,"&gt;="&amp;DATE(2026,8,1),'2026 IB Shipments'!K$1:K$2239,"&lt;"&amp;DATE(2026,9,1))</f>
        <v>133991.36999999997</v>
      </c>
      <c r="C14" s="195">
        <f>SUMIFS('2026 IB Shipments'!AD$1:AD$2239,'2026 IB Shipments'!K$1:K$2239,"&gt;="&amp;DATE(2026,8,1),'2026 IB Shipments'!K$1:K$2239,"&lt;"&amp;DATE(2026,9,1))</f>
        <v>90808.204559999998</v>
      </c>
      <c r="D14" s="196">
        <f>SUMIFS('2026 IB Shipments'!V$1:V$2239,'2026 IB Shipments'!K$1:K$2239,"&gt;="&amp;DATE(2026,8,1),'2026 IB Shipments'!K$1:K$2239,"&lt;"&amp;DATE(2026,9,1))</f>
        <v>121106</v>
      </c>
      <c r="E14" s="195">
        <f>SUMIFS('2026 IB Shipments'!AE$1:AE$2239,'2026 IB Shipments'!K$1:K$2239,"&gt;="&amp;DATE(2026,8,1),'2026 IB Shipments'!K$1:K$2239,"&lt;"&amp;DATE(2026,9,1))</f>
        <v>11135096.460000003</v>
      </c>
      <c r="F14" s="196">
        <f>COUNTIFS('2026 IB Shipments'!K$1:K$2239,"&gt;="&amp;DATE(2026,8,1),'2026 IB Shipments'!K$1:K$2239,"&lt;"&amp;DATE(2026,9,1))</f>
        <v>124</v>
      </c>
      <c r="G14" s="196">
        <f>SUMIFS('2026 IB Shipments'!U$1:U$2239,'2026 IB Shipments'!K$1:K$2239,"&gt;="&amp;DATE(2026,8,1),'2026 IB Shipments'!K$1:K$2239,"&lt;"&amp;DATE(2026,9,1))</f>
        <v>322</v>
      </c>
      <c r="H14" s="196">
        <f>SUMIFS('2026 IB Shipments'!S$1:S$2239,'2026 IB Shipments'!K$1:K$2239,"&gt;="&amp;DATE(2026,8,1),'2026 IB Shipments'!K$1:K$2239,"&lt;"&amp;DATE(2026,9,1))</f>
        <v>129441.70000000001</v>
      </c>
      <c r="I14" s="215">
        <f>IFERROR(B14/D14,"")</f>
        <v>1.1063974534705132</v>
      </c>
    </row>
    <row r="15" spans="1:9" ht="15.6">
      <c r="A15" s="191" t="s">
        <v>3550</v>
      </c>
      <c r="B15" s="195">
        <f>SUMIFS('2026 IB Shipments'!AB$1:AB$2239,'2026 IB Shipments'!K$1:K$2239,"&gt;="&amp;DATE(2026,9,1),'2026 IB Shipments'!K$1:K$2239,"&lt;"&amp;DATE(2026,10,1))</f>
        <v>164559.21999999997</v>
      </c>
      <c r="C15" s="195">
        <f>SUMIFS('2026 IB Shipments'!AD$1:AD$2239,'2026 IB Shipments'!K$1:K$2239,"&gt;="&amp;DATE(2026,9,1),'2026 IB Shipments'!K$1:K$2239,"&lt;"&amp;DATE(2026,10,1))</f>
        <v>124575.30292999998</v>
      </c>
      <c r="D15" s="196">
        <f>SUMIFS('2026 IB Shipments'!V$1:V$2239,'2026 IB Shipments'!K$1:K$2239,"&gt;="&amp;DATE(2026,9,1),'2026 IB Shipments'!K$1:K$2239,"&lt;"&amp;DATE(2026,10,1))</f>
        <v>176540</v>
      </c>
      <c r="E15" s="195">
        <f>SUMIFS('2026 IB Shipments'!AE$1:AE$2239,'2026 IB Shipments'!K$1:K$2239,"&gt;="&amp;DATE(2026,9,1),'2026 IB Shipments'!K$1:K$2239,"&lt;"&amp;DATE(2026,10,1))</f>
        <v>11153944.889999995</v>
      </c>
      <c r="F15" s="196">
        <f>COUNTIFS('2026 IB Shipments'!K$1:K$2239,"&gt;="&amp;DATE(2026,9,1),'2026 IB Shipments'!K$1:K$2239,"&lt;"&amp;DATE(2026,10,1))</f>
        <v>164</v>
      </c>
      <c r="G15" s="196">
        <f>SUMIFS('2026 IB Shipments'!U$1:U$2239,'2026 IB Shipments'!K$1:K$2239,"&gt;="&amp;DATE(2026,9,1),'2026 IB Shipments'!K$1:K$2239,"&lt;"&amp;DATE(2026,10,1))</f>
        <v>349</v>
      </c>
      <c r="H15" s="196">
        <f>SUMIFS('2026 IB Shipments'!S$1:S$2239,'2026 IB Shipments'!K$1:K$2239,"&gt;="&amp;DATE(2026,9,1),'2026 IB Shipments'!K$1:K$2239,"&lt;"&amp;DATE(2026,10,1))</f>
        <v>146337.29999999999</v>
      </c>
      <c r="I15" s="215">
        <f>IFERROR(B15/D15,"")</f>
        <v>0.93213560666137973</v>
      </c>
    </row>
    <row r="16" spans="1:9" ht="15.6">
      <c r="A16" s="191" t="s">
        <v>3551</v>
      </c>
      <c r="B16" s="195">
        <f>SUMIFS('2026 IB Shipments'!AB$1:AB$2239,'2026 IB Shipments'!K$1:K$2239,"&gt;="&amp;DATE(2026,10,1),'2026 IB Shipments'!K$1:K$2239,"&lt;"&amp;DATE(2026,11,1))</f>
        <v>46293.459999999992</v>
      </c>
      <c r="C16" s="195">
        <f>SUMIFS('2026 IB Shipments'!AD$1:AD$2239,'2026 IB Shipments'!K$1:K$2239,"&gt;="&amp;DATE(2026,10,1),'2026 IB Shipments'!K$1:K$2239,"&lt;"&amp;DATE(2026,11,1))</f>
        <v>24668.830739999998</v>
      </c>
      <c r="D16" s="196">
        <f>SUMIFS('2026 IB Shipments'!V$1:V$2239,'2026 IB Shipments'!K$1:K$2239,"&gt;="&amp;DATE(2026,10,1),'2026 IB Shipments'!K$1:K$2239,"&lt;"&amp;DATE(2026,11,1))</f>
        <v>124910</v>
      </c>
      <c r="E16" s="195">
        <f>SUMIFS('2026 IB Shipments'!AE$1:AE$2239,'2026 IB Shipments'!K$1:K$2239,"&gt;="&amp;DATE(2026,10,1),'2026 IB Shipments'!K$1:K$2239,"&lt;"&amp;DATE(2026,11,1))</f>
        <v>4550482.79</v>
      </c>
      <c r="F16" s="196">
        <f>COUNTIFS('2026 IB Shipments'!K$1:K$2239,"&gt;="&amp;DATE(2026,10,1),'2026 IB Shipments'!K$1:K$2239,"&lt;"&amp;DATE(2026,11,1))</f>
        <v>32</v>
      </c>
      <c r="G16" s="196">
        <f>SUMIFS('2026 IB Shipments'!U$1:U$2239,'2026 IB Shipments'!K$1:K$2239,"&gt;="&amp;DATE(2026,10,1),'2026 IB Shipments'!K$1:K$2239,"&lt;"&amp;DATE(2026,11,1))</f>
        <v>104</v>
      </c>
      <c r="H16" s="196">
        <f>SUMIFS('2026 IB Shipments'!S$1:S$2239,'2026 IB Shipments'!K$1:K$2239,"&gt;="&amp;DATE(2026,10,1),'2026 IB Shipments'!K$1:K$2239,"&lt;"&amp;DATE(2026,11,1))</f>
        <v>31024.1</v>
      </c>
      <c r="I16" s="215">
        <f>IFERROR(B16/D16,"")</f>
        <v>0.37061452245616838</v>
      </c>
    </row>
    <row r="17" spans="1:9" ht="15.6">
      <c r="A17" s="191" t="s">
        <v>3552</v>
      </c>
      <c r="B17" s="195">
        <f>SUMIFS('2026 IB Shipments'!AB$1:AB$2239,'2026 IB Shipments'!K$1:K$2239,"&gt;="&amp;DATE(2026,11,1),'2026 IB Shipments'!K$1:K$2239,"&lt;"&amp;DATE(2026,12,1))</f>
        <v>0</v>
      </c>
      <c r="C17" s="195">
        <f>SUMIFS('2026 IB Shipments'!AD$1:AD$2239,'2026 IB Shipments'!K$1:K$2239,"&gt;="&amp;DATE(2026,11,1),'2026 IB Shipments'!K$1:K$2239,"&lt;"&amp;DATE(2026,12,1))</f>
        <v>0</v>
      </c>
      <c r="D17" s="196">
        <f>SUMIFS('2026 IB Shipments'!V$1:V$2239,'2026 IB Shipments'!K$1:K$2239,"&gt;="&amp;DATE(2026,11,1),'2026 IB Shipments'!K$1:K$2239,"&lt;"&amp;DATE(2026,12,1))</f>
        <v>0</v>
      </c>
      <c r="E17" s="195">
        <f>SUMIFS('2026 IB Shipments'!AE$1:AE$2239,'2026 IB Shipments'!K$1:K$2239,"&gt;="&amp;DATE(2026,11,1),'2026 IB Shipments'!K$1:K$2239,"&lt;"&amp;DATE(2026,12,1))</f>
        <v>0</v>
      </c>
      <c r="F17" s="196">
        <f>COUNTIFS('2026 IB Shipments'!K$1:K$2239,"&gt;="&amp;DATE(2026,11,1),'2026 IB Shipments'!K$1:K$2239,"&lt;"&amp;DATE(2026,12,1))</f>
        <v>0</v>
      </c>
      <c r="G17" s="196">
        <f>SUMIFS('2026 IB Shipments'!U$1:U$2239,'2026 IB Shipments'!K$1:K$2239,"&gt;="&amp;DATE(2026,11,1),'2026 IB Shipments'!K$1:K$2239,"&lt;"&amp;DATE(2026,12,1))</f>
        <v>0</v>
      </c>
      <c r="H17" s="196">
        <f>SUMIFS('2026 IB Shipments'!S$1:S$2239,'2026 IB Shipments'!K$1:K$2239,"&gt;="&amp;DATE(2026,11,1),'2026 IB Shipments'!K$1:K$2239,"&lt;"&amp;DATE(2026,12,1))</f>
        <v>0</v>
      </c>
      <c r="I17" s="215" t="str">
        <f>IFERROR(B17/D17,"")</f>
        <v/>
      </c>
    </row>
    <row r="18" spans="1:9" ht="15.6">
      <c r="A18" s="191" t="s">
        <v>3553</v>
      </c>
      <c r="B18" s="195">
        <f>SUMIFS('2026 IB Shipments'!AB$1:AB$2239,'2026 IB Shipments'!K$1:K$2239,"&gt;="&amp;DATE(2026,12,1),'2026 IB Shipments'!K$1:K$2239,"&lt;"&amp;DATE(2026,13,1))</f>
        <v>0</v>
      </c>
      <c r="C18" s="195">
        <f>SUMIFS('2026 IB Shipments'!AD$1:AD$2239,'2026 IB Shipments'!K$1:K$2239,"&gt;="&amp;DATE(2026,12,1),'2026 IB Shipments'!K$1:K$2239,"&lt;"&amp;DATE(2026,13,1))</f>
        <v>0</v>
      </c>
      <c r="D18" s="196">
        <f>SUMIFS('2026 IB Shipments'!V$1:V$2239,'2026 IB Shipments'!K$1:K$2239,"&gt;="&amp;DATE(2026,12,1),'2026 IB Shipments'!K$1:K$2239,"&lt;"&amp;DATE(2026,13,1))</f>
        <v>0</v>
      </c>
      <c r="E18" s="195">
        <f>SUMIFS('2026 IB Shipments'!AE$1:AE$2239,'2026 IB Shipments'!K$1:K$2239,"&gt;="&amp;DATE(2026,12,1),'2026 IB Shipments'!K$1:K$2239,"&lt;"&amp;DATE(2026,13,1))</f>
        <v>0</v>
      </c>
      <c r="F18" s="196">
        <f>COUNTIFS('2026 IB Shipments'!K$1:K$2239,"&gt;="&amp;DATE(2026,12,1),'2026 IB Shipments'!K$1:K$2239,"&lt;"&amp;DATE(2026,13,1))</f>
        <v>0</v>
      </c>
      <c r="G18" s="196">
        <f>SUMIFS('2026 IB Shipments'!U$1:U$2239,'2026 IB Shipments'!K$1:K$2239,"&gt;="&amp;DATE(2026,12,1),'2026 IB Shipments'!K$1:K$2239,"&lt;"&amp;DATE(2026,13,1))</f>
        <v>0</v>
      </c>
      <c r="H18" s="196">
        <f>SUMIFS('2026 IB Shipments'!S$1:S$2239,'2026 IB Shipments'!K$1:K$2239,"&gt;="&amp;DATE(2026,12,1),'2026 IB Shipments'!K$1:K$2239,"&lt;"&amp;DATE(2026,13,1))</f>
        <v>0</v>
      </c>
      <c r="I18" s="215" t="str">
        <f>IFERROR(B18/D18,"")</f>
        <v/>
      </c>
    </row>
    <row r="19" spans="1:9" ht="15.75">
      <c r="A19" s="194" t="s">
        <v>3554</v>
      </c>
      <c r="B19" s="197">
        <f>SUM(B7:B18)</f>
        <v>1214854.56</v>
      </c>
      <c r="C19" s="197">
        <f>SUM(C7:C18)</f>
        <v>811417.55270999996</v>
      </c>
      <c r="D19" s="198">
        <f>SUM(D7:D18)</f>
        <v>945373</v>
      </c>
      <c r="E19" s="197">
        <f>SUM(E7:E18)</f>
        <v>83450815.525000006</v>
      </c>
      <c r="F19" s="198">
        <f>SUM(F7:F18)</f>
        <v>1049</v>
      </c>
      <c r="G19" s="198">
        <f>SUM(G7:G18)</f>
        <v>3137</v>
      </c>
      <c r="H19" s="198">
        <f>SUM(H7:H18)</f>
        <v>1087557.1000000001</v>
      </c>
      <c r="I19" s="197">
        <f>B36</f>
        <v>1.2850531589118792</v>
      </c>
    </row>
    <row r="22" spans="1:9" ht="18">
      <c r="A22" s="192" t="s">
        <v>3555</v>
      </c>
    </row>
    <row r="24" spans="1:9" ht="15.6">
      <c r="A24" s="193" t="s">
        <v>22</v>
      </c>
      <c r="B24" s="199" t="s">
        <v>3535</v>
      </c>
      <c r="C24" s="199" t="s">
        <v>3536</v>
      </c>
      <c r="D24" s="199" t="s">
        <v>3537</v>
      </c>
      <c r="E24" s="199" t="s">
        <v>3538</v>
      </c>
      <c r="F24" s="199" t="s">
        <v>3539</v>
      </c>
      <c r="G24" s="199" t="s">
        <v>3540</v>
      </c>
    </row>
    <row r="25" spans="1:9" ht="15.6">
      <c r="A25" s="191" t="s">
        <v>35</v>
      </c>
      <c r="B25" s="195">
        <f>SUMIF('2026 IB Shipments'!C$1:C$2239,"DENALI",'2026 IB Shipments'!AB$1:AB$2239)</f>
        <v>894056.30000000109</v>
      </c>
      <c r="C25" s="195">
        <f>SUMIF('2026 IB Shipments'!C$1:C$2239,"DENALI",'2026 IB Shipments'!AD$1:AD$2239)</f>
        <v>470924.73154999979</v>
      </c>
      <c r="D25" s="196">
        <f>SUMIF('2026 IB Shipments'!C$1:C$2239,"DENALI",'2026 IB Shipments'!V$1:V$2239)</f>
        <v>925512</v>
      </c>
      <c r="E25" s="195">
        <f>SUMIF('2026 IB Shipments'!C$1:C$2239,"DENALI",'2026 IB Shipments'!AE$1:AE$2239)</f>
        <v>65368833.535000011</v>
      </c>
      <c r="F25" s="196">
        <f>COUNTIF('2026 IB Shipments'!C$1:C$2239,"DENALI")</f>
        <v>676</v>
      </c>
      <c r="G25" s="196">
        <f>SUMIF('2026 IB Shipments'!C$1:C$2239,"DENALI",'2026 IB Shipments'!U$1:U$2239)</f>
        <v>2485</v>
      </c>
    </row>
    <row r="26" spans="1:9" ht="15.6">
      <c r="A26" s="191" t="s">
        <v>3069</v>
      </c>
      <c r="B26" s="195">
        <f>SUMIF('2026 IB Shipments'!C$1:C$2239,"EXPEDITORS",'2026 IB Shipments'!AB$1:AB$2239)</f>
        <v>19605</v>
      </c>
      <c r="C26" s="195">
        <f>SUMIF('2026 IB Shipments'!C$1:C$2239,"EXPEDITORS",'2026 IB Shipments'!AD$1:AD$2239)</f>
        <v>8095</v>
      </c>
      <c r="D26" s="196">
        <f>SUMIF('2026 IB Shipments'!C$1:C$2239,"EXPEDITORS",'2026 IB Shipments'!V$1:V$2239)</f>
        <v>414</v>
      </c>
      <c r="E26" s="195">
        <f>SUMIF('2026 IB Shipments'!C$1:C$2239,"EXPEDITORS",'2026 IB Shipments'!AE$1:AE$2239)</f>
        <v>289048.90000000002</v>
      </c>
      <c r="F26" s="196">
        <f>COUNTIF('2026 IB Shipments'!C$1:C$2239,"EXPEDITORS")</f>
        <v>3</v>
      </c>
      <c r="G26" s="196">
        <f>SUMIF('2026 IB Shipments'!C$1:C$2239,"EXPEDITORS",'2026 IB Shipments'!U$1:U$2239)</f>
        <v>5</v>
      </c>
    </row>
    <row r="27" spans="1:9" ht="15.6">
      <c r="A27" s="191" t="s">
        <v>36</v>
      </c>
      <c r="B27" s="195">
        <f>SUMIF('2026 IB Shipments'!C$1:C$2239,"SCHNEIDER ELECTRIC",'2026 IB Shipments'!AB$1:AB$2239)</f>
        <v>141208.06</v>
      </c>
      <c r="C27" s="195">
        <f>SUMIF('2026 IB Shipments'!C$1:C$2239,"SCHNEIDER ELECTRIC",'2026 IB Shipments'!AD$1:AD$2239)</f>
        <v>160412.35615999994</v>
      </c>
      <c r="D27" s="196">
        <f>SUMIF('2026 IB Shipments'!C$1:C$2239,"SCHNEIDER ELECTRIC",'2026 IB Shipments'!V$1:V$2239)</f>
        <v>3490</v>
      </c>
      <c r="E27" s="195">
        <f>SUMIF('2026 IB Shipments'!C$1:C$2239,"SCHNEIDER ELECTRIC",'2026 IB Shipments'!AE$1:AE$2239)</f>
        <v>10694252.769999992</v>
      </c>
      <c r="F27" s="196">
        <f>COUNTIF('2026 IB Shipments'!C$1:C$2239,"SCHNEIDER ELECTRIC")</f>
        <v>305</v>
      </c>
      <c r="G27" s="196">
        <f>SUMIF('2026 IB Shipments'!C$1:C$2239,"SCHNEIDER ELECTRIC",'2026 IB Shipments'!U$1:U$2239)</f>
        <v>549</v>
      </c>
    </row>
    <row r="28" spans="1:9" ht="15.6">
      <c r="A28" s="191" t="s">
        <v>2210</v>
      </c>
      <c r="B28" s="195">
        <f>SUMIF('2026 IB Shipments'!C$1:C$2239,"SHI",'2026 IB Shipments'!AB$1:AB$2239)</f>
        <v>69773.399999999994</v>
      </c>
      <c r="C28" s="195">
        <f>SUMIF('2026 IB Shipments'!C$1:C$2239,"SHI",'2026 IB Shipments'!AD$1:AD$2239)</f>
        <v>52826.6</v>
      </c>
      <c r="D28" s="196">
        <f>SUMIF('2026 IB Shipments'!C$1:C$2239,"SHI",'2026 IB Shipments'!V$1:V$2239)</f>
        <v>3827</v>
      </c>
      <c r="E28" s="195">
        <f>SUMIF('2026 IB Shipments'!C$1:C$2239,"SHI",'2026 IB Shipments'!AE$1:AE$2239)</f>
        <v>1737262.4000000004</v>
      </c>
      <c r="F28" s="196">
        <f>COUNTIF('2026 IB Shipments'!C$1:C$2239,"SHI")</f>
        <v>15</v>
      </c>
      <c r="G28" s="196">
        <f>SUMIF('2026 IB Shipments'!C$1:C$2239,"SHI",'2026 IB Shipments'!U$1:U$2239)</f>
        <v>24</v>
      </c>
    </row>
    <row r="29" spans="1:9" ht="15.6">
      <c r="A29" s="191" t="s">
        <v>227</v>
      </c>
      <c r="B29" s="195">
        <f>SUMIF('2026 IB Shipments'!C$1:C$2239,"WWT",'2026 IB Shipments'!AB$1:AB$2239)</f>
        <v>9020.8000000000011</v>
      </c>
      <c r="C29" s="195">
        <f>SUMIF('2026 IB Shipments'!C$1:C$2239,"WWT",'2026 IB Shipments'!AD$1:AD$2239)</f>
        <v>10824.959999999997</v>
      </c>
      <c r="D29" s="196">
        <f>SUMIF('2026 IB Shipments'!C$1:C$2239,"WWT",'2026 IB Shipments'!V$1:V$2239)</f>
        <v>11255</v>
      </c>
      <c r="E29" s="195">
        <f>SUMIF('2026 IB Shipments'!C$1:C$2239,"WWT",'2026 IB Shipments'!AE$1:AE$2239)</f>
        <v>3450664.08</v>
      </c>
      <c r="F29" s="196">
        <f>COUNTIF('2026 IB Shipments'!C$1:C$2239,"WWT")</f>
        <v>32</v>
      </c>
      <c r="G29" s="196">
        <f>SUMIF('2026 IB Shipments'!C$1:C$2239,"WWT",'2026 IB Shipments'!U$1:U$2239)</f>
        <v>43</v>
      </c>
    </row>
    <row r="30" spans="1:9" ht="15.6">
      <c r="A30" s="191" t="s">
        <v>3556</v>
      </c>
      <c r="B30" s="195">
        <f>SUMIFS('2026 IB Shipments'!AB$1:AB$2239,'2026 IB Shipments'!B$1:B$2239,"Site Transfer")+SUMIFS('2026 IB Shipments'!AB$1:AB$2239,'2026 IB Shipments'!B$1:B$2239,"Launch")</f>
        <v>74184</v>
      </c>
      <c r="C30" s="195">
        <f>SUMIFS('2026 IB Shipments'!AD$1:AD$2239,'2026 IB Shipments'!B$1:B$2239,"Site Transfer")+SUMIFS('2026 IB Shipments'!AD$1:AD$2239,'2026 IB Shipments'!B$1:B$2239,"Launch")</f>
        <v>104865.44</v>
      </c>
      <c r="D30" s="196">
        <f>SUMIFS('2026 IB Shipments'!V$1:V$2239,'2026 IB Shipments'!B$1:B$2239,"Site Transfer")+SUMIFS('2026 IB Shipments'!V$1:V$2239,'2026 IB Shipments'!B$1:B$2239,"Launch")</f>
        <v>835</v>
      </c>
      <c r="E30" s="195">
        <f>SUMIFS('2026 IB Shipments'!AE$1:AE$2239,'2026 IB Shipments'!B$1:B$2239,"Site Transfer")+SUMIFS('2026 IB Shipments'!AE$1:AE$2239,'2026 IB Shipments'!B$1:B$2239,"Launch")</f>
        <v>1910753.8399999999</v>
      </c>
      <c r="F30" s="196">
        <f>COUNTIFS('2026 IB Shipments'!B$1:B$2239,"Site Transfer")+COUNTIFS('2026 IB Shipments'!B$1:B$2239,"Launch")</f>
        <v>17</v>
      </c>
      <c r="G30" s="196">
        <f>SUMIFS('2026 IB Shipments'!U$1:U$2239,'2026 IB Shipments'!B$1:B$2239,"Site Transfer")+SUMIFS('2026 IB Shipments'!U$1:U$2239,'2026 IB Shipments'!B$1:B$2239,"Launch")</f>
        <v>28</v>
      </c>
    </row>
    <row r="33" spans="1:3" ht="18">
      <c r="A33" s="192" t="s">
        <v>3557</v>
      </c>
    </row>
    <row r="35" spans="1:3" ht="15.6">
      <c r="A35" s="193" t="s">
        <v>3558</v>
      </c>
      <c r="B35" s="199" t="s">
        <v>3559</v>
      </c>
    </row>
    <row r="36" spans="1:3" ht="15.6">
      <c r="A36" s="191" t="s">
        <v>3560</v>
      </c>
      <c r="B36" s="195">
        <f>IFERROR(B19/D19,"")</f>
        <v>1.2850531589118792</v>
      </c>
    </row>
    <row r="37" spans="1:3" ht="15.6">
      <c r="A37" s="191" t="s">
        <v>6</v>
      </c>
      <c r="B37" s="195">
        <f>IFERROR(B19/F19,"")</f>
        <v>1158.1073021925645</v>
      </c>
    </row>
    <row r="38" spans="1:3" ht="15.6">
      <c r="A38" s="191" t="s">
        <v>3561</v>
      </c>
      <c r="B38" s="195">
        <f>IFERROR(B19/G19,"")</f>
        <v>387.26635639145684</v>
      </c>
    </row>
    <row r="39" spans="1:3" ht="15.6">
      <c r="A39" s="191" t="s">
        <v>3562</v>
      </c>
      <c r="B39" s="195">
        <f>IFERROR(B19/H19,"")</f>
        <v>1.1170489898875193</v>
      </c>
    </row>
    <row r="40" spans="1:3" ht="15.6">
      <c r="A40" s="191" t="s">
        <v>10</v>
      </c>
      <c r="B40" s="200">
        <f>IFERROR(B19/E19,"")</f>
        <v>1.4557731429671369E-2</v>
      </c>
    </row>
    <row r="41" spans="1:3" ht="15.6">
      <c r="A41" s="191" t="s">
        <v>2</v>
      </c>
      <c r="B41" s="195">
        <f>C19</f>
        <v>811417.55270999996</v>
      </c>
    </row>
    <row r="42" spans="1:3" ht="15.6">
      <c r="A42" s="191" t="s">
        <v>3563</v>
      </c>
      <c r="B42" s="200">
        <f>IFERROR(C19/(B19+C19),"")</f>
        <v>0.40044846278064039</v>
      </c>
    </row>
    <row r="45" spans="1:3" ht="18">
      <c r="A45" s="192" t="s">
        <v>3564</v>
      </c>
    </row>
    <row r="47" spans="1:3" ht="15.6">
      <c r="A47" s="193" t="s">
        <v>3534</v>
      </c>
      <c r="B47" s="199" t="s">
        <v>3565</v>
      </c>
      <c r="C47" s="199" t="s">
        <v>3566</v>
      </c>
    </row>
    <row r="48" spans="1:3" ht="15.6">
      <c r="A48" s="191" t="s">
        <v>3542</v>
      </c>
      <c r="B48" s="195">
        <f>SUMIFS('2026 IB Shipments'!AE$1:AE$2239,'2026 IB Shipments'!C$1:C$2239,"DENALI",'2026 IB Shipments'!K$1:K$2239,"&gt;="&amp;DATE(2026,1,1),'2026 IB Shipments'!K$1:K$2239,"&lt;"&amp;DATE(2026,2,1))</f>
        <v>1881274.54</v>
      </c>
      <c r="C48" s="195">
        <f>B48*0.005</f>
        <v>9406.3726999999999</v>
      </c>
    </row>
    <row r="49" spans="1:3" ht="15.6">
      <c r="A49" s="191" t="s">
        <v>3543</v>
      </c>
      <c r="B49" s="195">
        <f>SUMIFS('2026 IB Shipments'!AE$1:AE$2239,'2026 IB Shipments'!C$1:C$2239,"DENALI",'2026 IB Shipments'!K$1:K$2239,"&gt;="&amp;DATE(2026,2,1),'2026 IB Shipments'!K$1:K$2239,"&lt;"&amp;DATE(2026,3,1))</f>
        <v>4480411.08</v>
      </c>
      <c r="C49" s="195">
        <f>B49*0.005</f>
        <v>22402.055400000001</v>
      </c>
    </row>
    <row r="50" spans="1:3" ht="15.6">
      <c r="A50" s="191" t="s">
        <v>3544</v>
      </c>
      <c r="B50" s="195">
        <f>SUMIFS('2026 IB Shipments'!AE$1:AE$2239,'2026 IB Shipments'!C$1:C$2239,"DENALI",'2026 IB Shipments'!K$1:K$2239,"&gt;="&amp;DATE(2026,3,1),'2026 IB Shipments'!K$1:K$2239,"&lt;"&amp;DATE(2026,4,1))</f>
        <v>7406281.879999999</v>
      </c>
      <c r="C50" s="195">
        <f>B50*0.005</f>
        <v>37031.409399999997</v>
      </c>
    </row>
    <row r="51" spans="1:3" ht="15.6">
      <c r="A51" s="191" t="s">
        <v>3545</v>
      </c>
      <c r="B51" s="195">
        <f>SUMIFS('2026 IB Shipments'!AE$1:AE$2239,'2026 IB Shipments'!C$1:C$2239,"DENALI",'2026 IB Shipments'!K$1:K$2239,"&gt;="&amp;DATE(2026,4,1),'2026 IB Shipments'!K$1:K$2239,"&lt;"&amp;DATE(2026,5,1))</f>
        <v>11432826.754000004</v>
      </c>
      <c r="C51" s="195">
        <f>B51*0.005</f>
        <v>57164.133770000022</v>
      </c>
    </row>
    <row r="52" spans="1:3" ht="15.6">
      <c r="A52" s="191" t="s">
        <v>3546</v>
      </c>
      <c r="B52" s="195">
        <f>SUMIFS('2026 IB Shipments'!AE$1:AE$2239,'2026 IB Shipments'!C$1:C$2239,"DENALI",'2026 IB Shipments'!K$1:K$2239,"&gt;="&amp;DATE(2026,5,1),'2026 IB Shipments'!K$1:K$2239,"&lt;"&amp;DATE(2026,6,1))</f>
        <v>6548061.2810000014</v>
      </c>
      <c r="C52" s="195">
        <f>B52*0.005</f>
        <v>32740.306405000007</v>
      </c>
    </row>
    <row r="53" spans="1:3" ht="15.6">
      <c r="A53" s="191" t="s">
        <v>3547</v>
      </c>
      <c r="B53" s="195">
        <f>SUMIFS('2026 IB Shipments'!AE$1:AE$2239,'2026 IB Shipments'!C$1:C$2239,"DENALI",'2026 IB Shipments'!K$1:K$2239,"&gt;="&amp;DATE(2026,6,1),'2026 IB Shipments'!K$1:K$2239,"&lt;"&amp;DATE(2026,7,1))</f>
        <v>8617288.3799999971</v>
      </c>
      <c r="C53" s="195">
        <f>B53*0.005</f>
        <v>43086.441899999983</v>
      </c>
    </row>
    <row r="54" spans="1:3" ht="15.6">
      <c r="A54" s="191" t="s">
        <v>3548</v>
      </c>
      <c r="B54" s="195">
        <f>SUMIFS('2026 IB Shipments'!AE$1:AE$2239,'2026 IB Shipments'!C$1:C$2239,"DENALI",'2026 IB Shipments'!K$1:K$2239,"&gt;="&amp;DATE(2026,7,1),'2026 IB Shipments'!K$1:K$2239,"&lt;"&amp;DATE(2026,8,1))</f>
        <v>7054951.8899999997</v>
      </c>
      <c r="C54" s="195">
        <f>B54*0.005</f>
        <v>35274.759449999998</v>
      </c>
    </row>
    <row r="55" spans="1:3" ht="15.6">
      <c r="A55" s="191" t="s">
        <v>3549</v>
      </c>
      <c r="B55" s="195">
        <f>SUMIFS('2026 IB Shipments'!AE$1:AE$2239,'2026 IB Shipments'!C$1:C$2239,"DENALI",'2026 IB Shipments'!K$1:K$2239,"&gt;="&amp;DATE(2026,8,1),'2026 IB Shipments'!K$1:K$2239,"&lt;"&amp;DATE(2026,9,1))</f>
        <v>9046999.1700000037</v>
      </c>
      <c r="C55" s="195">
        <f>B55*0.005</f>
        <v>45234.995850000021</v>
      </c>
    </row>
    <row r="56" spans="1:3" ht="15.6">
      <c r="A56" s="191" t="s">
        <v>3550</v>
      </c>
      <c r="B56" s="195">
        <f>SUMIFS('2026 IB Shipments'!AE$1:AE$2239,'2026 IB Shipments'!C$1:C$2239,"DENALI",'2026 IB Shipments'!K$1:K$2239,"&gt;="&amp;DATE(2026,9,1),'2026 IB Shipments'!K$1:K$2239,"&lt;"&amp;DATE(2026,10,1))</f>
        <v>4560510.8500000006</v>
      </c>
      <c r="C56" s="195">
        <f>B56*0.005</f>
        <v>22802.554250000005</v>
      </c>
    </row>
    <row r="57" spans="1:3" ht="15.6">
      <c r="A57" s="191" t="s">
        <v>3551</v>
      </c>
      <c r="B57" s="195">
        <f>SUMIFS('2026 IB Shipments'!AE$1:AE$2239,'2026 IB Shipments'!C$1:C$2239,"DENALI",'2026 IB Shipments'!K$1:K$2239,"&gt;="&amp;DATE(2026,10,1),'2026 IB Shipments'!K$1:K$2239,"&lt;"&amp;DATE(2026,11,1))</f>
        <v>4340227.709999999</v>
      </c>
      <c r="C57" s="195">
        <f>B57*0.005</f>
        <v>21701.138549999996</v>
      </c>
    </row>
    <row r="58" spans="1:3" ht="15.6">
      <c r="A58" s="191" t="s">
        <v>3552</v>
      </c>
      <c r="B58" s="195">
        <f>SUMIFS('2026 IB Shipments'!AE$1:AE$2239,'2026 IB Shipments'!C$1:C$2239,"DENALI",'2026 IB Shipments'!K$1:K$2239,"&gt;="&amp;DATE(2026,11,1),'2026 IB Shipments'!K$1:K$2239,"&lt;"&amp;DATE(2026,12,1))</f>
        <v>0</v>
      </c>
      <c r="C58" s="195">
        <f>B58*0.005</f>
        <v>0</v>
      </c>
    </row>
    <row r="59" spans="1:3" ht="15.6">
      <c r="A59" s="191" t="s">
        <v>3553</v>
      </c>
      <c r="B59" s="195">
        <f>SUMIFS('2026 IB Shipments'!AE$1:AE$2239,'2026 IB Shipments'!C$1:C$2239,"DENALI",'2026 IB Shipments'!K$1:K$2239,"&gt;="&amp;DATE(2026,12,1),'2026 IB Shipments'!K$1:K$2239,"&lt;"&amp;DATE(2026,13,1))</f>
        <v>0</v>
      </c>
      <c r="C59" s="195">
        <f>B59*0.005</f>
        <v>0</v>
      </c>
    </row>
    <row r="60" spans="1:3" ht="15.6">
      <c r="A60" s="194" t="s">
        <v>3554</v>
      </c>
      <c r="B60" s="197">
        <f>SUM(B48:B59)</f>
        <v>65368833.535000004</v>
      </c>
      <c r="C60" s="197">
        <f>SUM(C48:C59)</f>
        <v>326844.16767499998</v>
      </c>
    </row>
    <row r="63" spans="1:3" ht="18">
      <c r="A63" s="192" t="s">
        <v>3567</v>
      </c>
    </row>
    <row r="65" spans="1:7" ht="15.6">
      <c r="A65" s="193" t="s">
        <v>3534</v>
      </c>
      <c r="B65" s="199" t="s">
        <v>3568</v>
      </c>
      <c r="C65" s="199" t="s">
        <v>35</v>
      </c>
      <c r="D65" s="199" t="s">
        <v>3069</v>
      </c>
      <c r="E65" s="199" t="s">
        <v>36</v>
      </c>
      <c r="F65" s="199" t="s">
        <v>2210</v>
      </c>
      <c r="G65" s="199" t="s">
        <v>227</v>
      </c>
    </row>
    <row r="66" spans="1:7" ht="15.6">
      <c r="A66" s="191" t="s">
        <v>3542</v>
      </c>
      <c r="B66" s="195">
        <f>IFERROR(B7/F7,"")</f>
        <v>829.1507894736842</v>
      </c>
      <c r="C66" s="195">
        <f>IFERROR(SUMIFS('2026 IB Shipments'!AB$1:AB$2239,'2026 IB Shipments'!C$1:C$2239,"DENALI",'2026 IB Shipments'!K$1:K$2239,"&gt;="&amp;DATE(2026,1,1),'2026 IB Shipments'!K$1:K$2239,"&lt;"&amp;DATE(2026,2,1))/COUNTIFS('2026 IB Shipments'!C$1:C$2239,"DENALI",'2026 IB Shipments'!K$1:K$2239,"&gt;="&amp;DATE(2026,1,1),'2026 IB Shipments'!K$1:K$2239,"&lt;"&amp;DATE(2026,2,1)),"")</f>
        <v>1540.8717647058822</v>
      </c>
      <c r="D66" s="195" t="str">
        <f>IFERROR(SUMIFS('2026 IB Shipments'!AB$1:AB$2239,'2026 IB Shipments'!C$1:C$2239,"EXPEDITORS",'2026 IB Shipments'!K$1:K$2239,"&gt;="&amp;DATE(2026,1,1),'2026 IB Shipments'!K$1:K$2239,"&lt;"&amp;DATE(2026,2,1))/COUNTIFS('2026 IB Shipments'!C$1:C$2239,"EXPEDITORS",'2026 IB Shipments'!K$1:K$2239,"&gt;="&amp;DATE(2026,1,1),'2026 IB Shipments'!K$1:K$2239,"&lt;"&amp;DATE(2026,2,1)),"")</f>
        <v/>
      </c>
      <c r="E66" s="195">
        <f>IFERROR(SUMIFS('2026 IB Shipments'!AB$1:AB$2239,'2026 IB Shipments'!C$1:C$2239,"SCHNEIDER ELECTRIC",'2026 IB Shipments'!K$1:K$2239,"&gt;="&amp;DATE(2026,1,1),'2026 IB Shipments'!K$1:K$2239,"&lt;"&amp;DATE(2026,2,1))/COUNTIFS('2026 IB Shipments'!C$1:C$2239,"SCHNEIDER ELECTRIC",'2026 IB Shipments'!K$1:K$2239,"&gt;="&amp;DATE(2026,1,1),'2026 IB Shipments'!K$1:K$2239,"&lt;"&amp;DATE(2026,2,1)),"")</f>
        <v>258.41250000000002</v>
      </c>
      <c r="F66" s="195" t="str">
        <f>IFERROR(SUMIFS('2026 IB Shipments'!AB$1:AB$2239,'2026 IB Shipments'!C$1:C$2239,"SHI",'2026 IB Shipments'!K$1:K$2239,"&gt;="&amp;DATE(2026,1,1),'2026 IB Shipments'!K$1:K$2239,"&lt;"&amp;DATE(2026,2,1))/COUNTIFS('2026 IB Shipments'!C$1:C$2239,"SHI",'2026 IB Shipments'!K$1:K$2239,"&gt;="&amp;DATE(2026,1,1),'2026 IB Shipments'!K$1:K$2239,"&lt;"&amp;DATE(2026,2,1)),"")</f>
        <v/>
      </c>
      <c r="G66" s="195">
        <f>IFERROR(SUMIFS('2026 IB Shipments'!AB$1:AB$2239,'2026 IB Shipments'!C$1:C$2239,"WWT",'2026 IB Shipments'!K$1:K$2239,"&gt;="&amp;DATE(2026,1,1),'2026 IB Shipments'!K$1:K$2239,"&lt;"&amp;DATE(2026,2,1))/COUNTIFS('2026 IB Shipments'!C$1:C$2239,"WWT",'2026 IB Shipments'!K$1:K$2239,"&gt;="&amp;DATE(2026,1,1),'2026 IB Shipments'!K$1:K$2239,"&lt;"&amp;DATE(2026,2,1)),"")</f>
        <v>144.66</v>
      </c>
    </row>
    <row r="67" spans="1:7" ht="15.6">
      <c r="A67" s="191" t="s">
        <v>3543</v>
      </c>
      <c r="B67" s="195">
        <f>IFERROR(B8/F8,"")</f>
        <v>1584.4175862068957</v>
      </c>
      <c r="C67" s="195">
        <f>IFERROR(SUMIFS('2026 IB Shipments'!AB$1:AB$2239,'2026 IB Shipments'!C$1:C$2239,"DENALI",'2026 IB Shipments'!K$1:K$2239,"&gt;="&amp;DATE(2026,2,1),'2026 IB Shipments'!K$1:K$2239,"&lt;"&amp;DATE(2026,3,1))/COUNTIFS('2026 IB Shipments'!C$1:C$2239,"DENALI",'2026 IB Shipments'!K$1:K$2239,"&gt;="&amp;DATE(2026,2,1),'2026 IB Shipments'!K$1:K$2239,"&lt;"&amp;DATE(2026,3,1)),"")</f>
        <v>1738.7901999999997</v>
      </c>
      <c r="D67" s="195" t="str">
        <f>IFERROR(SUMIFS('2026 IB Shipments'!AB$1:AB$2239,'2026 IB Shipments'!C$1:C$2239,"EXPEDITORS",'2026 IB Shipments'!K$1:K$2239,"&gt;="&amp;DATE(2026,2,1),'2026 IB Shipments'!K$1:K$2239,"&lt;"&amp;DATE(2026,3,1))/COUNTIFS('2026 IB Shipments'!C$1:C$2239,"EXPEDITORS",'2026 IB Shipments'!K$1:K$2239,"&gt;="&amp;DATE(2026,2,1),'2026 IB Shipments'!K$1:K$2239,"&lt;"&amp;DATE(2026,3,1)),"")</f>
        <v/>
      </c>
      <c r="E67" s="195">
        <f>IFERROR(SUMIFS('2026 IB Shipments'!AB$1:AB$2239,'2026 IB Shipments'!C$1:C$2239,"SCHNEIDER ELECTRIC",'2026 IB Shipments'!K$1:K$2239,"&gt;="&amp;DATE(2026,2,1),'2026 IB Shipments'!K$1:K$2239,"&lt;"&amp;DATE(2026,3,1))/COUNTIFS('2026 IB Shipments'!C$1:C$2239,"SCHNEIDER ELECTRIC",'2026 IB Shipments'!K$1:K$2239,"&gt;="&amp;DATE(2026,2,1),'2026 IB Shipments'!K$1:K$2239,"&lt;"&amp;DATE(2026,3,1)),"")</f>
        <v>619.58875</v>
      </c>
      <c r="F67" s="195" t="str">
        <f>IFERROR(SUMIFS('2026 IB Shipments'!AB$1:AB$2239,'2026 IB Shipments'!C$1:C$2239,"SHI",'2026 IB Shipments'!K$1:K$2239,"&gt;="&amp;DATE(2026,2,1),'2026 IB Shipments'!K$1:K$2239,"&lt;"&amp;DATE(2026,3,1))/COUNTIFS('2026 IB Shipments'!C$1:C$2239,"SHI",'2026 IB Shipments'!K$1:K$2239,"&gt;="&amp;DATE(2026,2,1),'2026 IB Shipments'!K$1:K$2239,"&lt;"&amp;DATE(2026,3,1)),"")</f>
        <v/>
      </c>
      <c r="G67" s="195" t="str">
        <f>IFERROR(SUMIFS('2026 IB Shipments'!AB$1:AB$2239,'2026 IB Shipments'!C$1:C$2239,"WWT",'2026 IB Shipments'!K$1:K$2239,"&gt;="&amp;DATE(2026,2,1),'2026 IB Shipments'!K$1:K$2239,"&lt;"&amp;DATE(2026,3,1))/COUNTIFS('2026 IB Shipments'!C$1:C$2239,"WWT",'2026 IB Shipments'!K$1:K$2239,"&gt;="&amp;DATE(2026,2,1),'2026 IB Shipments'!K$1:K$2239,"&lt;"&amp;DATE(2026,3,1)),"")</f>
        <v/>
      </c>
    </row>
    <row r="68" spans="1:7" ht="15.6">
      <c r="A68" s="191" t="s">
        <v>3544</v>
      </c>
      <c r="B68" s="195">
        <f>IFERROR(B9/F9,"")</f>
        <v>745.06078651685414</v>
      </c>
      <c r="C68" s="195">
        <f>IFERROR(SUMIFS('2026 IB Shipments'!AB$1:AB$2239,'2026 IB Shipments'!C$1:C$2239,"DENALI",'2026 IB Shipments'!K$1:K$2239,"&gt;="&amp;DATE(2026,3,1),'2026 IB Shipments'!K$1:K$2239,"&lt;"&amp;DATE(2026,4,1))/COUNTIFS('2026 IB Shipments'!C$1:C$2239,"DENALI",'2026 IB Shipments'!K$1:K$2239,"&gt;="&amp;DATE(2026,3,1),'2026 IB Shipments'!K$1:K$2239,"&lt;"&amp;DATE(2026,4,1)),"")</f>
        <v>903.5164406779661</v>
      </c>
      <c r="D68" s="195" t="str">
        <f>IFERROR(SUMIFS('2026 IB Shipments'!AB$1:AB$2239,'2026 IB Shipments'!C$1:C$2239,"EXPEDITORS",'2026 IB Shipments'!K$1:K$2239,"&gt;="&amp;DATE(2026,3,1),'2026 IB Shipments'!K$1:K$2239,"&lt;"&amp;DATE(2026,4,1))/COUNTIFS('2026 IB Shipments'!C$1:C$2239,"EXPEDITORS",'2026 IB Shipments'!K$1:K$2239,"&gt;="&amp;DATE(2026,3,1),'2026 IB Shipments'!K$1:K$2239,"&lt;"&amp;DATE(2026,4,1)),"")</f>
        <v/>
      </c>
      <c r="E68" s="195">
        <f>IFERROR(SUMIFS('2026 IB Shipments'!AB$1:AB$2239,'2026 IB Shipments'!C$1:C$2239,"SCHNEIDER ELECTRIC",'2026 IB Shipments'!K$1:K$2239,"&gt;="&amp;DATE(2026,3,1),'2026 IB Shipments'!K$1:K$2239,"&lt;"&amp;DATE(2026,4,1))/COUNTIFS('2026 IB Shipments'!C$1:C$2239,"SCHNEIDER ELECTRIC",'2026 IB Shipments'!K$1:K$2239,"&gt;="&amp;DATE(2026,3,1),'2026 IB Shipments'!K$1:K$2239,"&lt;"&amp;DATE(2026,4,1)),"")</f>
        <v>355.51517241379298</v>
      </c>
      <c r="F68" s="195" t="str">
        <f>IFERROR(SUMIFS('2026 IB Shipments'!AB$1:AB$2239,'2026 IB Shipments'!C$1:C$2239,"SHI",'2026 IB Shipments'!K$1:K$2239,"&gt;="&amp;DATE(2026,3,1),'2026 IB Shipments'!K$1:K$2239,"&lt;"&amp;DATE(2026,4,1))/COUNTIFS('2026 IB Shipments'!C$1:C$2239,"SHI",'2026 IB Shipments'!K$1:K$2239,"&gt;="&amp;DATE(2026,3,1),'2026 IB Shipments'!K$1:K$2239,"&lt;"&amp;DATE(2026,4,1)),"")</f>
        <v/>
      </c>
      <c r="G68" s="195" t="str">
        <f>IFERROR(SUMIFS('2026 IB Shipments'!AB$1:AB$2239,'2026 IB Shipments'!C$1:C$2239,"WWT",'2026 IB Shipments'!K$1:K$2239,"&gt;="&amp;DATE(2026,3,1),'2026 IB Shipments'!K$1:K$2239,"&lt;"&amp;DATE(2026,4,1))/COUNTIFS('2026 IB Shipments'!C$1:C$2239,"WWT",'2026 IB Shipments'!K$1:K$2239,"&gt;="&amp;DATE(2026,3,1),'2026 IB Shipments'!K$1:K$2239,"&lt;"&amp;DATE(2026,4,1)),"")</f>
        <v/>
      </c>
    </row>
    <row r="69" spans="1:7" ht="15.6">
      <c r="A69" s="191" t="s">
        <v>3545</v>
      </c>
      <c r="B69" s="195">
        <f>IFERROR(B10/F10,"")</f>
        <v>1077.4397321428569</v>
      </c>
      <c r="C69" s="195">
        <f>IFERROR(SUMIFS('2026 IB Shipments'!AB$1:AB$2239,'2026 IB Shipments'!C$1:C$2239,"DENALI",'2026 IB Shipments'!K$1:K$2239,"&gt;="&amp;DATE(2026,4,1),'2026 IB Shipments'!K$1:K$2239,"&lt;"&amp;DATE(2026,5,1))/COUNTIFS('2026 IB Shipments'!C$1:C$2239,"DENALI",'2026 IB Shipments'!K$1:K$2239,"&gt;="&amp;DATE(2026,4,1),'2026 IB Shipments'!K$1:K$2239,"&lt;"&amp;DATE(2026,5,1)),"")</f>
        <v>1225.9085365853655</v>
      </c>
      <c r="D69" s="195" t="str">
        <f>IFERROR(SUMIFS('2026 IB Shipments'!AB$1:AB$2239,'2026 IB Shipments'!C$1:C$2239,"EXPEDITORS",'2026 IB Shipments'!K$1:K$2239,"&gt;="&amp;DATE(2026,4,1),'2026 IB Shipments'!K$1:K$2239,"&lt;"&amp;DATE(2026,5,1))/COUNTIFS('2026 IB Shipments'!C$1:C$2239,"EXPEDITORS",'2026 IB Shipments'!K$1:K$2239,"&gt;="&amp;DATE(2026,4,1),'2026 IB Shipments'!K$1:K$2239,"&lt;"&amp;DATE(2026,5,1)),"")</f>
        <v/>
      </c>
      <c r="E69" s="195">
        <f>IFERROR(SUMIFS('2026 IB Shipments'!AB$1:AB$2239,'2026 IB Shipments'!C$1:C$2239,"SCHNEIDER ELECTRIC",'2026 IB Shipments'!K$1:K$2239,"&gt;="&amp;DATE(2026,4,1),'2026 IB Shipments'!K$1:K$2239,"&lt;"&amp;DATE(2026,5,1))/COUNTIFS('2026 IB Shipments'!C$1:C$2239,"SCHNEIDER ELECTRIC",'2026 IB Shipments'!K$1:K$2239,"&gt;="&amp;DATE(2026,4,1),'2026 IB Shipments'!K$1:K$2239,"&lt;"&amp;DATE(2026,5,1)),"")</f>
        <v>671.625</v>
      </c>
      <c r="F69" s="195" t="str">
        <f>IFERROR(SUMIFS('2026 IB Shipments'!AB$1:AB$2239,'2026 IB Shipments'!C$1:C$2239,"SHI",'2026 IB Shipments'!K$1:K$2239,"&gt;="&amp;DATE(2026,4,1),'2026 IB Shipments'!K$1:K$2239,"&lt;"&amp;DATE(2026,5,1))/COUNTIFS('2026 IB Shipments'!C$1:C$2239,"SHI",'2026 IB Shipments'!K$1:K$2239,"&gt;="&amp;DATE(2026,4,1),'2026 IB Shipments'!K$1:K$2239,"&lt;"&amp;DATE(2026,5,1)),"")</f>
        <v/>
      </c>
      <c r="G69" s="195" t="str">
        <f>IFERROR(SUMIFS('2026 IB Shipments'!AB$1:AB$2239,'2026 IB Shipments'!C$1:C$2239,"WWT",'2026 IB Shipments'!K$1:K$2239,"&gt;="&amp;DATE(2026,4,1),'2026 IB Shipments'!K$1:K$2239,"&lt;"&amp;DATE(2026,5,1))/COUNTIFS('2026 IB Shipments'!C$1:C$2239,"WWT",'2026 IB Shipments'!K$1:K$2239,"&gt;="&amp;DATE(2026,4,1),'2026 IB Shipments'!K$1:K$2239,"&lt;"&amp;DATE(2026,5,1)),"")</f>
        <v/>
      </c>
    </row>
    <row r="70" spans="1:7" ht="15.6">
      <c r="A70" s="191" t="s">
        <v>3546</v>
      </c>
      <c r="B70" s="195">
        <f>IFERROR(B11/F11,"")</f>
        <v>1001.7402884615383</v>
      </c>
      <c r="C70" s="195">
        <f>IFERROR(SUMIFS('2026 IB Shipments'!AB$1:AB$2239,'2026 IB Shipments'!C$1:C$2239,"DENALI",'2026 IB Shipments'!K$1:K$2239,"&gt;="&amp;DATE(2026,5,1),'2026 IB Shipments'!K$1:K$2239,"&lt;"&amp;DATE(2026,6,1))/COUNTIFS('2026 IB Shipments'!C$1:C$2239,"DENALI",'2026 IB Shipments'!K$1:K$2239,"&gt;="&amp;DATE(2026,5,1),'2026 IB Shipments'!K$1:K$2239,"&lt;"&amp;DATE(2026,6,1)),"")</f>
        <v>1075.0475268817202</v>
      </c>
      <c r="D70" s="195" t="str">
        <f>IFERROR(SUMIFS('2026 IB Shipments'!AB$1:AB$2239,'2026 IB Shipments'!C$1:C$2239,"EXPEDITORS",'2026 IB Shipments'!K$1:K$2239,"&gt;="&amp;DATE(2026,5,1),'2026 IB Shipments'!K$1:K$2239,"&lt;"&amp;DATE(2026,6,1))/COUNTIFS('2026 IB Shipments'!C$1:C$2239,"EXPEDITORS",'2026 IB Shipments'!K$1:K$2239,"&gt;="&amp;DATE(2026,5,1),'2026 IB Shipments'!K$1:K$2239,"&lt;"&amp;DATE(2026,6,1)),"")</f>
        <v/>
      </c>
      <c r="E70" s="195">
        <f>IFERROR(SUMIFS('2026 IB Shipments'!AB$1:AB$2239,'2026 IB Shipments'!C$1:C$2239,"SCHNEIDER ELECTRIC",'2026 IB Shipments'!K$1:K$2239,"&gt;="&amp;DATE(2026,5,1),'2026 IB Shipments'!K$1:K$2239,"&lt;"&amp;DATE(2026,6,1))/COUNTIFS('2026 IB Shipments'!C$1:C$2239,"SCHNEIDER ELECTRIC",'2026 IB Shipments'!K$1:K$2239,"&gt;="&amp;DATE(2026,5,1),'2026 IB Shipments'!K$1:K$2239,"&lt;"&amp;DATE(2026,6,1)),"")</f>
        <v>381.96090909090907</v>
      </c>
      <c r="F70" s="195" t="str">
        <f>IFERROR(SUMIFS('2026 IB Shipments'!AB$1:AB$2239,'2026 IB Shipments'!C$1:C$2239,"SHI",'2026 IB Shipments'!K$1:K$2239,"&gt;="&amp;DATE(2026,5,1),'2026 IB Shipments'!K$1:K$2239,"&lt;"&amp;DATE(2026,6,1))/COUNTIFS('2026 IB Shipments'!C$1:C$2239,"SHI",'2026 IB Shipments'!K$1:K$2239,"&gt;="&amp;DATE(2026,5,1),'2026 IB Shipments'!K$1:K$2239,"&lt;"&amp;DATE(2026,6,1)),"")</f>
        <v/>
      </c>
      <c r="G70" s="195" t="str">
        <f>IFERROR(SUMIFS('2026 IB Shipments'!AB$1:AB$2239,'2026 IB Shipments'!C$1:C$2239,"WWT",'2026 IB Shipments'!K$1:K$2239,"&gt;="&amp;DATE(2026,5,1),'2026 IB Shipments'!K$1:K$2239,"&lt;"&amp;DATE(2026,6,1))/COUNTIFS('2026 IB Shipments'!C$1:C$2239,"WWT",'2026 IB Shipments'!K$1:K$2239,"&gt;="&amp;DATE(2026,5,1),'2026 IB Shipments'!K$1:K$2239,"&lt;"&amp;DATE(2026,6,1)),"")</f>
        <v/>
      </c>
    </row>
    <row r="71" spans="1:7" ht="15.6">
      <c r="A71" s="191" t="s">
        <v>3547</v>
      </c>
      <c r="B71" s="195">
        <f>IFERROR(B12/F12,"")</f>
        <v>1629.9465891472869</v>
      </c>
      <c r="C71" s="195">
        <f>IFERROR(SUMIFS('2026 IB Shipments'!AB$1:AB$2239,'2026 IB Shipments'!C$1:C$2239,"DENALI",'2026 IB Shipments'!K$1:K$2239,"&gt;="&amp;DATE(2026,6,1),'2026 IB Shipments'!K$1:K$2239,"&lt;"&amp;DATE(2026,7,1))/COUNTIFS('2026 IB Shipments'!C$1:C$2239,"DENALI",'2026 IB Shipments'!K$1:K$2239,"&gt;="&amp;DATE(2026,6,1),'2026 IB Shipments'!K$1:K$2239,"&lt;"&amp;DATE(2026,7,1)),"")</f>
        <v>1870.3560185185186</v>
      </c>
      <c r="D71" s="195" t="str">
        <f>IFERROR(SUMIFS('2026 IB Shipments'!AB$1:AB$2239,'2026 IB Shipments'!C$1:C$2239,"EXPEDITORS",'2026 IB Shipments'!K$1:K$2239,"&gt;="&amp;DATE(2026,6,1),'2026 IB Shipments'!K$1:K$2239,"&lt;"&amp;DATE(2026,7,1))/COUNTIFS('2026 IB Shipments'!C$1:C$2239,"EXPEDITORS",'2026 IB Shipments'!K$1:K$2239,"&gt;="&amp;DATE(2026,6,1),'2026 IB Shipments'!K$1:K$2239,"&lt;"&amp;DATE(2026,7,1)),"")</f>
        <v/>
      </c>
      <c r="E71" s="195">
        <f>IFERROR(SUMIFS('2026 IB Shipments'!AB$1:AB$2239,'2026 IB Shipments'!C$1:C$2239,"SCHNEIDER ELECTRIC",'2026 IB Shipments'!K$1:K$2239,"&gt;="&amp;DATE(2026,6,1),'2026 IB Shipments'!K$1:K$2239,"&lt;"&amp;DATE(2026,7,1))/COUNTIFS('2026 IB Shipments'!C$1:C$2239,"SCHNEIDER ELECTRIC",'2026 IB Shipments'!K$1:K$2239,"&gt;="&amp;DATE(2026,6,1),'2026 IB Shipments'!K$1:K$2239,"&lt;"&amp;DATE(2026,7,1)),"")</f>
        <v>273.45222222222225</v>
      </c>
      <c r="F71" s="195" t="str">
        <f>IFERROR(SUMIFS('2026 IB Shipments'!AB$1:AB$2239,'2026 IB Shipments'!C$1:C$2239,"SHI",'2026 IB Shipments'!K$1:K$2239,"&gt;="&amp;DATE(2026,6,1),'2026 IB Shipments'!K$1:K$2239,"&lt;"&amp;DATE(2026,7,1))/COUNTIFS('2026 IB Shipments'!C$1:C$2239,"SHI",'2026 IB Shipments'!K$1:K$2239,"&gt;="&amp;DATE(2026,6,1),'2026 IB Shipments'!K$1:K$2239,"&lt;"&amp;DATE(2026,7,1)),"")</f>
        <v/>
      </c>
      <c r="G71" s="195">
        <f>IFERROR(SUMIFS('2026 IB Shipments'!AB$1:AB$2239,'2026 IB Shipments'!C$1:C$2239,"WWT",'2026 IB Shipments'!K$1:K$2239,"&gt;="&amp;DATE(2026,6,1),'2026 IB Shipments'!K$1:K$2239,"&lt;"&amp;DATE(2026,7,1))/COUNTIFS('2026 IB Shipments'!C$1:C$2239,"WWT",'2026 IB Shipments'!K$1:K$2239,"&gt;="&amp;DATE(2026,6,1),'2026 IB Shipments'!K$1:K$2239,"&lt;"&amp;DATE(2026,7,1)),"")</f>
        <v>203.26</v>
      </c>
    </row>
    <row r="72" spans="1:7" ht="15.6">
      <c r="A72" s="191" t="s">
        <v>3548</v>
      </c>
      <c r="B72" s="195">
        <f>IFERROR(B13/F13,"")</f>
        <v>1232.0542713567852</v>
      </c>
      <c r="C72" s="195">
        <f>IFERROR(SUMIFS('2026 IB Shipments'!AB$1:AB$2239,'2026 IB Shipments'!C$1:C$2239,"DENALI",'2026 IB Shipments'!K$1:K$2239,"&gt;="&amp;DATE(2026,7,1),'2026 IB Shipments'!K$1:K$2239,"&lt;"&amp;DATE(2026,8,1))/COUNTIFS('2026 IB Shipments'!C$1:C$2239,"DENALI",'2026 IB Shipments'!K$1:K$2239,"&gt;="&amp;DATE(2026,7,1),'2026 IB Shipments'!K$1:K$2239,"&lt;"&amp;DATE(2026,8,1)),"")</f>
        <v>1475.468631578947</v>
      </c>
      <c r="D72" s="195" t="str">
        <f>IFERROR(SUMIFS('2026 IB Shipments'!AB$1:AB$2239,'2026 IB Shipments'!C$1:C$2239,"EXPEDITORS",'2026 IB Shipments'!K$1:K$2239,"&gt;="&amp;DATE(2026,7,1),'2026 IB Shipments'!K$1:K$2239,"&lt;"&amp;DATE(2026,8,1))/COUNTIFS('2026 IB Shipments'!C$1:C$2239,"EXPEDITORS",'2026 IB Shipments'!K$1:K$2239,"&gt;="&amp;DATE(2026,7,1),'2026 IB Shipments'!K$1:K$2239,"&lt;"&amp;DATE(2026,8,1)),"")</f>
        <v/>
      </c>
      <c r="E72" s="195">
        <f>IFERROR(SUMIFS('2026 IB Shipments'!AB$1:AB$2239,'2026 IB Shipments'!C$1:C$2239,"SCHNEIDER ELECTRIC",'2026 IB Shipments'!K$1:K$2239,"&gt;="&amp;DATE(2026,7,1),'2026 IB Shipments'!K$1:K$2239,"&lt;"&amp;DATE(2026,8,1))/COUNTIFS('2026 IB Shipments'!C$1:C$2239,"SCHNEIDER ELECTRIC",'2026 IB Shipments'!K$1:K$2239,"&gt;="&amp;DATE(2026,7,1),'2026 IB Shipments'!K$1:K$2239,"&lt;"&amp;DATE(2026,8,1)),"")</f>
        <v>407.03617977528097</v>
      </c>
      <c r="F72" s="195">
        <f>IFERROR(SUMIFS('2026 IB Shipments'!AB$1:AB$2239,'2026 IB Shipments'!C$1:C$2239,"SHI",'2026 IB Shipments'!K$1:K$2239,"&gt;="&amp;DATE(2026,7,1),'2026 IB Shipments'!K$1:K$2239,"&lt;"&amp;DATE(2026,8,1))/COUNTIFS('2026 IB Shipments'!C$1:C$2239,"SHI",'2026 IB Shipments'!K$1:K$2239,"&gt;="&amp;DATE(2026,7,1),'2026 IB Shipments'!K$1:K$2239,"&lt;"&amp;DATE(2026,8,1)),"")</f>
        <v>4900.1714285714279</v>
      </c>
      <c r="G72" s="195">
        <f>IFERROR(SUMIFS('2026 IB Shipments'!AB$1:AB$2239,'2026 IB Shipments'!C$1:C$2239,"WWT",'2026 IB Shipments'!K$1:K$2239,"&gt;="&amp;DATE(2026,7,1),'2026 IB Shipments'!K$1:K$2239,"&lt;"&amp;DATE(2026,8,1))/COUNTIFS('2026 IB Shipments'!C$1:C$2239,"WWT",'2026 IB Shipments'!K$1:K$2239,"&gt;="&amp;DATE(2026,7,1),'2026 IB Shipments'!K$1:K$2239,"&lt;"&amp;DATE(2026,8,1)),"")</f>
        <v>180.66</v>
      </c>
    </row>
    <row r="73" spans="1:7" ht="15.6">
      <c r="A73" s="191" t="s">
        <v>3549</v>
      </c>
      <c r="B73" s="195">
        <f>IFERROR(B14/F14,"")</f>
        <v>1080.5755645161287</v>
      </c>
      <c r="C73" s="195">
        <f>IFERROR(SUMIFS('2026 IB Shipments'!AB$1:AB$2239,'2026 IB Shipments'!C$1:C$2239,"DENALI",'2026 IB Shipments'!K$1:K$2239,"&gt;="&amp;DATE(2026,8,1),'2026 IB Shipments'!K$1:K$2239,"&lt;"&amp;DATE(2026,9,1))/COUNTIFS('2026 IB Shipments'!C$1:C$2239,"DENALI",'2026 IB Shipments'!K$1:K$2239,"&gt;="&amp;DATE(2026,8,1),'2026 IB Shipments'!K$1:K$2239,"&lt;"&amp;DATE(2026,9,1)),"")</f>
        <v>1132.9628571428566</v>
      </c>
      <c r="D73" s="195">
        <f>IFERROR(SUMIFS('2026 IB Shipments'!AB$1:AB$2239,'2026 IB Shipments'!C$1:C$2239,"EXPEDITORS",'2026 IB Shipments'!K$1:K$2239,"&gt;="&amp;DATE(2026,8,1),'2026 IB Shipments'!K$1:K$2239,"&lt;"&amp;DATE(2026,9,1))/COUNTIFS('2026 IB Shipments'!C$1:C$2239,"EXPEDITORS",'2026 IB Shipments'!K$1:K$2239,"&gt;="&amp;DATE(2026,8,1),'2026 IB Shipments'!K$1:K$2239,"&lt;"&amp;DATE(2026,9,1)),"")</f>
        <v>7252.5</v>
      </c>
      <c r="E73" s="195">
        <f>IFERROR(SUMIFS('2026 IB Shipments'!AB$1:AB$2239,'2026 IB Shipments'!C$1:C$2239,"SCHNEIDER ELECTRIC",'2026 IB Shipments'!K$1:K$2239,"&gt;="&amp;DATE(2026,8,1),'2026 IB Shipments'!K$1:K$2239,"&lt;"&amp;DATE(2026,9,1))/COUNTIFS('2026 IB Shipments'!C$1:C$2239,"SCHNEIDER ELECTRIC",'2026 IB Shipments'!K$1:K$2239,"&gt;="&amp;DATE(2026,8,1),'2026 IB Shipments'!K$1:K$2239,"&lt;"&amp;DATE(2026,9,1)),"")</f>
        <v>328.97947368421052</v>
      </c>
      <c r="F73" s="195">
        <f>IFERROR(SUMIFS('2026 IB Shipments'!AB$1:AB$2239,'2026 IB Shipments'!C$1:C$2239,"SHI",'2026 IB Shipments'!K$1:K$2239,"&gt;="&amp;DATE(2026,8,1),'2026 IB Shipments'!K$1:K$2239,"&lt;"&amp;DATE(2026,9,1))/COUNTIFS('2026 IB Shipments'!C$1:C$2239,"SHI",'2026 IB Shipments'!K$1:K$2239,"&gt;="&amp;DATE(2026,8,1),'2026 IB Shipments'!K$1:K$2239,"&lt;"&amp;DATE(2026,9,1)),"")</f>
        <v>1171</v>
      </c>
      <c r="G73" s="195">
        <f>IFERROR(SUMIFS('2026 IB Shipments'!AB$1:AB$2239,'2026 IB Shipments'!C$1:C$2239,"WWT",'2026 IB Shipments'!K$1:K$2239,"&gt;="&amp;DATE(2026,8,1),'2026 IB Shipments'!K$1:K$2239,"&lt;"&amp;DATE(2026,9,1))/COUNTIFS('2026 IB Shipments'!C$1:C$2239,"WWT",'2026 IB Shipments'!K$1:K$2239,"&gt;="&amp;DATE(2026,8,1),'2026 IB Shipments'!K$1:K$2239,"&lt;"&amp;DATE(2026,9,1)),"")</f>
        <v>240.06769230769231</v>
      </c>
    </row>
    <row r="74" spans="1:7" ht="15.6">
      <c r="A74" s="191" t="s">
        <v>3550</v>
      </c>
      <c r="B74" s="195">
        <f>IFERROR(B15/F15,"")</f>
        <v>1003.4098780487803</v>
      </c>
      <c r="C74" s="195">
        <f>IFERROR(SUMIFS('2026 IB Shipments'!AB$1:AB$2239,'2026 IB Shipments'!C$1:C$2239,"DENALI",'2026 IB Shipments'!K$1:K$2239,"&gt;="&amp;DATE(2026,9,1),'2026 IB Shipments'!K$1:K$2239,"&lt;"&amp;DATE(2026,10,1))/COUNTIFS('2026 IB Shipments'!C$1:C$2239,"DENALI",'2026 IB Shipments'!K$1:K$2239,"&gt;="&amp;DATE(2026,9,1),'2026 IB Shipments'!K$1:K$2239,"&lt;"&amp;DATE(2026,10,1)),"")</f>
        <v>857.10887096774161</v>
      </c>
      <c r="D74" s="195">
        <f>IFERROR(SUMIFS('2026 IB Shipments'!AB$1:AB$2239,'2026 IB Shipments'!C$1:C$2239,"EXPEDITORS",'2026 IB Shipments'!K$1:K$2239,"&gt;="&amp;DATE(2026,9,1),'2026 IB Shipments'!K$1:K$2239,"&lt;"&amp;DATE(2026,10,1))/COUNTIFS('2026 IB Shipments'!C$1:C$2239,"EXPEDITORS",'2026 IB Shipments'!K$1:K$2239,"&gt;="&amp;DATE(2026,9,1),'2026 IB Shipments'!K$1:K$2239,"&lt;"&amp;DATE(2026,10,1)),"")</f>
        <v>5100</v>
      </c>
      <c r="E74" s="195">
        <f>IFERROR(SUMIFS('2026 IB Shipments'!AB$1:AB$2239,'2026 IB Shipments'!C$1:C$2239,"SCHNEIDER ELECTRIC",'2026 IB Shipments'!K$1:K$2239,"&gt;="&amp;DATE(2026,9,1),'2026 IB Shipments'!K$1:K$2239,"&lt;"&amp;DATE(2026,10,1))/COUNTIFS('2026 IB Shipments'!C$1:C$2239,"SCHNEIDER ELECTRIC",'2026 IB Shipments'!K$1:K$2239,"&gt;="&amp;DATE(2026,9,1),'2026 IB Shipments'!K$1:K$2239,"&lt;"&amp;DATE(2026,10,1)),"")</f>
        <v>597.38772151898741</v>
      </c>
      <c r="F74" s="195" t="str">
        <f>IFERROR(SUMIFS('2026 IB Shipments'!AB$1:AB$2239,'2026 IB Shipments'!C$1:C$2239,"SHI",'2026 IB Shipments'!K$1:K$2239,"&gt;="&amp;DATE(2026,9,1),'2026 IB Shipments'!K$1:K$2239,"&lt;"&amp;DATE(2026,10,1))/COUNTIFS('2026 IB Shipments'!C$1:C$2239,"SHI",'2026 IB Shipments'!K$1:K$2239,"&gt;="&amp;DATE(2026,9,1),'2026 IB Shipments'!K$1:K$2239,"&lt;"&amp;DATE(2026,10,1)),"")</f>
        <v/>
      </c>
      <c r="G74" s="195">
        <f>IFERROR(SUMIFS('2026 IB Shipments'!AB$1:AB$2239,'2026 IB Shipments'!C$1:C$2239,"WWT",'2026 IB Shipments'!K$1:K$2239,"&gt;="&amp;DATE(2026,9,1),'2026 IB Shipments'!K$1:K$2239,"&lt;"&amp;DATE(2026,10,1))/COUNTIFS('2026 IB Shipments'!C$1:C$2239,"WWT",'2026 IB Shipments'!K$1:K$2239,"&gt;="&amp;DATE(2026,9,1),'2026 IB Shipments'!K$1:K$2239,"&lt;"&amp;DATE(2026,10,1)),"")</f>
        <v>362.07</v>
      </c>
    </row>
    <row r="75" spans="1:7" ht="15.6">
      <c r="A75" s="191" t="s">
        <v>3551</v>
      </c>
      <c r="B75" s="195">
        <f>IFERROR(B16/F16,"")</f>
        <v>1446.6706249999997</v>
      </c>
      <c r="C75" s="195">
        <f>IFERROR(SUMIFS('2026 IB Shipments'!AB$1:AB$2239,'2026 IB Shipments'!C$1:C$2239,"DENALI",'2026 IB Shipments'!K$1:K$2239,"&gt;="&amp;DATE(2026,10,1),'2026 IB Shipments'!K$1:K$2239,"&lt;"&amp;DATE(2026,11,1))/COUNTIFS('2026 IB Shipments'!C$1:C$2239,"DENALI",'2026 IB Shipments'!K$1:K$2239,"&gt;="&amp;DATE(2026,10,1),'2026 IB Shipments'!K$1:K$2239,"&lt;"&amp;DATE(2026,11,1)),"")</f>
        <v>1408.9607692307691</v>
      </c>
      <c r="D75" s="195" t="str">
        <f>IFERROR(SUMIFS('2026 IB Shipments'!AB$1:AB$2239,'2026 IB Shipments'!C$1:C$2239,"EXPEDITORS",'2026 IB Shipments'!K$1:K$2239,"&gt;="&amp;DATE(2026,10,1),'2026 IB Shipments'!K$1:K$2239,"&lt;"&amp;DATE(2026,11,1))/COUNTIFS('2026 IB Shipments'!C$1:C$2239,"EXPEDITORS",'2026 IB Shipments'!K$1:K$2239,"&gt;="&amp;DATE(2026,10,1),'2026 IB Shipments'!K$1:K$2239,"&lt;"&amp;DATE(2026,11,1)),"")</f>
        <v/>
      </c>
      <c r="E75" s="195">
        <f>IFERROR(SUMIFS('2026 IB Shipments'!AB$1:AB$2239,'2026 IB Shipments'!C$1:C$2239,"SCHNEIDER ELECTRIC",'2026 IB Shipments'!K$1:K$2239,"&gt;="&amp;DATE(2026,10,1),'2026 IB Shipments'!K$1:K$2239,"&lt;"&amp;DATE(2026,11,1))/COUNTIFS('2026 IB Shipments'!C$1:C$2239,"SCHNEIDER ELECTRIC",'2026 IB Shipments'!K$1:K$2239,"&gt;="&amp;DATE(2026,10,1),'2026 IB Shipments'!K$1:K$2239,"&lt;"&amp;DATE(2026,11,1)),"")</f>
        <v>915.12</v>
      </c>
      <c r="F75" s="195" t="str">
        <f>IFERROR(SUMIFS('2026 IB Shipments'!AB$1:AB$2239,'2026 IB Shipments'!C$1:C$2239,"SHI",'2026 IB Shipments'!K$1:K$2239,"&gt;="&amp;DATE(2026,10,1),'2026 IB Shipments'!K$1:K$2239,"&lt;"&amp;DATE(2026,11,1))/COUNTIFS('2026 IB Shipments'!C$1:C$2239,"SHI",'2026 IB Shipments'!K$1:K$2239,"&gt;="&amp;DATE(2026,10,1),'2026 IB Shipments'!K$1:K$2239,"&lt;"&amp;DATE(2026,11,1)),"")</f>
        <v/>
      </c>
      <c r="G75" s="195">
        <f>IFERROR(SUMIFS('2026 IB Shipments'!AB$1:AB$2239,'2026 IB Shipments'!C$1:C$2239,"WWT",'2026 IB Shipments'!K$1:K$2239,"&gt;="&amp;DATE(2026,10,1),'2026 IB Shipments'!K$1:K$2239,"&lt;"&amp;DATE(2026,11,1))/COUNTIFS('2026 IB Shipments'!C$1:C$2239,"WWT",'2026 IB Shipments'!K$1:K$2239,"&gt;="&amp;DATE(2026,10,1),'2026 IB Shipments'!K$1:K$2239,"&lt;"&amp;DATE(2026,11,1)),"")</f>
        <v>274.41333333333336</v>
      </c>
    </row>
    <row r="76" spans="1:7" ht="15.6">
      <c r="A76" s="191" t="s">
        <v>3552</v>
      </c>
      <c r="B76" s="195" t="str">
        <f>IFERROR(B17/F17,"")</f>
        <v/>
      </c>
      <c r="C76" s="195" t="str">
        <f>IFERROR(SUMIFS('2026 IB Shipments'!AB$1:AB$2239,'2026 IB Shipments'!C$1:C$2239,"DENALI",'2026 IB Shipments'!K$1:K$2239,"&gt;="&amp;DATE(2026,11,1),'2026 IB Shipments'!K$1:K$2239,"&lt;"&amp;DATE(2026,12,1))/COUNTIFS('2026 IB Shipments'!C$1:C$2239,"DENALI",'2026 IB Shipments'!K$1:K$2239,"&gt;="&amp;DATE(2026,11,1),'2026 IB Shipments'!K$1:K$2239,"&lt;"&amp;DATE(2026,12,1)),"")</f>
        <v/>
      </c>
      <c r="D76" s="195" t="str">
        <f>IFERROR(SUMIFS('2026 IB Shipments'!AB$1:AB$2239,'2026 IB Shipments'!C$1:C$2239,"EXPEDITORS",'2026 IB Shipments'!K$1:K$2239,"&gt;="&amp;DATE(2026,11,1),'2026 IB Shipments'!K$1:K$2239,"&lt;"&amp;DATE(2026,12,1))/COUNTIFS('2026 IB Shipments'!C$1:C$2239,"EXPEDITORS",'2026 IB Shipments'!K$1:K$2239,"&gt;="&amp;DATE(2026,11,1),'2026 IB Shipments'!K$1:K$2239,"&lt;"&amp;DATE(2026,12,1)),"")</f>
        <v/>
      </c>
      <c r="E76" s="195" t="str">
        <f>IFERROR(SUMIFS('2026 IB Shipments'!AB$1:AB$2239,'2026 IB Shipments'!C$1:C$2239,"SCHNEIDER ELECTRIC",'2026 IB Shipments'!K$1:K$2239,"&gt;="&amp;DATE(2026,11,1),'2026 IB Shipments'!K$1:K$2239,"&lt;"&amp;DATE(2026,12,1))/COUNTIFS('2026 IB Shipments'!C$1:C$2239,"SCHNEIDER ELECTRIC",'2026 IB Shipments'!K$1:K$2239,"&gt;="&amp;DATE(2026,11,1),'2026 IB Shipments'!K$1:K$2239,"&lt;"&amp;DATE(2026,12,1)),"")</f>
        <v/>
      </c>
      <c r="F76" s="195" t="str">
        <f>IFERROR(SUMIFS('2026 IB Shipments'!AB$1:AB$2239,'2026 IB Shipments'!C$1:C$2239,"SHI",'2026 IB Shipments'!K$1:K$2239,"&gt;="&amp;DATE(2026,11,1),'2026 IB Shipments'!K$1:K$2239,"&lt;"&amp;DATE(2026,12,1))/COUNTIFS('2026 IB Shipments'!C$1:C$2239,"SHI",'2026 IB Shipments'!K$1:K$2239,"&gt;="&amp;DATE(2026,11,1),'2026 IB Shipments'!K$1:K$2239,"&lt;"&amp;DATE(2026,12,1)),"")</f>
        <v/>
      </c>
      <c r="G76" s="195" t="str">
        <f>IFERROR(SUMIFS('2026 IB Shipments'!AB$1:AB$2239,'2026 IB Shipments'!C$1:C$2239,"WWT",'2026 IB Shipments'!K$1:K$2239,"&gt;="&amp;DATE(2026,11,1),'2026 IB Shipments'!K$1:K$2239,"&lt;"&amp;DATE(2026,12,1))/COUNTIFS('2026 IB Shipments'!C$1:C$2239,"WWT",'2026 IB Shipments'!K$1:K$2239,"&gt;="&amp;DATE(2026,11,1),'2026 IB Shipments'!K$1:K$2239,"&lt;"&amp;DATE(2026,12,1)),"")</f>
        <v/>
      </c>
    </row>
    <row r="77" spans="1:7" ht="15.6">
      <c r="A77" s="191" t="s">
        <v>3553</v>
      </c>
      <c r="B77" s="195" t="str">
        <f>IFERROR(B18/F18,"")</f>
        <v/>
      </c>
      <c r="C77" s="195" t="str">
        <f>IFERROR(SUMIFS('2026 IB Shipments'!AB$1:AB$2239,'2026 IB Shipments'!C$1:C$2239,"DENALI",'2026 IB Shipments'!K$1:K$2239,"&gt;="&amp;DATE(2026,12,1),'2026 IB Shipments'!K$1:K$2239,"&lt;"&amp;DATE(2026,13,1))/COUNTIFS('2026 IB Shipments'!C$1:C$2239,"DENALI",'2026 IB Shipments'!K$1:K$2239,"&gt;="&amp;DATE(2026,12,1),'2026 IB Shipments'!K$1:K$2239,"&lt;"&amp;DATE(2026,13,1)),"")</f>
        <v/>
      </c>
      <c r="D77" s="195" t="str">
        <f>IFERROR(SUMIFS('2026 IB Shipments'!AB$1:AB$2239,'2026 IB Shipments'!C$1:C$2239,"EXPEDITORS",'2026 IB Shipments'!K$1:K$2239,"&gt;="&amp;DATE(2026,12,1),'2026 IB Shipments'!K$1:K$2239,"&lt;"&amp;DATE(2026,13,1))/COUNTIFS('2026 IB Shipments'!C$1:C$2239,"EXPEDITORS",'2026 IB Shipments'!K$1:K$2239,"&gt;="&amp;DATE(2026,12,1),'2026 IB Shipments'!K$1:K$2239,"&lt;"&amp;DATE(2026,13,1)),"")</f>
        <v/>
      </c>
      <c r="E77" s="195" t="str">
        <f>IFERROR(SUMIFS('2026 IB Shipments'!AB$1:AB$2239,'2026 IB Shipments'!C$1:C$2239,"SCHNEIDER ELECTRIC",'2026 IB Shipments'!K$1:K$2239,"&gt;="&amp;DATE(2026,12,1),'2026 IB Shipments'!K$1:K$2239,"&lt;"&amp;DATE(2026,13,1))/COUNTIFS('2026 IB Shipments'!C$1:C$2239,"SCHNEIDER ELECTRIC",'2026 IB Shipments'!K$1:K$2239,"&gt;="&amp;DATE(2026,12,1),'2026 IB Shipments'!K$1:K$2239,"&lt;"&amp;DATE(2026,13,1)),"")</f>
        <v/>
      </c>
      <c r="F77" s="195" t="str">
        <f>IFERROR(SUMIFS('2026 IB Shipments'!AB$1:AB$2239,'2026 IB Shipments'!C$1:C$2239,"SHI",'2026 IB Shipments'!K$1:K$2239,"&gt;="&amp;DATE(2026,12,1),'2026 IB Shipments'!K$1:K$2239,"&lt;"&amp;DATE(2026,13,1))/COUNTIFS('2026 IB Shipments'!C$1:C$2239,"SHI",'2026 IB Shipments'!K$1:K$2239,"&gt;="&amp;DATE(2026,12,1),'2026 IB Shipments'!K$1:K$2239,"&lt;"&amp;DATE(2026,13,1)),"")</f>
        <v/>
      </c>
      <c r="G77" s="195" t="str">
        <f>IFERROR(SUMIFS('2026 IB Shipments'!AB$1:AB$2239,'2026 IB Shipments'!C$1:C$2239,"WWT",'2026 IB Shipments'!K$1:K$2239,"&gt;="&amp;DATE(2026,12,1),'2026 IB Shipments'!K$1:K$2239,"&lt;"&amp;DATE(2026,13,1))/COUNTIFS('2026 IB Shipments'!C$1:C$2239,"WWT",'2026 IB Shipments'!K$1:K$2239,"&gt;="&amp;DATE(2026,12,1),'2026 IB Shipments'!K$1:K$2239,"&lt;"&amp;DATE(2026,13,1)),"")</f>
        <v/>
      </c>
    </row>
    <row r="81" spans="1:4" ht="18">
      <c r="A81" s="192" t="s">
        <v>3569</v>
      </c>
    </row>
    <row r="83" spans="1:4" ht="15.6">
      <c r="A83" s="193" t="s">
        <v>3534</v>
      </c>
      <c r="B83" s="199" t="s">
        <v>3570</v>
      </c>
      <c r="C83" s="199" t="s">
        <v>3571</v>
      </c>
      <c r="D83" s="199" t="s">
        <v>3572</v>
      </c>
    </row>
    <row r="84" spans="1:4" ht="15.6">
      <c r="A84" s="191" t="s">
        <v>3542</v>
      </c>
      <c r="B84" s="196">
        <f>COUNTIFS('2026 IB Shipments'!K$1:K$2239,"&gt;="&amp;DATE(2026,1,1),'2026 IB Shipments'!K$1:K$2239,"&lt;"&amp;DATE(2026,2,1),'2026 IB Shipments'!P$1:P$2239,"&lt;&gt;")</f>
        <v>38</v>
      </c>
      <c r="C84" s="196">
        <f>COUNTIFS('2026 IB Shipments'!K$1:K$2239,"&gt;="&amp;DATE(2026,1,1),'2026 IB Shipments'!K$1:K$2239,"&lt;"&amp;DATE(2026,2,1),'2026 IB Shipments'!P$1:P$2239,"Yes")</f>
        <v>36</v>
      </c>
      <c r="D84" s="200">
        <f>IFERROR(C84/B84,"")</f>
        <v>0.94736842105263153</v>
      </c>
    </row>
    <row r="85" spans="1:4" ht="15.6">
      <c r="A85" s="191" t="s">
        <v>3543</v>
      </c>
      <c r="B85" s="196">
        <f>COUNTIFS('2026 IB Shipments'!K$1:K$2239,"&gt;="&amp;DATE(2026,2,1),'2026 IB Shipments'!K$1:K$2239,"&lt;"&amp;DATE(2026,3,1),'2026 IB Shipments'!P$1:P$2239,"&lt;&gt;")</f>
        <v>58</v>
      </c>
      <c r="C85" s="196">
        <f>COUNTIFS('2026 IB Shipments'!K$1:K$2239,"&gt;="&amp;DATE(2026,2,1),'2026 IB Shipments'!K$1:K$2239,"&lt;"&amp;DATE(2026,3,1),'2026 IB Shipments'!P$1:P$2239,"Yes")</f>
        <v>57</v>
      </c>
      <c r="D85" s="200">
        <f>IFERROR(C85/B85,"")</f>
        <v>0.98275862068965514</v>
      </c>
    </row>
    <row r="86" spans="1:4" ht="15.6">
      <c r="A86" s="191" t="s">
        <v>3544</v>
      </c>
      <c r="B86" s="196">
        <f>COUNTIFS('2026 IB Shipments'!K$1:K$2239,"&gt;="&amp;DATE(2026,3,1),'2026 IB Shipments'!K$1:K$2239,"&lt;"&amp;DATE(2026,4,1),'2026 IB Shipments'!P$1:P$2239,"&lt;&gt;")</f>
        <v>89</v>
      </c>
      <c r="C86" s="196">
        <f>COUNTIFS('2026 IB Shipments'!K$1:K$2239,"&gt;="&amp;DATE(2026,3,1),'2026 IB Shipments'!K$1:K$2239,"&lt;"&amp;DATE(2026,4,1),'2026 IB Shipments'!P$1:P$2239,"Yes")</f>
        <v>72</v>
      </c>
      <c r="D86" s="200">
        <f>IFERROR(C86/B86,"")</f>
        <v>0.8089887640449438</v>
      </c>
    </row>
    <row r="87" spans="1:4" ht="15.6">
      <c r="A87" s="191" t="s">
        <v>3545</v>
      </c>
      <c r="B87" s="196">
        <f>COUNTIFS('2026 IB Shipments'!K$1:K$2239,"&gt;="&amp;DATE(2026,4,1),'2026 IB Shipments'!K$1:K$2239,"&lt;"&amp;DATE(2026,5,1),'2026 IB Shipments'!P$1:P$2239,"&lt;&gt;")</f>
        <v>112</v>
      </c>
      <c r="C87" s="196">
        <f>COUNTIFS('2026 IB Shipments'!K$1:K$2239,"&gt;="&amp;DATE(2026,4,1),'2026 IB Shipments'!K$1:K$2239,"&lt;"&amp;DATE(2026,5,1),'2026 IB Shipments'!P$1:P$2239,"Yes")</f>
        <v>105</v>
      </c>
      <c r="D87" s="200">
        <f>IFERROR(C87/B87,"")</f>
        <v>0.9375</v>
      </c>
    </row>
    <row r="88" spans="1:4" ht="15.6">
      <c r="A88" s="191" t="s">
        <v>3546</v>
      </c>
      <c r="B88" s="196">
        <f>COUNTIFS('2026 IB Shipments'!K$1:K$2239,"&gt;="&amp;DATE(2026,5,1),'2026 IB Shipments'!K$1:K$2239,"&lt;"&amp;DATE(2026,6,1),'2026 IB Shipments'!P$1:P$2239,"&lt;&gt;")</f>
        <v>104</v>
      </c>
      <c r="C88" s="196">
        <f>COUNTIFS('2026 IB Shipments'!K$1:K$2239,"&gt;="&amp;DATE(2026,5,1),'2026 IB Shipments'!K$1:K$2239,"&lt;"&amp;DATE(2026,6,1),'2026 IB Shipments'!P$1:P$2239,"Yes")</f>
        <v>103</v>
      </c>
      <c r="D88" s="200">
        <f>IFERROR(C88/B88,"")</f>
        <v>0.99038461538461542</v>
      </c>
    </row>
    <row r="89" spans="1:4" ht="15.6">
      <c r="A89" s="191" t="s">
        <v>3547</v>
      </c>
      <c r="B89" s="196">
        <f>COUNTIFS('2026 IB Shipments'!K$1:K$2239,"&gt;="&amp;DATE(2026,6,1),'2026 IB Shipments'!K$1:K$2239,"&lt;"&amp;DATE(2026,7,1),'2026 IB Shipments'!P$1:P$2239,"&lt;&gt;")</f>
        <v>129</v>
      </c>
      <c r="C89" s="196">
        <f>COUNTIFS('2026 IB Shipments'!K$1:K$2239,"&gt;="&amp;DATE(2026,6,1),'2026 IB Shipments'!K$1:K$2239,"&lt;"&amp;DATE(2026,7,1),'2026 IB Shipments'!P$1:P$2239,"Yes")</f>
        <v>124</v>
      </c>
      <c r="D89" s="200">
        <f>IFERROR(C89/B89,"")</f>
        <v>0.96124031007751942</v>
      </c>
    </row>
    <row r="90" spans="1:4" ht="15.6">
      <c r="A90" s="191" t="s">
        <v>3548</v>
      </c>
      <c r="B90" s="196">
        <f>COUNTIFS('2026 IB Shipments'!K$1:K$2239,"&gt;="&amp;DATE(2026,7,1),'2026 IB Shipments'!K$1:K$2239,"&lt;"&amp;DATE(2026,8,1),'2026 IB Shipments'!P$1:P$2239,"&lt;&gt;")</f>
        <v>199</v>
      </c>
      <c r="C90" s="196">
        <f>COUNTIFS('2026 IB Shipments'!K$1:K$2239,"&gt;="&amp;DATE(2026,7,1),'2026 IB Shipments'!K$1:K$2239,"&lt;"&amp;DATE(2026,8,1),'2026 IB Shipments'!P$1:P$2239,"Yes")</f>
        <v>192</v>
      </c>
      <c r="D90" s="200">
        <f>IFERROR(C90/B90,"")</f>
        <v>0.96482412060301503</v>
      </c>
    </row>
    <row r="91" spans="1:4" ht="15.6">
      <c r="A91" s="191" t="s">
        <v>3549</v>
      </c>
      <c r="B91" s="196">
        <f>COUNTIFS('2026 IB Shipments'!K$1:K$2239,"&gt;="&amp;DATE(2026,8,1),'2026 IB Shipments'!K$1:K$2239,"&lt;"&amp;DATE(2026,9,1),'2026 IB Shipments'!P$1:P$2239,"&lt;&gt;")</f>
        <v>124</v>
      </c>
      <c r="C91" s="196">
        <f>COUNTIFS('2026 IB Shipments'!K$1:K$2239,"&gt;="&amp;DATE(2026,8,1),'2026 IB Shipments'!K$1:K$2239,"&lt;"&amp;DATE(2026,9,1),'2026 IB Shipments'!P$1:P$2239,"Yes")</f>
        <v>118</v>
      </c>
      <c r="D91" s="200">
        <f>IFERROR(C91/B91,"")</f>
        <v>0.95161290322580649</v>
      </c>
    </row>
    <row r="92" spans="1:4" ht="15.6">
      <c r="A92" s="191" t="s">
        <v>3550</v>
      </c>
      <c r="B92" s="196">
        <f>COUNTIFS('2026 IB Shipments'!K$1:K$2239,"&gt;="&amp;DATE(2026,9,1),'2026 IB Shipments'!K$1:K$2239,"&lt;"&amp;DATE(2026,10,1),'2026 IB Shipments'!P$1:P$2239,"&lt;&gt;")</f>
        <v>164</v>
      </c>
      <c r="C92" s="196">
        <f>COUNTIFS('2026 IB Shipments'!K$1:K$2239,"&gt;="&amp;DATE(2026,9,1),'2026 IB Shipments'!K$1:K$2239,"&lt;"&amp;DATE(2026,10,1),'2026 IB Shipments'!P$1:P$2239,"Yes")</f>
        <v>159</v>
      </c>
      <c r="D92" s="200">
        <f>IFERROR(C92/B92,"")</f>
        <v>0.96951219512195119</v>
      </c>
    </row>
    <row r="93" spans="1:4" ht="15.6">
      <c r="A93" s="191" t="s">
        <v>3551</v>
      </c>
      <c r="B93" s="196">
        <f>COUNTIFS('2026 IB Shipments'!K$1:K$2239,"&gt;="&amp;DATE(2026,10,1),'2026 IB Shipments'!K$1:K$2239,"&lt;"&amp;DATE(2026,11,1),'2026 IB Shipments'!P$1:P$2239,"&lt;&gt;")</f>
        <v>28</v>
      </c>
      <c r="C93" s="196">
        <f>COUNTIFS('2026 IB Shipments'!K$1:K$2239,"&gt;="&amp;DATE(2026,10,1),'2026 IB Shipments'!K$1:K$2239,"&lt;"&amp;DATE(2026,11,1),'2026 IB Shipments'!P$1:P$2239,"Yes")</f>
        <v>28</v>
      </c>
      <c r="D93" s="200">
        <f>IFERROR(C93/B93,"")</f>
        <v>1</v>
      </c>
    </row>
    <row r="94" spans="1:4" ht="15.6">
      <c r="A94" s="191" t="s">
        <v>3552</v>
      </c>
      <c r="B94" s="196">
        <f>COUNTIFS('2026 IB Shipments'!K$1:K$2239,"&gt;="&amp;DATE(2026,11,1),'2026 IB Shipments'!K$1:K$2239,"&lt;"&amp;DATE(2026,12,1),'2026 IB Shipments'!P$1:P$2239,"&lt;&gt;")</f>
        <v>0</v>
      </c>
      <c r="C94" s="196">
        <f>COUNTIFS('2026 IB Shipments'!K$1:K$2239,"&gt;="&amp;DATE(2026,11,1),'2026 IB Shipments'!K$1:K$2239,"&lt;"&amp;DATE(2026,12,1),'2026 IB Shipments'!P$1:P$2239,"Yes")</f>
        <v>0</v>
      </c>
      <c r="D94" s="200" t="str">
        <f>IFERROR(C94/B94,"")</f>
        <v/>
      </c>
    </row>
    <row r="95" spans="1:4" ht="15.6">
      <c r="A95" s="191" t="s">
        <v>3553</v>
      </c>
      <c r="B95" s="196">
        <f>COUNTIFS('2026 IB Shipments'!K$1:K$2239,"&gt;="&amp;DATE(2026,12,1),'2026 IB Shipments'!K$1:K$2239,"&lt;"&amp;DATE(2026,13,1),'2026 IB Shipments'!P$1:P$2239,"&lt;&gt;")</f>
        <v>0</v>
      </c>
      <c r="C95" s="196">
        <f>COUNTIFS('2026 IB Shipments'!K$1:K$2239,"&gt;="&amp;DATE(2026,12,1),'2026 IB Shipments'!K$1:K$2239,"&lt;"&amp;DATE(2026,13,1),'2026 IB Shipments'!P$1:P$2239,"Yes")</f>
        <v>0</v>
      </c>
      <c r="D95" s="200" t="str">
        <f>IFERROR(C95/B95,"")</f>
        <v/>
      </c>
    </row>
    <row r="96" spans="1:4" ht="15.6">
      <c r="A96" s="194" t="s">
        <v>3554</v>
      </c>
      <c r="B96" s="198">
        <f>SUM(B84:B95)</f>
        <v>1045</v>
      </c>
      <c r="C96" s="198">
        <f>SUM(C84:C95)</f>
        <v>994</v>
      </c>
      <c r="D96" s="201">
        <f>IFERROR(C96/B96,"")</f>
        <v>0.95119617224880382</v>
      </c>
    </row>
    <row r="99" spans="1:3" ht="18">
      <c r="A99" s="192" t="s">
        <v>3573</v>
      </c>
    </row>
    <row r="101" spans="1:3" ht="15.6">
      <c r="A101" s="193" t="s">
        <v>3534</v>
      </c>
      <c r="B101" s="199" t="s">
        <v>3574</v>
      </c>
      <c r="C101" s="199" t="s">
        <v>3575</v>
      </c>
    </row>
    <row r="102" spans="1:3" ht="15.6">
      <c r="A102" s="191" t="s">
        <v>3542</v>
      </c>
      <c r="B102" s="196">
        <f>COUNTIFS('2026 IB Shipments'!I$1:I$2239,"Yes",'2026 IB Shipments'!K$1:K$2239,"&gt;="&amp;DATE(2026,1,1),'2026 IB Shipments'!K$1:K$2239,"&lt;"&amp;DATE(2026,2,1))</f>
        <v>0</v>
      </c>
      <c r="C102" s="195">
        <f>SUMIFS('2026 IB Shipments'!AB$1:AB$2239,'2026 IB Shipments'!I$1:I$2239,"Yes",'2026 IB Shipments'!K$1:K$2239,"&gt;="&amp;DATE(2026,1,1),'2026 IB Shipments'!K$1:K$2239,"&lt;"&amp;DATE(2026,2,1))</f>
        <v>0</v>
      </c>
    </row>
    <row r="103" spans="1:3" ht="15.6">
      <c r="A103" s="191" t="s">
        <v>3543</v>
      </c>
      <c r="B103" s="196">
        <f>COUNTIFS('2026 IB Shipments'!I$1:I$2239,"Yes",'2026 IB Shipments'!K$1:K$2239,"&gt;="&amp;DATE(2026,2,1),'2026 IB Shipments'!K$1:K$2239,"&lt;"&amp;DATE(2026,3,1))</f>
        <v>0</v>
      </c>
      <c r="C103" s="195">
        <f>SUMIFS('2026 IB Shipments'!AB$1:AB$2239,'2026 IB Shipments'!I$1:I$2239,"Yes",'2026 IB Shipments'!K$1:K$2239,"&gt;="&amp;DATE(2026,2,1),'2026 IB Shipments'!K$1:K$2239,"&lt;"&amp;DATE(2026,3,1))</f>
        <v>0</v>
      </c>
    </row>
    <row r="104" spans="1:3" ht="15.6">
      <c r="A104" s="191" t="s">
        <v>3544</v>
      </c>
      <c r="B104" s="196">
        <f>COUNTIFS('2026 IB Shipments'!I$1:I$2239,"Yes",'2026 IB Shipments'!K$1:K$2239,"&gt;="&amp;DATE(2026,3,1),'2026 IB Shipments'!K$1:K$2239,"&lt;"&amp;DATE(2026,4,1))</f>
        <v>0</v>
      </c>
      <c r="C104" s="195">
        <f>SUMIFS('2026 IB Shipments'!AB$1:AB$2239,'2026 IB Shipments'!I$1:I$2239,"Yes",'2026 IB Shipments'!K$1:K$2239,"&gt;="&amp;DATE(2026,3,1),'2026 IB Shipments'!K$1:K$2239,"&lt;"&amp;DATE(2026,4,1))</f>
        <v>0</v>
      </c>
    </row>
    <row r="105" spans="1:3" ht="15.6">
      <c r="A105" s="191" t="s">
        <v>3545</v>
      </c>
      <c r="B105" s="196">
        <f>COUNTIFS('2026 IB Shipments'!I$1:I$2239,"Yes",'2026 IB Shipments'!K$1:K$2239,"&gt;="&amp;DATE(2026,4,1),'2026 IB Shipments'!K$1:K$2239,"&lt;"&amp;DATE(2026,5,1))</f>
        <v>0</v>
      </c>
      <c r="C105" s="195">
        <f>SUMIFS('2026 IB Shipments'!AB$1:AB$2239,'2026 IB Shipments'!I$1:I$2239,"Yes",'2026 IB Shipments'!K$1:K$2239,"&gt;="&amp;DATE(2026,4,1),'2026 IB Shipments'!K$1:K$2239,"&lt;"&amp;DATE(2026,5,1))</f>
        <v>0</v>
      </c>
    </row>
    <row r="106" spans="1:3" ht="15.6">
      <c r="A106" s="191" t="s">
        <v>3546</v>
      </c>
      <c r="B106" s="196">
        <f>COUNTIFS('2026 IB Shipments'!I$1:I$2239,"Yes",'2026 IB Shipments'!K$1:K$2239,"&gt;="&amp;DATE(2026,5,1),'2026 IB Shipments'!K$1:K$2239,"&lt;"&amp;DATE(2026,6,1))</f>
        <v>0</v>
      </c>
      <c r="C106" s="195">
        <f>SUMIFS('2026 IB Shipments'!AB$1:AB$2239,'2026 IB Shipments'!I$1:I$2239,"Yes",'2026 IB Shipments'!K$1:K$2239,"&gt;="&amp;DATE(2026,5,1),'2026 IB Shipments'!K$1:K$2239,"&lt;"&amp;DATE(2026,6,1))</f>
        <v>0</v>
      </c>
    </row>
    <row r="107" spans="1:3" ht="15.6">
      <c r="A107" s="191" t="s">
        <v>3547</v>
      </c>
      <c r="B107" s="196">
        <f>COUNTIFS('2026 IB Shipments'!I$1:I$2239,"Yes",'2026 IB Shipments'!K$1:K$2239,"&gt;="&amp;DATE(2026,6,1),'2026 IB Shipments'!K$1:K$2239,"&lt;"&amp;DATE(2026,7,1))</f>
        <v>3</v>
      </c>
      <c r="C107" s="195">
        <f>SUMIFS('2026 IB Shipments'!AB$1:AB$2239,'2026 IB Shipments'!I$1:I$2239,"Yes",'2026 IB Shipments'!K$1:K$2239,"&gt;="&amp;DATE(2026,6,1),'2026 IB Shipments'!K$1:K$2239,"&lt;"&amp;DATE(2026,7,1))</f>
        <v>1622.06</v>
      </c>
    </row>
    <row r="108" spans="1:3" ht="15.6">
      <c r="A108" s="191" t="s">
        <v>3548</v>
      </c>
      <c r="B108" s="196">
        <f>COUNTIFS('2026 IB Shipments'!I$1:I$2239,"Yes",'2026 IB Shipments'!K$1:K$2239,"&gt;="&amp;DATE(2026,7,1),'2026 IB Shipments'!K$1:K$2239,"&lt;"&amp;DATE(2026,8,1))</f>
        <v>22</v>
      </c>
      <c r="C108" s="195">
        <f>SUMIFS('2026 IB Shipments'!AB$1:AB$2239,'2026 IB Shipments'!I$1:I$2239,"Yes",'2026 IB Shipments'!K$1:K$2239,"&gt;="&amp;DATE(2026,7,1),'2026 IB Shipments'!K$1:K$2239,"&lt;"&amp;DATE(2026,8,1))</f>
        <v>87614.829999999987</v>
      </c>
    </row>
    <row r="109" spans="1:3" ht="15.6">
      <c r="A109" s="191" t="s">
        <v>3549</v>
      </c>
      <c r="B109" s="196">
        <f>COUNTIFS('2026 IB Shipments'!I$1:I$2239,"Yes",'2026 IB Shipments'!K$1:K$2239,"&gt;="&amp;DATE(2026,8,1),'2026 IB Shipments'!K$1:K$2239,"&lt;"&amp;DATE(2026,9,1))</f>
        <v>9</v>
      </c>
      <c r="C109" s="195">
        <f>SUMIFS('2026 IB Shipments'!AB$1:AB$2239,'2026 IB Shipments'!I$1:I$2239,"Yes",'2026 IB Shipments'!K$1:K$2239,"&gt;="&amp;DATE(2026,8,1),'2026 IB Shipments'!K$1:K$2239,"&lt;"&amp;DATE(2026,9,1))</f>
        <v>34451.699999999997</v>
      </c>
    </row>
    <row r="110" spans="1:3" ht="15.6">
      <c r="A110" s="191" t="s">
        <v>3550</v>
      </c>
      <c r="B110" s="196">
        <f>COUNTIFS('2026 IB Shipments'!I$1:I$2239,"Yes",'2026 IB Shipments'!K$1:K$2239,"&gt;="&amp;DATE(2026,9,1),'2026 IB Shipments'!K$1:K$2239,"&lt;"&amp;DATE(2026,10,1))</f>
        <v>13</v>
      </c>
      <c r="C110" s="195">
        <f>SUMIFS('2026 IB Shipments'!AB$1:AB$2239,'2026 IB Shipments'!I$1:I$2239,"Yes",'2026 IB Shipments'!K$1:K$2239,"&gt;="&amp;DATE(2026,9,1),'2026 IB Shipments'!K$1:K$2239,"&lt;"&amp;DATE(2026,10,1))</f>
        <v>62106.02</v>
      </c>
    </row>
    <row r="111" spans="1:3" ht="15.6">
      <c r="A111" s="191" t="s">
        <v>3551</v>
      </c>
      <c r="B111" s="196">
        <f>COUNTIFS('2026 IB Shipments'!I$1:I$2239,"Yes",'2026 IB Shipments'!K$1:K$2239,"&gt;="&amp;DATE(2026,10,1),'2026 IB Shipments'!K$1:K$2239,"&lt;"&amp;DATE(2026,11,1))</f>
        <v>1</v>
      </c>
      <c r="C111" s="195">
        <f>SUMIFS('2026 IB Shipments'!AB$1:AB$2239,'2026 IB Shipments'!I$1:I$2239,"Yes",'2026 IB Shipments'!K$1:K$2239,"&gt;="&amp;DATE(2026,10,1),'2026 IB Shipments'!K$1:K$2239,"&lt;"&amp;DATE(2026,11,1))</f>
        <v>7007</v>
      </c>
    </row>
    <row r="112" spans="1:3" ht="15.6">
      <c r="A112" s="191" t="s">
        <v>3552</v>
      </c>
      <c r="B112" s="196">
        <f>COUNTIFS('2026 IB Shipments'!I$1:I$2239,"Yes",'2026 IB Shipments'!K$1:K$2239,"&gt;="&amp;DATE(2026,11,1),'2026 IB Shipments'!K$1:K$2239,"&lt;"&amp;DATE(2026,12,1))</f>
        <v>0</v>
      </c>
      <c r="C112" s="195">
        <f>SUMIFS('2026 IB Shipments'!AB$1:AB$2239,'2026 IB Shipments'!I$1:I$2239,"Yes",'2026 IB Shipments'!K$1:K$2239,"&gt;="&amp;DATE(2026,11,1),'2026 IB Shipments'!K$1:K$2239,"&lt;"&amp;DATE(2026,12,1))</f>
        <v>0</v>
      </c>
    </row>
    <row r="113" spans="1:3" ht="15.6">
      <c r="A113" s="191" t="s">
        <v>3553</v>
      </c>
      <c r="B113" s="196">
        <f>COUNTIFS('2026 IB Shipments'!I$1:I$2239,"Yes",'2026 IB Shipments'!K$1:K$2239,"&gt;="&amp;DATE(2026,12,1),'2026 IB Shipments'!K$1:K$2239,"&lt;"&amp;DATE(2026,13,1))</f>
        <v>0</v>
      </c>
      <c r="C113" s="195">
        <f>SUMIFS('2026 IB Shipments'!AB$1:AB$2239,'2026 IB Shipments'!I$1:I$2239,"Yes",'2026 IB Shipments'!K$1:K$2239,"&gt;="&amp;DATE(2026,12,1),'2026 IB Shipments'!K$1:K$2239,"&lt;"&amp;DATE(2026,13,1))</f>
        <v>0</v>
      </c>
    </row>
    <row r="114" spans="1:3" ht="15.6">
      <c r="A114" s="194" t="s">
        <v>3554</v>
      </c>
      <c r="B114" s="198">
        <f>SUM(B102:B113)</f>
        <v>48</v>
      </c>
      <c r="C114" s="197">
        <f>SUM(C102:C113)</f>
        <v>192801.61</v>
      </c>
    </row>
  </sheetData>
  <sheetProtection sheet="1" objects="1" scenarios="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C876C-0BF7-405D-A036-360CC3E826FB}">
  <dimension ref="A1:D10"/>
  <sheetViews>
    <sheetView workbookViewId="0"/>
  </sheetViews>
  <sheetFormatPr defaultRowHeight="15"/>
  <sheetData>
    <row r="1" spans="1:4">
      <c r="A1" t="s">
        <v>3534</v>
      </c>
      <c r="B1" t="s">
        <v>3576</v>
      </c>
      <c r="C1" t="s">
        <v>3577</v>
      </c>
      <c r="D1" t="s">
        <v>3539</v>
      </c>
    </row>
    <row r="2" spans="1:4">
      <c r="A2" s="322" t="s">
        <v>3578</v>
      </c>
      <c r="B2">
        <v>0.92105263157894735</v>
      </c>
      <c r="C2">
        <v>0.94736842105263153</v>
      </c>
      <c r="D2">
        <v>38</v>
      </c>
    </row>
    <row r="3" spans="1:4">
      <c r="A3" s="322" t="s">
        <v>3579</v>
      </c>
      <c r="B3">
        <v>1</v>
      </c>
      <c r="C3">
        <v>0.98275862068965514</v>
      </c>
      <c r="D3">
        <v>58</v>
      </c>
    </row>
    <row r="4" spans="1:4">
      <c r="A4" s="322" t="s">
        <v>3580</v>
      </c>
      <c r="B4">
        <v>0.898876404494382</v>
      </c>
      <c r="C4">
        <v>0.8089887640449438</v>
      </c>
      <c r="D4">
        <v>89</v>
      </c>
    </row>
    <row r="5" spans="1:4">
      <c r="A5" s="322" t="s">
        <v>3581</v>
      </c>
      <c r="B5">
        <v>0.8303571428571429</v>
      </c>
      <c r="C5">
        <v>0.95454545454545459</v>
      </c>
      <c r="D5">
        <v>112</v>
      </c>
    </row>
    <row r="6" spans="1:4">
      <c r="A6" s="322" t="s">
        <v>3582</v>
      </c>
      <c r="B6">
        <v>0.89423076923076927</v>
      </c>
      <c r="C6">
        <v>0.99038461538461542</v>
      </c>
      <c r="D6">
        <v>104</v>
      </c>
    </row>
    <row r="7" spans="1:4">
      <c r="A7" s="322" t="s">
        <v>3583</v>
      </c>
      <c r="B7">
        <v>0.90697674418604646</v>
      </c>
      <c r="C7">
        <v>0.98412698412698407</v>
      </c>
      <c r="D7">
        <v>129</v>
      </c>
    </row>
    <row r="8" spans="1:4">
      <c r="A8" s="322" t="s">
        <v>3584</v>
      </c>
      <c r="B8">
        <v>0.88383838383838387</v>
      </c>
      <c r="C8">
        <v>0.97461928934010156</v>
      </c>
      <c r="D8">
        <v>199</v>
      </c>
    </row>
    <row r="9" spans="1:4">
      <c r="A9" s="322" t="s">
        <v>3585</v>
      </c>
      <c r="B9">
        <v>0.87096774193548387</v>
      </c>
      <c r="C9">
        <v>0.95161290322580649</v>
      </c>
      <c r="D9">
        <v>124</v>
      </c>
    </row>
    <row r="10" spans="1:4">
      <c r="A10" s="322" t="s">
        <v>3586</v>
      </c>
      <c r="B10">
        <v>0.85443037974683544</v>
      </c>
      <c r="C10">
        <v>0.96062992125984248</v>
      </c>
      <c r="D10">
        <v>160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C7E85-6578-4DAD-BF7D-F60CE1C657E6}">
  <dimension ref="A1:C16"/>
  <sheetViews>
    <sheetView workbookViewId="0"/>
  </sheetViews>
  <sheetFormatPr defaultRowHeight="15"/>
  <sheetData>
    <row r="1" spans="1:3">
      <c r="A1" t="s">
        <v>3587</v>
      </c>
      <c r="B1" t="s">
        <v>3576</v>
      </c>
      <c r="C1" t="s">
        <v>3577</v>
      </c>
    </row>
    <row r="2" spans="1:3">
      <c r="A2" s="322" t="s">
        <v>86</v>
      </c>
      <c r="B2">
        <v>0.87015503875969002</v>
      </c>
      <c r="C2">
        <v>0.94877049180327899</v>
      </c>
    </row>
    <row r="3" spans="1:3">
      <c r="A3" s="322" t="s">
        <v>342</v>
      </c>
      <c r="B3">
        <v>0.85365853658536595</v>
      </c>
      <c r="C3">
        <v>0.92682926829268297</v>
      </c>
    </row>
    <row r="4" spans="1:3">
      <c r="A4" s="322" t="s">
        <v>2723</v>
      </c>
      <c r="B4">
        <v>0.8</v>
      </c>
      <c r="C4">
        <v>0.97058823529411797</v>
      </c>
    </row>
    <row r="5" spans="1:3">
      <c r="A5" s="322" t="s">
        <v>1774</v>
      </c>
      <c r="B5">
        <v>0.88571428571428601</v>
      </c>
      <c r="C5">
        <v>1</v>
      </c>
    </row>
    <row r="6" spans="1:3">
      <c r="A6" s="322" t="s">
        <v>1208</v>
      </c>
      <c r="B6">
        <v>0.931034482758621</v>
      </c>
      <c r="C6">
        <v>1</v>
      </c>
    </row>
    <row r="7" spans="1:3">
      <c r="A7" s="322" t="s">
        <v>160</v>
      </c>
      <c r="B7">
        <v>1</v>
      </c>
      <c r="C7">
        <v>1</v>
      </c>
    </row>
    <row r="8" spans="1:3">
      <c r="A8" s="322" t="s">
        <v>2312</v>
      </c>
      <c r="B8">
        <v>0.95454545454545503</v>
      </c>
      <c r="C8">
        <v>1</v>
      </c>
    </row>
    <row r="9" spans="1:3">
      <c r="A9" s="322" t="s">
        <v>222</v>
      </c>
      <c r="B9">
        <v>0.94736842105263197</v>
      </c>
      <c r="C9">
        <v>0.89473684210526305</v>
      </c>
    </row>
    <row r="10" spans="1:3">
      <c r="A10" s="322" t="s">
        <v>234</v>
      </c>
      <c r="B10">
        <v>0.75</v>
      </c>
      <c r="C10">
        <v>0.9375</v>
      </c>
    </row>
    <row r="11" spans="1:3">
      <c r="A11" s="322" t="s">
        <v>962</v>
      </c>
      <c r="B11">
        <v>0.86666666666666703</v>
      </c>
      <c r="C11">
        <v>1</v>
      </c>
    </row>
    <row r="12" spans="1:3">
      <c r="A12" s="322" t="s">
        <v>1540</v>
      </c>
      <c r="B12">
        <v>0.61538461538461497</v>
      </c>
      <c r="C12">
        <v>1</v>
      </c>
    </row>
    <row r="13" spans="1:3">
      <c r="A13" s="322" t="s">
        <v>935</v>
      </c>
      <c r="B13">
        <v>0.57142857142857095</v>
      </c>
      <c r="C13">
        <v>0.71428571428571397</v>
      </c>
    </row>
    <row r="14" spans="1:3">
      <c r="A14" s="322" t="s">
        <v>2294</v>
      </c>
      <c r="B14">
        <v>1</v>
      </c>
      <c r="C14">
        <v>1</v>
      </c>
    </row>
    <row r="15" spans="1:3">
      <c r="A15" s="322" t="s">
        <v>154</v>
      </c>
      <c r="B15">
        <v>0.83333333333333304</v>
      </c>
      <c r="C15">
        <v>0.83333333333333304</v>
      </c>
    </row>
    <row r="16" spans="1:3">
      <c r="A16" s="322" t="s">
        <v>2585</v>
      </c>
      <c r="B16">
        <v>0.66666666666666696</v>
      </c>
      <c r="C16">
        <v>0.33333333333333298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621AA119525B146BD44DFF6E639EF7C" ma:contentTypeVersion="13" ma:contentTypeDescription="Create a new document." ma:contentTypeScope="" ma:versionID="3e1b635f92b4503bde74ad72c52f9bd6">
  <xsd:schema xmlns:xsd="http://www.w3.org/2001/XMLSchema" xmlns:xs="http://www.w3.org/2001/XMLSchema" xmlns:p="http://schemas.microsoft.com/office/2006/metadata/properties" xmlns:ns2="30816db6-17d2-4f3d-955f-c5eee192c5fb" xmlns:ns3="15cc2cef-b407-406d-b184-126feb638720" targetNamespace="http://schemas.microsoft.com/office/2006/metadata/properties" ma:root="true" ma:fieldsID="24736ec14f3f4bae44123fa8884a0e79" ns2:_="" ns3:_="">
    <xsd:import namespace="30816db6-17d2-4f3d-955f-c5eee192c5fb"/>
    <xsd:import namespace="15cc2cef-b407-406d-b184-126feb63872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onth"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816db6-17d2-4f3d-955f-c5eee192c5f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onth" ma:index="11" nillable="true" ma:displayName="Month" ma:format="Dropdown" ma:internalName="Month" ma:percentage="FALSE">
      <xsd:simpleType>
        <xsd:restriction base="dms:Number">
          <xsd:maxInclusive value="12"/>
        </xsd:restriction>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37839dc8-c537-42b6-a5a9-a537040d25bb"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5cc2cef-b407-406d-b184-126feb638720"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1a98ff83-d312-4198-a706-f80e63fd6f39}" ma:internalName="TaxCatchAll" ma:showField="CatchAllData" ma:web="15cc2cef-b407-406d-b184-126feb63872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Month xmlns="30816db6-17d2-4f3d-955f-c5eee192c5fb" xsi:nil="true"/>
    <TaxCatchAll xmlns="15cc2cef-b407-406d-b184-126feb638720" xsi:nil="true"/>
    <lcf76f155ced4ddcb4097134ff3c332f xmlns="30816db6-17d2-4f3d-955f-c5eee192c5f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EEAA6BA-7E08-41F2-85C5-4AB81758CC1A}"/>
</file>

<file path=customXml/itemProps2.xml><?xml version="1.0" encoding="utf-8"?>
<ds:datastoreItem xmlns:ds="http://schemas.openxmlformats.org/officeDocument/2006/customXml" ds:itemID="{55234BDE-8C88-491E-838C-353B3DA7089E}"/>
</file>

<file path=customXml/itemProps3.xml><?xml version="1.0" encoding="utf-8"?>
<ds:datastoreItem xmlns:ds="http://schemas.openxmlformats.org/officeDocument/2006/customXml" ds:itemID="{E693BEB0-5DD4-4285-BCA1-5EB9FD910C0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Global IB from Vendor Tracker</dc:title>
  <dc:subject/>
  <dc:creator>Lewis, David</dc:creator>
  <cp:keywords/>
  <dc:description/>
  <cp:lastModifiedBy/>
  <cp:revision/>
  <dcterms:created xsi:type="dcterms:W3CDTF">2024-03-27T14:26:01Z</dcterms:created>
  <dcterms:modified xsi:type="dcterms:W3CDTF">2026-10-20T21:29:39Z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0x0101006621AA119525B146BD44DFF6E639EF7C</vt:lpwstr>
  </property>
  <property fmtid="{D5CDD505-2E9C-101B-9397-08002B2CF9AE}" pid="3" name="_dlc_DocIdItemGuid">
    <vt:lpwstr>f071cfe4-cd49-46ca-a5e7-205ff60c9906</vt:lpwstr>
  </property>
  <property fmtid="{D5CDD505-2E9C-101B-9397-08002B2CF9AE}" pid="4" name="MSIP_Label_929eed6f-34eb-4453-9f97-09510b9b219f_Enabled">
    <vt:lpwstr>true</vt:lpwstr>
  </property>
  <property fmtid="{D5CDD505-2E9C-101B-9397-08002B2CF9AE}" pid="5" name="MSIP_Label_929eed6f-34eb-4453-9f97-09510b9b219f_SetDate">
    <vt:lpwstr>2025-07-10T16:00:24Z</vt:lpwstr>
  </property>
  <property fmtid="{D5CDD505-2E9C-101B-9397-08002B2CF9AE}" pid="6" name="MSIP_Label_929eed6f-34eb-4453-9f97-09510b9b219f_Method">
    <vt:lpwstr>Standard</vt:lpwstr>
  </property>
  <property fmtid="{D5CDD505-2E9C-101B-9397-08002B2CF9AE}" pid="7" name="MSIP_Label_929eed6f-34eb-4453-9f97-09510b9b219f_Name">
    <vt:lpwstr>Amazon Pending_Classification</vt:lpwstr>
  </property>
  <property fmtid="{D5CDD505-2E9C-101B-9397-08002B2CF9AE}" pid="8" name="MSIP_Label_929eed6f-34eb-4453-9f97-09510b9b219f_SiteId">
    <vt:lpwstr>5280104a-472d-4538-9ccf-1e1d0efe8b1b</vt:lpwstr>
  </property>
  <property fmtid="{D5CDD505-2E9C-101B-9397-08002B2CF9AE}" pid="9" name="MSIP_Label_929eed6f-34eb-4453-9f97-09510b9b219f_ActionId">
    <vt:lpwstr>e18b9f83-fb01-42e5-bc8c-a174075308e0</vt:lpwstr>
  </property>
  <property fmtid="{D5CDD505-2E9C-101B-9397-08002B2CF9AE}" pid="10" name="MSIP_Label_929eed6f-34eb-4453-9f97-09510b9b219f_ContentBits">
    <vt:lpwstr>0</vt:lpwstr>
  </property>
  <property fmtid="{D5CDD505-2E9C-101B-9397-08002B2CF9AE}" pid="11" name="MSIP_Label_929eed6f-34eb-4453-9f97-09510b9b219f_Tag">
    <vt:lpwstr>10, 3, 0, 2</vt:lpwstr>
  </property>
  <property fmtid="{D5CDD505-2E9C-101B-9397-08002B2CF9AE}" pid="12" name="MediaServiceImageTags">
    <vt:lpwstr/>
  </property>
</Properties>
</file>